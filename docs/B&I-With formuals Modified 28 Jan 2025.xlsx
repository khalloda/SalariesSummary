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Claude\SalariesSummary\"/>
    </mc:Choice>
  </mc:AlternateContent>
  <xr:revisionPtr revIDLastSave="0" documentId="13_ncr:1_{7A9E9F6F-36C4-4A88-850B-EB0C60E120DD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Partial 1-2" sheetId="3" r:id="rId1"/>
    <sheet name="Final 2025" sheetId="4" r:id="rId2"/>
    <sheet name="AnnualSlip" sheetId="6" r:id="rId3"/>
    <sheet name="Final Based on Dr Hani's Approv" sheetId="8" r:id="rId4"/>
  </sheets>
  <definedNames>
    <definedName name="_xlnm.Print_Area" localSheetId="1">'Final 2025'!$A$1:$T$50</definedName>
    <definedName name="_xlnm.Print_Area" localSheetId="3">'Final Based on Dr Hani''s Approv'!$A$4:$K$50</definedName>
    <definedName name="_xlnm.Print_Area" localSheetId="0">'Partial 1-2'!$A$1:$T$50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1" i="8" l="1"/>
  <c r="U17" i="8"/>
  <c r="B6" i="6" l="1"/>
  <c r="G59" i="8"/>
  <c r="G55" i="8"/>
  <c r="R48" i="8"/>
  <c r="N48" i="8"/>
  <c r="M48" i="8"/>
  <c r="M49" i="8" s="1"/>
  <c r="H48" i="8"/>
  <c r="H49" i="8" s="1"/>
  <c r="F48" i="8"/>
  <c r="E48" i="8"/>
  <c r="E49" i="8" s="1"/>
  <c r="C54" i="8" s="1"/>
  <c r="X47" i="8"/>
  <c r="W47" i="8"/>
  <c r="V47" i="8"/>
  <c r="U47" i="8"/>
  <c r="T47" i="8"/>
  <c r="S47" i="8"/>
  <c r="Q47" i="8"/>
  <c r="P47" i="8"/>
  <c r="O47" i="8"/>
  <c r="J47" i="8"/>
  <c r="I47" i="8"/>
  <c r="K47" i="8" s="1"/>
  <c r="G47" i="8"/>
  <c r="X46" i="8"/>
  <c r="U46" i="8"/>
  <c r="W46" i="8" s="1"/>
  <c r="T46" i="8"/>
  <c r="S46" i="8"/>
  <c r="Q46" i="8"/>
  <c r="P46" i="8"/>
  <c r="O46" i="8"/>
  <c r="J46" i="8"/>
  <c r="I46" i="8"/>
  <c r="K46" i="8" s="1"/>
  <c r="G46" i="8"/>
  <c r="X45" i="8"/>
  <c r="V45" i="8"/>
  <c r="U45" i="8"/>
  <c r="W45" i="8" s="1"/>
  <c r="T45" i="8"/>
  <c r="S45" i="8"/>
  <c r="Q45" i="8"/>
  <c r="P45" i="8"/>
  <c r="O45" i="8"/>
  <c r="J45" i="8"/>
  <c r="I45" i="8"/>
  <c r="K45" i="8" s="1"/>
  <c r="G45" i="8"/>
  <c r="X44" i="8"/>
  <c r="W44" i="8"/>
  <c r="V44" i="8"/>
  <c r="U44" i="8"/>
  <c r="T44" i="8"/>
  <c r="S44" i="8"/>
  <c r="Q44" i="8"/>
  <c r="P44" i="8"/>
  <c r="O44" i="8"/>
  <c r="J44" i="8"/>
  <c r="I44" i="8"/>
  <c r="K44" i="8" s="1"/>
  <c r="G44" i="8"/>
  <c r="X43" i="8"/>
  <c r="X48" i="8" s="1"/>
  <c r="U43" i="8"/>
  <c r="U48" i="8" s="1"/>
  <c r="T43" i="8"/>
  <c r="S43" i="8"/>
  <c r="Q43" i="8"/>
  <c r="Q48" i="8" s="1"/>
  <c r="P43" i="8"/>
  <c r="O43" i="8"/>
  <c r="K43" i="8"/>
  <c r="J43" i="8"/>
  <c r="J48" i="8" s="1"/>
  <c r="I43" i="8"/>
  <c r="I48" i="8" s="1"/>
  <c r="G43" i="8"/>
  <c r="R42" i="8"/>
  <c r="N42" i="8"/>
  <c r="N50" i="8" s="1"/>
  <c r="M42" i="8"/>
  <c r="M50" i="8" s="1"/>
  <c r="H42" i="8"/>
  <c r="G42" i="8" s="1"/>
  <c r="F42" i="8"/>
  <c r="E42" i="8"/>
  <c r="X41" i="8"/>
  <c r="U41" i="8"/>
  <c r="V41" i="8" s="1"/>
  <c r="T41" i="8"/>
  <c r="S41" i="8"/>
  <c r="Q41" i="8"/>
  <c r="P41" i="8"/>
  <c r="O41" i="8"/>
  <c r="J41" i="8"/>
  <c r="I41" i="8"/>
  <c r="K41" i="8" s="1"/>
  <c r="G41" i="8"/>
  <c r="X40" i="8"/>
  <c r="W40" i="8"/>
  <c r="U40" i="8"/>
  <c r="V40" i="8" s="1"/>
  <c r="T40" i="8"/>
  <c r="S40" i="8"/>
  <c r="Q40" i="8"/>
  <c r="P40" i="8"/>
  <c r="O40" i="8"/>
  <c r="K40" i="8"/>
  <c r="J40" i="8"/>
  <c r="I40" i="8"/>
  <c r="G40" i="8"/>
  <c r="X39" i="8"/>
  <c r="U39" i="8"/>
  <c r="W39" i="8" s="1"/>
  <c r="T39" i="8"/>
  <c r="S39" i="8"/>
  <c r="Q39" i="8"/>
  <c r="P39" i="8"/>
  <c r="O39" i="8"/>
  <c r="J39" i="8"/>
  <c r="I39" i="8"/>
  <c r="K39" i="8" s="1"/>
  <c r="G39" i="8"/>
  <c r="X38" i="8"/>
  <c r="U38" i="8"/>
  <c r="W38" i="8" s="1"/>
  <c r="T38" i="8"/>
  <c r="S38" i="8"/>
  <c r="Q38" i="8"/>
  <c r="P38" i="8"/>
  <c r="O38" i="8"/>
  <c r="J38" i="8"/>
  <c r="I38" i="8"/>
  <c r="K38" i="8" s="1"/>
  <c r="G38" i="8"/>
  <c r="X37" i="8"/>
  <c r="W37" i="8"/>
  <c r="V37" i="8"/>
  <c r="U37" i="8"/>
  <c r="T37" i="8"/>
  <c r="S37" i="8"/>
  <c r="Q37" i="8"/>
  <c r="P37" i="8"/>
  <c r="O37" i="8"/>
  <c r="J37" i="8"/>
  <c r="I37" i="8"/>
  <c r="K37" i="8" s="1"/>
  <c r="G37" i="8"/>
  <c r="X36" i="8"/>
  <c r="U36" i="8"/>
  <c r="V36" i="8" s="1"/>
  <c r="T36" i="8"/>
  <c r="S36" i="8"/>
  <c r="Q36" i="8"/>
  <c r="P36" i="8"/>
  <c r="O36" i="8"/>
  <c r="J36" i="8"/>
  <c r="I36" i="8"/>
  <c r="K36" i="8" s="1"/>
  <c r="G36" i="8"/>
  <c r="X35" i="8"/>
  <c r="U35" i="8"/>
  <c r="W35" i="8" s="1"/>
  <c r="T35" i="8"/>
  <c r="S35" i="8"/>
  <c r="Q35" i="8"/>
  <c r="P35" i="8"/>
  <c r="O35" i="8"/>
  <c r="J35" i="8"/>
  <c r="I35" i="8"/>
  <c r="K35" i="8" s="1"/>
  <c r="G35" i="8"/>
  <c r="X34" i="8"/>
  <c r="U34" i="8"/>
  <c r="W34" i="8" s="1"/>
  <c r="T34" i="8"/>
  <c r="S34" i="8"/>
  <c r="Q34" i="8"/>
  <c r="P34" i="8"/>
  <c r="O34" i="8"/>
  <c r="J34" i="8"/>
  <c r="I34" i="8"/>
  <c r="K34" i="8" s="1"/>
  <c r="G34" i="8"/>
  <c r="X33" i="8"/>
  <c r="U33" i="8"/>
  <c r="W33" i="8" s="1"/>
  <c r="T33" i="8"/>
  <c r="S33" i="8"/>
  <c r="Q33" i="8"/>
  <c r="P33" i="8"/>
  <c r="O33" i="8"/>
  <c r="J33" i="8"/>
  <c r="I33" i="8"/>
  <c r="K33" i="8" s="1"/>
  <c r="G33" i="8"/>
  <c r="X32" i="8"/>
  <c r="U32" i="8"/>
  <c r="W32" i="8" s="1"/>
  <c r="T32" i="8"/>
  <c r="S32" i="8"/>
  <c r="Q32" i="8"/>
  <c r="P32" i="8"/>
  <c r="O32" i="8"/>
  <c r="J32" i="8"/>
  <c r="I32" i="8"/>
  <c r="K32" i="8" s="1"/>
  <c r="G32" i="8"/>
  <c r="X31" i="8"/>
  <c r="U31" i="8"/>
  <c r="W31" i="8" s="1"/>
  <c r="T31" i="8"/>
  <c r="S31" i="8"/>
  <c r="Q31" i="8"/>
  <c r="P31" i="8"/>
  <c r="O31" i="8"/>
  <c r="J31" i="8"/>
  <c r="I31" i="8"/>
  <c r="K31" i="8" s="1"/>
  <c r="G31" i="8"/>
  <c r="X30" i="8"/>
  <c r="U30" i="8"/>
  <c r="V30" i="8" s="1"/>
  <c r="T30" i="8"/>
  <c r="S30" i="8"/>
  <c r="Q30" i="8"/>
  <c r="P30" i="8"/>
  <c r="O30" i="8"/>
  <c r="J30" i="8"/>
  <c r="I30" i="8"/>
  <c r="K30" i="8" s="1"/>
  <c r="G30" i="8"/>
  <c r="X29" i="8"/>
  <c r="U29" i="8"/>
  <c r="W29" i="8" s="1"/>
  <c r="T29" i="8"/>
  <c r="S29" i="8"/>
  <c r="Q29" i="8"/>
  <c r="P29" i="8"/>
  <c r="O29" i="8"/>
  <c r="J29" i="8"/>
  <c r="I29" i="8"/>
  <c r="K29" i="8" s="1"/>
  <c r="G29" i="8"/>
  <c r="X28" i="8"/>
  <c r="U28" i="8"/>
  <c r="V28" i="8" s="1"/>
  <c r="T28" i="8"/>
  <c r="S28" i="8"/>
  <c r="Q28" i="8"/>
  <c r="P28" i="8"/>
  <c r="O28" i="8"/>
  <c r="J28" i="8"/>
  <c r="I28" i="8"/>
  <c r="K28" i="8" s="1"/>
  <c r="G28" i="8"/>
  <c r="X27" i="8"/>
  <c r="U27" i="8"/>
  <c r="W27" i="8" s="1"/>
  <c r="T27" i="8"/>
  <c r="S27" i="8"/>
  <c r="Q27" i="8"/>
  <c r="P27" i="8"/>
  <c r="O27" i="8"/>
  <c r="J27" i="8"/>
  <c r="I27" i="8"/>
  <c r="K27" i="8" s="1"/>
  <c r="G27" i="8"/>
  <c r="X26" i="8"/>
  <c r="U26" i="8"/>
  <c r="W26" i="8" s="1"/>
  <c r="T26" i="8"/>
  <c r="S26" i="8"/>
  <c r="Q26" i="8"/>
  <c r="P26" i="8"/>
  <c r="O26" i="8"/>
  <c r="K26" i="8"/>
  <c r="J26" i="8"/>
  <c r="I26" i="8"/>
  <c r="G26" i="8"/>
  <c r="X25" i="8"/>
  <c r="U25" i="8"/>
  <c r="W25" i="8" s="1"/>
  <c r="T25" i="8"/>
  <c r="S25" i="8"/>
  <c r="Q25" i="8"/>
  <c r="P25" i="8"/>
  <c r="O25" i="8"/>
  <c r="K25" i="8"/>
  <c r="J25" i="8"/>
  <c r="I25" i="8"/>
  <c r="G25" i="8"/>
  <c r="X24" i="8"/>
  <c r="U24" i="8"/>
  <c r="V24" i="8" s="1"/>
  <c r="T24" i="8"/>
  <c r="S24" i="8"/>
  <c r="Q24" i="8"/>
  <c r="P24" i="8"/>
  <c r="O24" i="8"/>
  <c r="J24" i="8"/>
  <c r="I24" i="8"/>
  <c r="K24" i="8" s="1"/>
  <c r="G24" i="8"/>
  <c r="X23" i="8"/>
  <c r="U23" i="8"/>
  <c r="W23" i="8" s="1"/>
  <c r="T23" i="8"/>
  <c r="S23" i="8"/>
  <c r="Q23" i="8"/>
  <c r="P23" i="8"/>
  <c r="O23" i="8"/>
  <c r="J23" i="8"/>
  <c r="I23" i="8"/>
  <c r="K23" i="8" s="1"/>
  <c r="G23" i="8"/>
  <c r="X22" i="8"/>
  <c r="W22" i="8"/>
  <c r="T22" i="8"/>
  <c r="S22" i="8"/>
  <c r="Q22" i="8"/>
  <c r="Q42" i="8" s="1"/>
  <c r="Q50" i="8" s="1"/>
  <c r="P22" i="8"/>
  <c r="O22" i="8"/>
  <c r="J22" i="8"/>
  <c r="J42" i="8" s="1"/>
  <c r="J50" i="8" s="1"/>
  <c r="I22" i="8"/>
  <c r="K22" i="8" s="1"/>
  <c r="G22" i="8"/>
  <c r="N21" i="8"/>
  <c r="M21" i="8"/>
  <c r="H21" i="8"/>
  <c r="F21" i="8"/>
  <c r="E21" i="8"/>
  <c r="G21" i="8" s="1"/>
  <c r="X20" i="8"/>
  <c r="V20" i="8"/>
  <c r="U20" i="8"/>
  <c r="W20" i="8" s="1"/>
  <c r="T20" i="8"/>
  <c r="S20" i="8"/>
  <c r="Q20" i="8"/>
  <c r="P20" i="8"/>
  <c r="O20" i="8"/>
  <c r="J20" i="8"/>
  <c r="I20" i="8"/>
  <c r="K20" i="8" s="1"/>
  <c r="G20" i="8"/>
  <c r="X19" i="8"/>
  <c r="W19" i="8"/>
  <c r="V19" i="8"/>
  <c r="U19" i="8"/>
  <c r="T19" i="8"/>
  <c r="S19" i="8"/>
  <c r="Q19" i="8"/>
  <c r="P19" i="8"/>
  <c r="O19" i="8"/>
  <c r="K19" i="8"/>
  <c r="J19" i="8"/>
  <c r="I19" i="8"/>
  <c r="G19" i="8"/>
  <c r="X18" i="8"/>
  <c r="U18" i="8"/>
  <c r="V18" i="8" s="1"/>
  <c r="T18" i="8"/>
  <c r="S18" i="8"/>
  <c r="Q18" i="8"/>
  <c r="P18" i="8"/>
  <c r="O18" i="8"/>
  <c r="J18" i="8"/>
  <c r="I18" i="8"/>
  <c r="K18" i="8" s="1"/>
  <c r="G18" i="8"/>
  <c r="X17" i="8"/>
  <c r="W17" i="8"/>
  <c r="T17" i="8"/>
  <c r="S17" i="8"/>
  <c r="Q17" i="8"/>
  <c r="P17" i="8"/>
  <c r="O17" i="8"/>
  <c r="J17" i="8"/>
  <c r="I17" i="8"/>
  <c r="K17" i="8" s="1"/>
  <c r="G17" i="8"/>
  <c r="X16" i="8"/>
  <c r="U16" i="8"/>
  <c r="V16" i="8" s="1"/>
  <c r="T16" i="8"/>
  <c r="S16" i="8"/>
  <c r="Q16" i="8"/>
  <c r="P16" i="8"/>
  <c r="O16" i="8"/>
  <c r="J16" i="8"/>
  <c r="I16" i="8"/>
  <c r="K16" i="8" s="1"/>
  <c r="G16" i="8"/>
  <c r="X15" i="8"/>
  <c r="U15" i="8"/>
  <c r="W15" i="8" s="1"/>
  <c r="T15" i="8"/>
  <c r="S15" i="8"/>
  <c r="Q15" i="8"/>
  <c r="P15" i="8"/>
  <c r="O15" i="8"/>
  <c r="J15" i="8"/>
  <c r="I15" i="8"/>
  <c r="K15" i="8" s="1"/>
  <c r="G15" i="8"/>
  <c r="X14" i="8"/>
  <c r="U14" i="8"/>
  <c r="W14" i="8" s="1"/>
  <c r="T14" i="8"/>
  <c r="S14" i="8"/>
  <c r="Q14" i="8"/>
  <c r="P14" i="8"/>
  <c r="O14" i="8"/>
  <c r="J14" i="8"/>
  <c r="I14" i="8"/>
  <c r="K14" i="8" s="1"/>
  <c r="G14" i="8"/>
  <c r="X13" i="8"/>
  <c r="U13" i="8"/>
  <c r="V13" i="8" s="1"/>
  <c r="T13" i="8"/>
  <c r="S13" i="8"/>
  <c r="Q13" i="8"/>
  <c r="P13" i="8"/>
  <c r="O13" i="8"/>
  <c r="J13" i="8"/>
  <c r="I13" i="8"/>
  <c r="K13" i="8" s="1"/>
  <c r="G13" i="8"/>
  <c r="X12" i="8"/>
  <c r="U12" i="8"/>
  <c r="V12" i="8" s="1"/>
  <c r="T12" i="8"/>
  <c r="S12" i="8"/>
  <c r="Q12" i="8"/>
  <c r="P12" i="8"/>
  <c r="O12" i="8"/>
  <c r="J12" i="8"/>
  <c r="I12" i="8"/>
  <c r="K12" i="8" s="1"/>
  <c r="G12" i="8"/>
  <c r="X11" i="8"/>
  <c r="U11" i="8"/>
  <c r="W11" i="8" s="1"/>
  <c r="T11" i="8"/>
  <c r="S11" i="8"/>
  <c r="Q11" i="8"/>
  <c r="Q21" i="8" s="1"/>
  <c r="P11" i="8"/>
  <c r="O11" i="8"/>
  <c r="J11" i="8"/>
  <c r="I11" i="8"/>
  <c r="K11" i="8" s="1"/>
  <c r="G11" i="8"/>
  <c r="X10" i="8"/>
  <c r="U10" i="8"/>
  <c r="W10" i="8" s="1"/>
  <c r="T10" i="8"/>
  <c r="S10" i="8"/>
  <c r="Q10" i="8"/>
  <c r="P10" i="8"/>
  <c r="O10" i="8"/>
  <c r="J10" i="8"/>
  <c r="I10" i="8"/>
  <c r="K10" i="8" s="1"/>
  <c r="G10" i="8"/>
  <c r="X9" i="8"/>
  <c r="U9" i="8"/>
  <c r="V9" i="8" s="1"/>
  <c r="T9" i="8"/>
  <c r="S9" i="8"/>
  <c r="Q9" i="8"/>
  <c r="P9" i="8"/>
  <c r="O9" i="8"/>
  <c r="J9" i="8"/>
  <c r="I9" i="8"/>
  <c r="K9" i="8" s="1"/>
  <c r="G9" i="8"/>
  <c r="X8" i="8"/>
  <c r="U8" i="8"/>
  <c r="W8" i="8" s="1"/>
  <c r="T8" i="8"/>
  <c r="S8" i="8"/>
  <c r="Q8" i="8"/>
  <c r="P8" i="8"/>
  <c r="O8" i="8"/>
  <c r="K8" i="8"/>
  <c r="J8" i="8"/>
  <c r="I8" i="8"/>
  <c r="G8" i="8"/>
  <c r="X7" i="8"/>
  <c r="U7" i="8"/>
  <c r="W7" i="8" s="1"/>
  <c r="T7" i="8"/>
  <c r="S7" i="8"/>
  <c r="Q7" i="8"/>
  <c r="P7" i="8"/>
  <c r="O7" i="8"/>
  <c r="K7" i="8"/>
  <c r="J7" i="8"/>
  <c r="J21" i="8" s="1"/>
  <c r="I7" i="8"/>
  <c r="G7" i="8"/>
  <c r="R6" i="8"/>
  <c r="N6" i="8"/>
  <c r="M6" i="8"/>
  <c r="H6" i="8"/>
  <c r="G6" i="8" s="1"/>
  <c r="F6" i="8"/>
  <c r="E6" i="8"/>
  <c r="X5" i="8"/>
  <c r="U5" i="8"/>
  <c r="V5" i="8" s="1"/>
  <c r="T5" i="8"/>
  <c r="S5" i="8"/>
  <c r="Q5" i="8"/>
  <c r="Q6" i="8" s="1"/>
  <c r="P5" i="8"/>
  <c r="O5" i="8"/>
  <c r="J5" i="8"/>
  <c r="I5" i="8"/>
  <c r="K5" i="8" s="1"/>
  <c r="G5" i="8"/>
  <c r="X4" i="8"/>
  <c r="U4" i="8"/>
  <c r="V4" i="8" s="1"/>
  <c r="T4" i="8"/>
  <c r="S4" i="8"/>
  <c r="Q4" i="8"/>
  <c r="P4" i="8"/>
  <c r="O4" i="8"/>
  <c r="J4" i="8"/>
  <c r="I4" i="8"/>
  <c r="K4" i="8" s="1"/>
  <c r="G4" i="8"/>
  <c r="X3" i="8"/>
  <c r="U3" i="8"/>
  <c r="W3" i="8" s="1"/>
  <c r="T3" i="8"/>
  <c r="S3" i="8"/>
  <c r="Q3" i="8"/>
  <c r="P3" i="8"/>
  <c r="O3" i="8"/>
  <c r="K3" i="8"/>
  <c r="J3" i="8"/>
  <c r="J6" i="8" s="1"/>
  <c r="I3" i="8"/>
  <c r="G3" i="8"/>
  <c r="W41" i="8" l="1"/>
  <c r="W13" i="8"/>
  <c r="N49" i="8"/>
  <c r="W36" i="8"/>
  <c r="V35" i="8"/>
  <c r="V32" i="8"/>
  <c r="V31" i="8"/>
  <c r="W28" i="8"/>
  <c r="V23" i="8"/>
  <c r="W18" i="8"/>
  <c r="V17" i="8"/>
  <c r="V7" i="8"/>
  <c r="W4" i="8"/>
  <c r="E50" i="8"/>
  <c r="C58" i="8" s="1"/>
  <c r="K42" i="8"/>
  <c r="F50" i="8"/>
  <c r="E58" i="8" s="1"/>
  <c r="F49" i="8"/>
  <c r="E54" i="8" s="1"/>
  <c r="I6" i="8"/>
  <c r="I21" i="8"/>
  <c r="K21" i="8"/>
  <c r="W30" i="8"/>
  <c r="V29" i="8"/>
  <c r="V25" i="8"/>
  <c r="W24" i="8"/>
  <c r="X42" i="8"/>
  <c r="W16" i="8"/>
  <c r="W12" i="8"/>
  <c r="V11" i="8"/>
  <c r="U21" i="8"/>
  <c r="X21" i="8"/>
  <c r="W5" i="8"/>
  <c r="R50" i="8"/>
  <c r="R49" i="8"/>
  <c r="X6" i="8"/>
  <c r="U6" i="8"/>
  <c r="Q49" i="8"/>
  <c r="D54" i="8"/>
  <c r="C55" i="8" s="1"/>
  <c r="G49" i="8"/>
  <c r="K6" i="8"/>
  <c r="J49" i="8"/>
  <c r="K48" i="8"/>
  <c r="U42" i="8"/>
  <c r="V43" i="8"/>
  <c r="H50" i="8"/>
  <c r="W43" i="8"/>
  <c r="V8" i="8"/>
  <c r="V33" i="8"/>
  <c r="W9" i="8"/>
  <c r="V10" i="8"/>
  <c r="V22" i="8"/>
  <c r="V34" i="8"/>
  <c r="V46" i="8"/>
  <c r="I42" i="8"/>
  <c r="V26" i="8"/>
  <c r="V38" i="8"/>
  <c r="V14" i="8"/>
  <c r="V3" i="8"/>
  <c r="V27" i="8"/>
  <c r="V39" i="8"/>
  <c r="V15" i="8"/>
  <c r="G48" i="8"/>
  <c r="X49" i="8" l="1"/>
  <c r="I50" i="8"/>
  <c r="F58" i="8" s="1"/>
  <c r="E59" i="8" s="1"/>
  <c r="K50" i="8"/>
  <c r="K49" i="8"/>
  <c r="X50" i="8"/>
  <c r="U50" i="8"/>
  <c r="I49" i="8"/>
  <c r="F54" i="8" s="1"/>
  <c r="E55" i="8" s="1"/>
  <c r="G50" i="8"/>
  <c r="D58" i="8"/>
  <c r="C59" i="8" s="1"/>
  <c r="U49" i="8"/>
  <c r="U4" i="4" l="1"/>
  <c r="C6" i="6" l="1"/>
  <c r="C4" i="6"/>
  <c r="R48" i="4" l="1"/>
  <c r="X47" i="4"/>
  <c r="V47" i="4"/>
  <c r="U47" i="4"/>
  <c r="W47" i="4" s="1"/>
  <c r="T47" i="4"/>
  <c r="S47" i="4"/>
  <c r="Q47" i="4"/>
  <c r="P47" i="4"/>
  <c r="O47" i="4"/>
  <c r="X46" i="4"/>
  <c r="X48" i="4" s="1"/>
  <c r="W46" i="4"/>
  <c r="V46" i="4"/>
  <c r="U46" i="4"/>
  <c r="T46" i="4"/>
  <c r="S46" i="4"/>
  <c r="Q46" i="4"/>
  <c r="P46" i="4"/>
  <c r="O46" i="4"/>
  <c r="X45" i="4"/>
  <c r="V45" i="4"/>
  <c r="U45" i="4"/>
  <c r="W45" i="4" s="1"/>
  <c r="T45" i="4"/>
  <c r="S45" i="4"/>
  <c r="Q45" i="4"/>
  <c r="P45" i="4"/>
  <c r="O45" i="4"/>
  <c r="X44" i="4"/>
  <c r="W44" i="4"/>
  <c r="V44" i="4"/>
  <c r="U44" i="4"/>
  <c r="T44" i="4"/>
  <c r="S44" i="4"/>
  <c r="Q44" i="4"/>
  <c r="Q48" i="4" s="1"/>
  <c r="P44" i="4"/>
  <c r="O44" i="4"/>
  <c r="X43" i="4"/>
  <c r="W43" i="4"/>
  <c r="V43" i="4"/>
  <c r="U43" i="4"/>
  <c r="T43" i="4"/>
  <c r="S43" i="4"/>
  <c r="Q43" i="4"/>
  <c r="P43" i="4"/>
  <c r="O43" i="4"/>
  <c r="R42" i="4"/>
  <c r="X41" i="4"/>
  <c r="U41" i="4"/>
  <c r="V41" i="4" s="1"/>
  <c r="T41" i="4"/>
  <c r="S41" i="4"/>
  <c r="Q41" i="4"/>
  <c r="P41" i="4"/>
  <c r="O41" i="4"/>
  <c r="X40" i="4"/>
  <c r="W40" i="4"/>
  <c r="U40" i="4"/>
  <c r="V40" i="4" s="1"/>
  <c r="T40" i="4"/>
  <c r="S40" i="4"/>
  <c r="Q40" i="4"/>
  <c r="P40" i="4"/>
  <c r="O40" i="4"/>
  <c r="X39" i="4"/>
  <c r="U39" i="4"/>
  <c r="W39" i="4" s="1"/>
  <c r="T39" i="4"/>
  <c r="S39" i="4"/>
  <c r="Q39" i="4"/>
  <c r="P39" i="4"/>
  <c r="O39" i="4"/>
  <c r="X38" i="4"/>
  <c r="V38" i="4"/>
  <c r="U38" i="4"/>
  <c r="W38" i="4" s="1"/>
  <c r="T38" i="4"/>
  <c r="S38" i="4"/>
  <c r="Q38" i="4"/>
  <c r="P38" i="4"/>
  <c r="O38" i="4"/>
  <c r="X37" i="4"/>
  <c r="W37" i="4"/>
  <c r="V37" i="4"/>
  <c r="U37" i="4"/>
  <c r="T37" i="4"/>
  <c r="S37" i="4"/>
  <c r="Q37" i="4"/>
  <c r="P37" i="4"/>
  <c r="O37" i="4"/>
  <c r="X36" i="4"/>
  <c r="U36" i="4"/>
  <c r="W36" i="4" s="1"/>
  <c r="T36" i="4"/>
  <c r="S36" i="4"/>
  <c r="Q36" i="4"/>
  <c r="P36" i="4"/>
  <c r="O36" i="4"/>
  <c r="X35" i="4"/>
  <c r="U35" i="4"/>
  <c r="W35" i="4" s="1"/>
  <c r="T35" i="4"/>
  <c r="S35" i="4"/>
  <c r="Q35" i="4"/>
  <c r="P35" i="4"/>
  <c r="O35" i="4"/>
  <c r="X34" i="4"/>
  <c r="V34" i="4"/>
  <c r="U34" i="4"/>
  <c r="W34" i="4" s="1"/>
  <c r="T34" i="4"/>
  <c r="S34" i="4"/>
  <c r="Q34" i="4"/>
  <c r="P34" i="4"/>
  <c r="O34" i="4"/>
  <c r="X33" i="4"/>
  <c r="U33" i="4"/>
  <c r="W33" i="4" s="1"/>
  <c r="T33" i="4"/>
  <c r="S33" i="4"/>
  <c r="Q33" i="4"/>
  <c r="P33" i="4"/>
  <c r="O33" i="4"/>
  <c r="X32" i="4"/>
  <c r="U32" i="4"/>
  <c r="W32" i="4" s="1"/>
  <c r="T32" i="4"/>
  <c r="S32" i="4"/>
  <c r="Q32" i="4"/>
  <c r="P32" i="4"/>
  <c r="O32" i="4"/>
  <c r="X31" i="4"/>
  <c r="U31" i="4"/>
  <c r="W31" i="4" s="1"/>
  <c r="T31" i="4"/>
  <c r="S31" i="4"/>
  <c r="Q31" i="4"/>
  <c r="P31" i="4"/>
  <c r="O31" i="4"/>
  <c r="X30" i="4"/>
  <c r="U30" i="4"/>
  <c r="W30" i="4" s="1"/>
  <c r="T30" i="4"/>
  <c r="S30" i="4"/>
  <c r="Q30" i="4"/>
  <c r="P30" i="4"/>
  <c r="O30" i="4"/>
  <c r="X29" i="4"/>
  <c r="U29" i="4"/>
  <c r="W29" i="4" s="1"/>
  <c r="T29" i="4"/>
  <c r="S29" i="4"/>
  <c r="Q29" i="4"/>
  <c r="P29" i="4"/>
  <c r="O29" i="4"/>
  <c r="X28" i="4"/>
  <c r="W28" i="4"/>
  <c r="U28" i="4"/>
  <c r="V28" i="4" s="1"/>
  <c r="T28" i="4"/>
  <c r="S28" i="4"/>
  <c r="Q28" i="4"/>
  <c r="P28" i="4"/>
  <c r="O28" i="4"/>
  <c r="X27" i="4"/>
  <c r="U27" i="4"/>
  <c r="W27" i="4" s="1"/>
  <c r="T27" i="4"/>
  <c r="S27" i="4"/>
  <c r="Q27" i="4"/>
  <c r="P27" i="4"/>
  <c r="O27" i="4"/>
  <c r="X26" i="4"/>
  <c r="U26" i="4"/>
  <c r="W26" i="4" s="1"/>
  <c r="T26" i="4"/>
  <c r="S26" i="4"/>
  <c r="Q26" i="4"/>
  <c r="P26" i="4"/>
  <c r="O26" i="4"/>
  <c r="X25" i="4"/>
  <c r="U25" i="4"/>
  <c r="W25" i="4" s="1"/>
  <c r="T25" i="4"/>
  <c r="S25" i="4"/>
  <c r="Q25" i="4"/>
  <c r="P25" i="4"/>
  <c r="O25" i="4"/>
  <c r="X24" i="4"/>
  <c r="U24" i="4"/>
  <c r="W24" i="4" s="1"/>
  <c r="T24" i="4"/>
  <c r="S24" i="4"/>
  <c r="Q24" i="4"/>
  <c r="P24" i="4"/>
  <c r="O24" i="4"/>
  <c r="X23" i="4"/>
  <c r="U23" i="4"/>
  <c r="T23" i="4"/>
  <c r="S23" i="4"/>
  <c r="Q23" i="4"/>
  <c r="P23" i="4"/>
  <c r="O23" i="4"/>
  <c r="X22" i="4"/>
  <c r="U22" i="4"/>
  <c r="W22" i="4" s="1"/>
  <c r="T22" i="4"/>
  <c r="S22" i="4"/>
  <c r="Q22" i="4"/>
  <c r="Q42" i="4" s="1"/>
  <c r="P22" i="4"/>
  <c r="O22" i="4"/>
  <c r="R21" i="4"/>
  <c r="X20" i="4"/>
  <c r="W20" i="4"/>
  <c r="U20" i="4"/>
  <c r="V20" i="4" s="1"/>
  <c r="T20" i="4"/>
  <c r="S20" i="4"/>
  <c r="Q20" i="4"/>
  <c r="P20" i="4"/>
  <c r="O20" i="4"/>
  <c r="X19" i="4"/>
  <c r="U19" i="4"/>
  <c r="W19" i="4" s="1"/>
  <c r="T19" i="4"/>
  <c r="S19" i="4"/>
  <c r="Q19" i="4"/>
  <c r="P19" i="4"/>
  <c r="O19" i="4"/>
  <c r="X18" i="4"/>
  <c r="U18" i="4"/>
  <c r="W18" i="4" s="1"/>
  <c r="T18" i="4"/>
  <c r="S18" i="4"/>
  <c r="Q18" i="4"/>
  <c r="P18" i="4"/>
  <c r="O18" i="4"/>
  <c r="X17" i="4"/>
  <c r="U17" i="4"/>
  <c r="W17" i="4" s="1"/>
  <c r="T17" i="4"/>
  <c r="S17" i="4"/>
  <c r="Q17" i="4"/>
  <c r="P17" i="4"/>
  <c r="O17" i="4"/>
  <c r="X16" i="4"/>
  <c r="U16" i="4"/>
  <c r="V16" i="4" s="1"/>
  <c r="T16" i="4"/>
  <c r="S16" i="4"/>
  <c r="Q16" i="4"/>
  <c r="P16" i="4"/>
  <c r="O16" i="4"/>
  <c r="X15" i="4"/>
  <c r="U15" i="4"/>
  <c r="V15" i="4" s="1"/>
  <c r="T15" i="4"/>
  <c r="S15" i="4"/>
  <c r="Q15" i="4"/>
  <c r="P15" i="4"/>
  <c r="O15" i="4"/>
  <c r="X14" i="4"/>
  <c r="U14" i="4"/>
  <c r="V14" i="4" s="1"/>
  <c r="T14" i="4"/>
  <c r="S14" i="4"/>
  <c r="Q14" i="4"/>
  <c r="P14" i="4"/>
  <c r="O14" i="4"/>
  <c r="X13" i="4"/>
  <c r="U13" i="4"/>
  <c r="W13" i="4" s="1"/>
  <c r="T13" i="4"/>
  <c r="S13" i="4"/>
  <c r="Q13" i="4"/>
  <c r="P13" i="4"/>
  <c r="O13" i="4"/>
  <c r="X12" i="4"/>
  <c r="W12" i="4"/>
  <c r="U12" i="4"/>
  <c r="V12" i="4" s="1"/>
  <c r="T12" i="4"/>
  <c r="S12" i="4"/>
  <c r="Q12" i="4"/>
  <c r="P12" i="4"/>
  <c r="O12" i="4"/>
  <c r="X11" i="4"/>
  <c r="U11" i="4"/>
  <c r="V11" i="4" s="1"/>
  <c r="T11" i="4"/>
  <c r="S11" i="4"/>
  <c r="Q11" i="4"/>
  <c r="P11" i="4"/>
  <c r="O11" i="4"/>
  <c r="X10" i="4"/>
  <c r="U10" i="4"/>
  <c r="V10" i="4" s="1"/>
  <c r="T10" i="4"/>
  <c r="S10" i="4"/>
  <c r="Q10" i="4"/>
  <c r="P10" i="4"/>
  <c r="O10" i="4"/>
  <c r="X9" i="4"/>
  <c r="U9" i="4"/>
  <c r="W9" i="4" s="1"/>
  <c r="T9" i="4"/>
  <c r="S9" i="4"/>
  <c r="Q9" i="4"/>
  <c r="P9" i="4"/>
  <c r="O9" i="4"/>
  <c r="X8" i="4"/>
  <c r="U8" i="4"/>
  <c r="V8" i="4" s="1"/>
  <c r="T8" i="4"/>
  <c r="S8" i="4"/>
  <c r="Q8" i="4"/>
  <c r="P8" i="4"/>
  <c r="O8" i="4"/>
  <c r="X7" i="4"/>
  <c r="U7" i="4"/>
  <c r="T7" i="4"/>
  <c r="S7" i="4"/>
  <c r="Q7" i="4"/>
  <c r="Q21" i="4" s="1"/>
  <c r="P7" i="4"/>
  <c r="O7" i="4"/>
  <c r="R6" i="4"/>
  <c r="X5" i="4"/>
  <c r="U5" i="4"/>
  <c r="T5" i="4"/>
  <c r="S5" i="4"/>
  <c r="Q5" i="4"/>
  <c r="P5" i="4"/>
  <c r="O5" i="4"/>
  <c r="X4" i="4"/>
  <c r="X6" i="4" s="1"/>
  <c r="W4" i="4"/>
  <c r="T4" i="4"/>
  <c r="S4" i="4"/>
  <c r="Q4" i="4"/>
  <c r="P4" i="4"/>
  <c r="O4" i="4"/>
  <c r="X3" i="4"/>
  <c r="U3" i="4"/>
  <c r="W3" i="4" s="1"/>
  <c r="T3" i="4"/>
  <c r="S3" i="4"/>
  <c r="Q3" i="4"/>
  <c r="Q6" i="4" s="1"/>
  <c r="P3" i="4"/>
  <c r="O3" i="4"/>
  <c r="G59" i="4"/>
  <c r="G55" i="4"/>
  <c r="N48" i="4"/>
  <c r="N49" i="4" s="1"/>
  <c r="M48" i="4"/>
  <c r="M49" i="4" s="1"/>
  <c r="H48" i="4"/>
  <c r="H49" i="4" s="1"/>
  <c r="F48" i="4"/>
  <c r="E48" i="4"/>
  <c r="J47" i="4"/>
  <c r="I47" i="4"/>
  <c r="K47" i="4" s="1"/>
  <c r="G47" i="4"/>
  <c r="K46" i="4"/>
  <c r="J46" i="4"/>
  <c r="I46" i="4"/>
  <c r="G46" i="4"/>
  <c r="J45" i="4"/>
  <c r="J48" i="4" s="1"/>
  <c r="I45" i="4"/>
  <c r="K45" i="4" s="1"/>
  <c r="G45" i="4"/>
  <c r="J44" i="4"/>
  <c r="I44" i="4"/>
  <c r="K44" i="4" s="1"/>
  <c r="G44" i="4"/>
  <c r="J43" i="4"/>
  <c r="I43" i="4"/>
  <c r="K43" i="4" s="1"/>
  <c r="G43" i="4"/>
  <c r="N42" i="4"/>
  <c r="M42" i="4"/>
  <c r="H42" i="4"/>
  <c r="H50" i="4" s="1"/>
  <c r="G42" i="4"/>
  <c r="F42" i="4"/>
  <c r="E42" i="4"/>
  <c r="J41" i="4"/>
  <c r="I41" i="4"/>
  <c r="K41" i="4" s="1"/>
  <c r="G41" i="4"/>
  <c r="J40" i="4"/>
  <c r="I40" i="4"/>
  <c r="K40" i="4" s="1"/>
  <c r="G40" i="4"/>
  <c r="J39" i="4"/>
  <c r="I39" i="4"/>
  <c r="K39" i="4" s="1"/>
  <c r="G39" i="4"/>
  <c r="J38" i="4"/>
  <c r="I38" i="4"/>
  <c r="K38" i="4" s="1"/>
  <c r="G38" i="4"/>
  <c r="J37" i="4"/>
  <c r="I37" i="4"/>
  <c r="K37" i="4" s="1"/>
  <c r="G37" i="4"/>
  <c r="J36" i="4"/>
  <c r="I36" i="4"/>
  <c r="K36" i="4" s="1"/>
  <c r="G36" i="4"/>
  <c r="J35" i="4"/>
  <c r="I35" i="4"/>
  <c r="K35" i="4" s="1"/>
  <c r="G35" i="4"/>
  <c r="J34" i="4"/>
  <c r="I34" i="4"/>
  <c r="K34" i="4" s="1"/>
  <c r="G34" i="4"/>
  <c r="J33" i="4"/>
  <c r="I33" i="4"/>
  <c r="K33" i="4" s="1"/>
  <c r="G33" i="4"/>
  <c r="J32" i="4"/>
  <c r="I32" i="4"/>
  <c r="K32" i="4" s="1"/>
  <c r="G32" i="4"/>
  <c r="J31" i="4"/>
  <c r="I31" i="4"/>
  <c r="K31" i="4" s="1"/>
  <c r="G31" i="4"/>
  <c r="J30" i="4"/>
  <c r="I30" i="4"/>
  <c r="K30" i="4" s="1"/>
  <c r="G30" i="4"/>
  <c r="J29" i="4"/>
  <c r="I29" i="4"/>
  <c r="K29" i="4" s="1"/>
  <c r="G29" i="4"/>
  <c r="J28" i="4"/>
  <c r="I28" i="4"/>
  <c r="K28" i="4" s="1"/>
  <c r="G28" i="4"/>
  <c r="J27" i="4"/>
  <c r="I27" i="4"/>
  <c r="K27" i="4" s="1"/>
  <c r="G27" i="4"/>
  <c r="J26" i="4"/>
  <c r="I26" i="4"/>
  <c r="K26" i="4" s="1"/>
  <c r="G26" i="4"/>
  <c r="J25" i="4"/>
  <c r="I25" i="4"/>
  <c r="K25" i="4" s="1"/>
  <c r="G25" i="4"/>
  <c r="J24" i="4"/>
  <c r="I24" i="4"/>
  <c r="K24" i="4" s="1"/>
  <c r="G24" i="4"/>
  <c r="J23" i="4"/>
  <c r="I23" i="4"/>
  <c r="K23" i="4" s="1"/>
  <c r="G23" i="4"/>
  <c r="J22" i="4"/>
  <c r="J42" i="4" s="1"/>
  <c r="I22" i="4"/>
  <c r="K22" i="4" s="1"/>
  <c r="G22" i="4"/>
  <c r="N21" i="4"/>
  <c r="N50" i="4" s="1"/>
  <c r="M21" i="4"/>
  <c r="M50" i="4" s="1"/>
  <c r="H21" i="4"/>
  <c r="F21" i="4"/>
  <c r="E21" i="4"/>
  <c r="J20" i="4"/>
  <c r="I20" i="4"/>
  <c r="K20" i="4" s="1"/>
  <c r="G20" i="4"/>
  <c r="J19" i="4"/>
  <c r="I19" i="4"/>
  <c r="K19" i="4" s="1"/>
  <c r="G19" i="4"/>
  <c r="J18" i="4"/>
  <c r="I18" i="4"/>
  <c r="K18" i="4" s="1"/>
  <c r="G18" i="4"/>
  <c r="J17" i="4"/>
  <c r="I17" i="4"/>
  <c r="K17" i="4" s="1"/>
  <c r="G17" i="4"/>
  <c r="J16" i="4"/>
  <c r="I16" i="4"/>
  <c r="K16" i="4" s="1"/>
  <c r="G16" i="4"/>
  <c r="J15" i="4"/>
  <c r="I15" i="4"/>
  <c r="G15" i="4"/>
  <c r="K14" i="4"/>
  <c r="J14" i="4"/>
  <c r="I14" i="4"/>
  <c r="G14" i="4"/>
  <c r="J13" i="4"/>
  <c r="I13" i="4"/>
  <c r="K13" i="4" s="1"/>
  <c r="G13" i="4"/>
  <c r="J12" i="4"/>
  <c r="I12" i="4"/>
  <c r="K12" i="4" s="1"/>
  <c r="G12" i="4"/>
  <c r="J11" i="4"/>
  <c r="I11" i="4"/>
  <c r="K11" i="4" s="1"/>
  <c r="G11" i="4"/>
  <c r="J10" i="4"/>
  <c r="I10" i="4"/>
  <c r="K10" i="4" s="1"/>
  <c r="G10" i="4"/>
  <c r="J9" i="4"/>
  <c r="I9" i="4"/>
  <c r="K9" i="4" s="1"/>
  <c r="G9" i="4"/>
  <c r="J8" i="4"/>
  <c r="J21" i="4" s="1"/>
  <c r="I8" i="4"/>
  <c r="K8" i="4" s="1"/>
  <c r="G8" i="4"/>
  <c r="J7" i="4"/>
  <c r="I7" i="4"/>
  <c r="K7" i="4" s="1"/>
  <c r="G7" i="4"/>
  <c r="N6" i="4"/>
  <c r="M6" i="4"/>
  <c r="H6" i="4"/>
  <c r="G6" i="4" s="1"/>
  <c r="F6" i="4"/>
  <c r="E6" i="4"/>
  <c r="J5" i="4"/>
  <c r="I5" i="4"/>
  <c r="K5" i="4" s="1"/>
  <c r="G5" i="4"/>
  <c r="J4" i="4"/>
  <c r="I4" i="4"/>
  <c r="K4" i="4" s="1"/>
  <c r="G4" i="4"/>
  <c r="J3" i="4"/>
  <c r="J6" i="4" s="1"/>
  <c r="I3" i="4"/>
  <c r="K3" i="4" s="1"/>
  <c r="G3" i="4"/>
  <c r="G21" i="4" l="1"/>
  <c r="E49" i="4"/>
  <c r="C54" i="4" s="1"/>
  <c r="E50" i="4"/>
  <c r="C58" i="4" s="1"/>
  <c r="W41" i="4"/>
  <c r="V36" i="4"/>
  <c r="V33" i="4"/>
  <c r="V32" i="4"/>
  <c r="V30" i="4"/>
  <c r="V29" i="4"/>
  <c r="V26" i="4"/>
  <c r="V25" i="4"/>
  <c r="V24" i="4"/>
  <c r="X42" i="4"/>
  <c r="V17" i="4"/>
  <c r="W15" i="4"/>
  <c r="W16" i="4"/>
  <c r="W14" i="4"/>
  <c r="V13" i="4"/>
  <c r="W11" i="4"/>
  <c r="U42" i="4"/>
  <c r="V22" i="4"/>
  <c r="W10" i="4"/>
  <c r="V9" i="4"/>
  <c r="U21" i="4"/>
  <c r="X21" i="4"/>
  <c r="W8" i="4"/>
  <c r="W7" i="4"/>
  <c r="W5" i="4"/>
  <c r="D6" i="6"/>
  <c r="B7" i="6" s="1"/>
  <c r="U6" i="4"/>
  <c r="F49" i="4"/>
  <c r="E54" i="4" s="1"/>
  <c r="F50" i="4"/>
  <c r="E58" i="4" s="1"/>
  <c r="R49" i="4"/>
  <c r="R50" i="4"/>
  <c r="I21" i="4"/>
  <c r="K6" i="4"/>
  <c r="I42" i="4"/>
  <c r="I48" i="4"/>
  <c r="Q49" i="4"/>
  <c r="Q50" i="4"/>
  <c r="V3" i="4"/>
  <c r="V23" i="4"/>
  <c r="V27" i="4"/>
  <c r="V31" i="4"/>
  <c r="V35" i="4"/>
  <c r="V39" i="4"/>
  <c r="U48" i="4"/>
  <c r="W23" i="4"/>
  <c r="V5" i="4"/>
  <c r="V7" i="4"/>
  <c r="V19" i="4"/>
  <c r="V4" i="4"/>
  <c r="V18" i="4"/>
  <c r="K42" i="4"/>
  <c r="K48" i="4"/>
  <c r="J50" i="4"/>
  <c r="D58" i="4"/>
  <c r="C59" i="4" s="1"/>
  <c r="G50" i="4"/>
  <c r="D54" i="4"/>
  <c r="C55" i="4" s="1"/>
  <c r="G49" i="4"/>
  <c r="J49" i="4"/>
  <c r="K15" i="4"/>
  <c r="K21" i="4" s="1"/>
  <c r="I6" i="4"/>
  <c r="G48" i="4"/>
  <c r="X50" i="4" l="1"/>
  <c r="U50" i="4"/>
  <c r="X49" i="4"/>
  <c r="U49" i="4"/>
  <c r="I50" i="4"/>
  <c r="F58" i="4" s="1"/>
  <c r="E59" i="4" s="1"/>
  <c r="I49" i="4"/>
  <c r="F54" i="4" s="1"/>
  <c r="E55" i="4" s="1"/>
  <c r="K49" i="4"/>
  <c r="K50" i="4"/>
  <c r="N21" i="3" l="1"/>
  <c r="O4" i="3"/>
  <c r="R4" i="3"/>
  <c r="Q4" i="3"/>
  <c r="J4" i="3"/>
  <c r="I4" i="3"/>
  <c r="K4" i="3" s="1"/>
  <c r="G4" i="3"/>
  <c r="E21" i="3"/>
  <c r="I47" i="3" l="1"/>
  <c r="I46" i="3"/>
  <c r="I45" i="3"/>
  <c r="I44" i="3"/>
  <c r="I43" i="3"/>
  <c r="I39" i="3"/>
  <c r="I38" i="3"/>
  <c r="I37" i="3"/>
  <c r="I36" i="3"/>
  <c r="I35" i="3"/>
  <c r="I34" i="3"/>
  <c r="I33" i="3"/>
  <c r="I32" i="3"/>
  <c r="I31" i="3"/>
  <c r="I30" i="3"/>
  <c r="I29" i="3"/>
  <c r="I28" i="3"/>
  <c r="I26" i="3"/>
  <c r="I25" i="3"/>
  <c r="I24" i="3"/>
  <c r="I23" i="3"/>
  <c r="I22" i="3"/>
  <c r="I20" i="3"/>
  <c r="I19" i="3"/>
  <c r="I18" i="3"/>
  <c r="I17" i="3"/>
  <c r="I16" i="3"/>
  <c r="I15" i="3"/>
  <c r="I5" i="3"/>
  <c r="I3" i="3"/>
  <c r="G47" i="3" l="1"/>
  <c r="G46" i="3"/>
  <c r="G45" i="3"/>
  <c r="G44" i="3"/>
  <c r="G43" i="3"/>
  <c r="G39" i="3"/>
  <c r="G38" i="3"/>
  <c r="G37" i="3"/>
  <c r="G36" i="3"/>
  <c r="G35" i="3"/>
  <c r="G34" i="3"/>
  <c r="G33" i="3"/>
  <c r="G32" i="3"/>
  <c r="G31" i="3"/>
  <c r="G30" i="3"/>
  <c r="G29" i="3"/>
  <c r="G28" i="3"/>
  <c r="G26" i="3"/>
  <c r="G25" i="3"/>
  <c r="G24" i="3"/>
  <c r="G23" i="3"/>
  <c r="G22" i="3"/>
  <c r="G20" i="3"/>
  <c r="G19" i="3"/>
  <c r="G18" i="3"/>
  <c r="G17" i="3"/>
  <c r="G16" i="3"/>
  <c r="G15" i="3"/>
  <c r="G5" i="3"/>
  <c r="G3" i="3"/>
  <c r="G59" i="3" l="1"/>
  <c r="N48" i="3"/>
  <c r="M48" i="3"/>
  <c r="H48" i="3"/>
  <c r="F48" i="3"/>
  <c r="E48" i="3"/>
  <c r="R47" i="3"/>
  <c r="Q47" i="3"/>
  <c r="O47" i="3"/>
  <c r="K47" i="3"/>
  <c r="J47" i="3"/>
  <c r="R46" i="3"/>
  <c r="Q46" i="3"/>
  <c r="O46" i="3"/>
  <c r="K46" i="3"/>
  <c r="J46" i="3"/>
  <c r="R45" i="3"/>
  <c r="Q45" i="3"/>
  <c r="O45" i="3"/>
  <c r="K45" i="3"/>
  <c r="J45" i="3"/>
  <c r="R44" i="3"/>
  <c r="Q44" i="3"/>
  <c r="O44" i="3"/>
  <c r="K44" i="3"/>
  <c r="J44" i="3"/>
  <c r="R43" i="3"/>
  <c r="Q43" i="3"/>
  <c r="O43" i="3"/>
  <c r="J43" i="3"/>
  <c r="I48" i="3"/>
  <c r="N42" i="3"/>
  <c r="M42" i="3"/>
  <c r="F42" i="3"/>
  <c r="E42" i="3"/>
  <c r="R41" i="3"/>
  <c r="Q41" i="3"/>
  <c r="O41" i="3"/>
  <c r="R40" i="3"/>
  <c r="Q40" i="3"/>
  <c r="O40" i="3"/>
  <c r="R39" i="3"/>
  <c r="Q39" i="3"/>
  <c r="O39" i="3"/>
  <c r="K39" i="3"/>
  <c r="J39" i="3"/>
  <c r="R38" i="3"/>
  <c r="Q38" i="3"/>
  <c r="O38" i="3"/>
  <c r="K38" i="3"/>
  <c r="J38" i="3"/>
  <c r="R37" i="3"/>
  <c r="Q37" i="3"/>
  <c r="O37" i="3"/>
  <c r="K37" i="3"/>
  <c r="J37" i="3"/>
  <c r="R36" i="3"/>
  <c r="Q36" i="3"/>
  <c r="O36" i="3"/>
  <c r="K36" i="3"/>
  <c r="J36" i="3"/>
  <c r="R35" i="3"/>
  <c r="Q35" i="3"/>
  <c r="O35" i="3"/>
  <c r="K35" i="3"/>
  <c r="J35" i="3"/>
  <c r="R34" i="3"/>
  <c r="Q34" i="3"/>
  <c r="O34" i="3"/>
  <c r="K34" i="3"/>
  <c r="J34" i="3"/>
  <c r="R33" i="3"/>
  <c r="Q33" i="3"/>
  <c r="O33" i="3"/>
  <c r="K33" i="3"/>
  <c r="J33" i="3"/>
  <c r="R32" i="3"/>
  <c r="Q32" i="3"/>
  <c r="O32" i="3"/>
  <c r="K32" i="3"/>
  <c r="J32" i="3"/>
  <c r="R31" i="3"/>
  <c r="Q31" i="3"/>
  <c r="O31" i="3"/>
  <c r="K31" i="3"/>
  <c r="J31" i="3"/>
  <c r="R30" i="3"/>
  <c r="Q30" i="3"/>
  <c r="O30" i="3"/>
  <c r="K30" i="3"/>
  <c r="J30" i="3"/>
  <c r="R29" i="3"/>
  <c r="Q29" i="3"/>
  <c r="O29" i="3"/>
  <c r="K29" i="3"/>
  <c r="J29" i="3"/>
  <c r="R28" i="3"/>
  <c r="Q28" i="3"/>
  <c r="O28" i="3"/>
  <c r="K28" i="3"/>
  <c r="J28" i="3"/>
  <c r="R27" i="3"/>
  <c r="Q27" i="3"/>
  <c r="O27" i="3"/>
  <c r="R26" i="3"/>
  <c r="Q26" i="3"/>
  <c r="O26" i="3"/>
  <c r="K26" i="3"/>
  <c r="J26" i="3"/>
  <c r="R25" i="3"/>
  <c r="Q25" i="3"/>
  <c r="O25" i="3"/>
  <c r="K25" i="3"/>
  <c r="J25" i="3"/>
  <c r="R24" i="3"/>
  <c r="Q24" i="3"/>
  <c r="O24" i="3"/>
  <c r="K24" i="3"/>
  <c r="J24" i="3"/>
  <c r="R23" i="3"/>
  <c r="Q23" i="3"/>
  <c r="O23" i="3"/>
  <c r="K23" i="3"/>
  <c r="J23" i="3"/>
  <c r="R22" i="3"/>
  <c r="Q22" i="3"/>
  <c r="O22" i="3"/>
  <c r="K22" i="3"/>
  <c r="J22" i="3"/>
  <c r="M21" i="3"/>
  <c r="F21" i="3"/>
  <c r="R20" i="3"/>
  <c r="Q20" i="3"/>
  <c r="O20" i="3"/>
  <c r="K20" i="3"/>
  <c r="J20" i="3"/>
  <c r="R19" i="3"/>
  <c r="Q19" i="3"/>
  <c r="O19" i="3"/>
  <c r="K19" i="3"/>
  <c r="J19" i="3"/>
  <c r="R18" i="3"/>
  <c r="Q18" i="3"/>
  <c r="O18" i="3"/>
  <c r="K18" i="3"/>
  <c r="J18" i="3"/>
  <c r="R17" i="3"/>
  <c r="Q17" i="3"/>
  <c r="O17" i="3"/>
  <c r="K17" i="3"/>
  <c r="J17" i="3"/>
  <c r="R16" i="3"/>
  <c r="Q16" i="3"/>
  <c r="O16" i="3"/>
  <c r="K16" i="3"/>
  <c r="J16" i="3"/>
  <c r="R15" i="3"/>
  <c r="Q15" i="3"/>
  <c r="O15" i="3"/>
  <c r="K15" i="3"/>
  <c r="J15" i="3"/>
  <c r="R14" i="3"/>
  <c r="Q14" i="3"/>
  <c r="O14" i="3"/>
  <c r="R13" i="3"/>
  <c r="Q13" i="3"/>
  <c r="O13" i="3"/>
  <c r="R12" i="3"/>
  <c r="Q12" i="3"/>
  <c r="O12" i="3"/>
  <c r="R11" i="3"/>
  <c r="Q11" i="3"/>
  <c r="O11" i="3"/>
  <c r="R10" i="3"/>
  <c r="Q10" i="3"/>
  <c r="O10" i="3"/>
  <c r="R9" i="3"/>
  <c r="Q9" i="3"/>
  <c r="O9" i="3"/>
  <c r="R8" i="3"/>
  <c r="Q8" i="3"/>
  <c r="O8" i="3"/>
  <c r="R7" i="3"/>
  <c r="Q7" i="3"/>
  <c r="O7" i="3"/>
  <c r="N6" i="3"/>
  <c r="M6" i="3"/>
  <c r="I6" i="3"/>
  <c r="H6" i="3"/>
  <c r="F6" i="3"/>
  <c r="E6" i="3"/>
  <c r="R5" i="3"/>
  <c r="Q5" i="3"/>
  <c r="O5" i="3"/>
  <c r="K5" i="3"/>
  <c r="J5" i="3"/>
  <c r="R3" i="3"/>
  <c r="Q3" i="3"/>
  <c r="O3" i="3"/>
  <c r="K3" i="3"/>
  <c r="J3" i="3"/>
  <c r="N49" i="3" l="1"/>
  <c r="R21" i="3"/>
  <c r="M50" i="3"/>
  <c r="N50" i="3"/>
  <c r="R42" i="3"/>
  <c r="O48" i="3"/>
  <c r="Q48" i="3"/>
  <c r="M49" i="3"/>
  <c r="R6" i="3"/>
  <c r="G6" i="3"/>
  <c r="F49" i="3"/>
  <c r="E54" i="3" s="1"/>
  <c r="F50" i="3"/>
  <c r="E58" i="3" s="1"/>
  <c r="E50" i="3"/>
  <c r="C58" i="3" s="1"/>
  <c r="J48" i="3"/>
  <c r="E49" i="3"/>
  <c r="C54" i="3" s="1"/>
  <c r="G48" i="3"/>
  <c r="R48" i="3"/>
  <c r="G55" i="3"/>
  <c r="J6" i="3"/>
  <c r="K6" i="3"/>
  <c r="K43" i="3"/>
  <c r="K48" i="3" s="1"/>
  <c r="R50" i="3" l="1"/>
  <c r="R49" i="3"/>
  <c r="J10" i="3"/>
  <c r="G10" i="3"/>
  <c r="I10" i="3"/>
  <c r="K10" i="3" s="1"/>
  <c r="J8" i="3"/>
  <c r="J12" i="3"/>
  <c r="J9" i="3"/>
  <c r="I9" i="3"/>
  <c r="K9" i="3" s="1"/>
  <c r="J13" i="3"/>
  <c r="J14" i="3"/>
  <c r="G14" i="3"/>
  <c r="I14" i="3"/>
  <c r="K14" i="3" s="1"/>
  <c r="J7" i="3"/>
  <c r="I12" i="3"/>
  <c r="K12" i="3" s="1"/>
  <c r="G9" i="3"/>
  <c r="G8" i="3"/>
  <c r="I8" i="3"/>
  <c r="K8" i="3" s="1"/>
  <c r="G13" i="3"/>
  <c r="I13" i="3"/>
  <c r="K13" i="3" s="1"/>
  <c r="J11" i="3"/>
  <c r="I11" i="3"/>
  <c r="K11" i="3" s="1"/>
  <c r="G12" i="3"/>
  <c r="G11" i="3"/>
  <c r="I7" i="3"/>
  <c r="K7" i="3" s="1"/>
  <c r="G7" i="3"/>
  <c r="H21" i="3"/>
  <c r="G21" i="3" s="1"/>
  <c r="J21" i="3" l="1"/>
  <c r="K21" i="3"/>
  <c r="I21" i="3"/>
  <c r="J41" i="3"/>
  <c r="J40" i="3"/>
  <c r="G41" i="3"/>
  <c r="I41" i="3"/>
  <c r="K41" i="3" s="1"/>
  <c r="I27" i="3"/>
  <c r="K27" i="3" s="1"/>
  <c r="J27" i="3"/>
  <c r="G40" i="3"/>
  <c r="I40" i="3"/>
  <c r="K40" i="3" s="1"/>
  <c r="G27" i="3"/>
  <c r="H42" i="3"/>
  <c r="G42" i="3" s="1"/>
  <c r="K42" i="3" l="1"/>
  <c r="H50" i="3"/>
  <c r="D58" i="3" s="1"/>
  <c r="C59" i="3" s="1"/>
  <c r="J42" i="3"/>
  <c r="K49" i="3"/>
  <c r="K50" i="3"/>
  <c r="I42" i="3"/>
  <c r="H49" i="3"/>
  <c r="D54" i="3" s="1"/>
  <c r="G50" i="3"/>
  <c r="J50" i="3" l="1"/>
  <c r="J49" i="3"/>
  <c r="C55" i="3"/>
  <c r="G49" i="3"/>
  <c r="I49" i="3"/>
  <c r="F54" i="3" s="1"/>
  <c r="E55" i="3" s="1"/>
  <c r="I50" i="3"/>
  <c r="F58" i="3" s="1"/>
  <c r="E59" i="3" s="1"/>
</calcChain>
</file>

<file path=xl/sharedStrings.xml><?xml version="1.0" encoding="utf-8"?>
<sst xmlns="http://schemas.openxmlformats.org/spreadsheetml/2006/main" count="426" uniqueCount="177">
  <si>
    <t>#</t>
  </si>
  <si>
    <t>Name</t>
  </si>
  <si>
    <t>Title</t>
  </si>
  <si>
    <t>Joining Date</t>
  </si>
  <si>
    <t>Net 2024</t>
  </si>
  <si>
    <t>Gross 2024</t>
  </si>
  <si>
    <t>Increase Manual % (Net)</t>
  </si>
  <si>
    <t>Net 2025</t>
  </si>
  <si>
    <t>Gross 2025</t>
  </si>
  <si>
    <t>Current vs 2025 Salary (Net)</t>
  </si>
  <si>
    <t>Current vs 2025 Salary (Gross)</t>
  </si>
  <si>
    <t>Bonus 2023</t>
  </si>
  <si>
    <t>Reflected in Months basis</t>
  </si>
  <si>
    <t>Comments</t>
  </si>
  <si>
    <t>Reflected in % basis</t>
  </si>
  <si>
    <t>2023 VS 2024</t>
  </si>
  <si>
    <t>Notes</t>
  </si>
  <si>
    <t xml:space="preserve">Dr. Hani Salah Mohamed Sarie Eldin </t>
  </si>
  <si>
    <t>Managing Partner</t>
  </si>
  <si>
    <t>Founder</t>
  </si>
  <si>
    <t xml:space="preserve">Ms. Amira Mohamed Ali Sherif </t>
  </si>
  <si>
    <t>Senior Partner</t>
  </si>
  <si>
    <t>Partners Total</t>
  </si>
  <si>
    <t xml:space="preserve">Mohamed Abd El Aziz Abd El Hafez Mohamed </t>
  </si>
  <si>
    <t xml:space="preserve"> Senior Associate Litigation DEPT</t>
  </si>
  <si>
    <t xml:space="preserve">Mohamed Hamdy Kamel Mostafa </t>
  </si>
  <si>
    <t xml:space="preserve">Senior Associate Corporate Procedures </t>
  </si>
  <si>
    <t xml:space="preserve">Menna Allah Nabil Mohamed El Beltagy </t>
  </si>
  <si>
    <t xml:space="preserve"> Senior Associate Arbt DEPT</t>
  </si>
  <si>
    <t xml:space="preserve">Ihab Hamdy Ibrahim Imam </t>
  </si>
  <si>
    <t xml:space="preserve">Noha Amr Mohamed Radwan </t>
  </si>
  <si>
    <t xml:space="preserve">Nagy Ramdan Amin Mohamed  </t>
  </si>
  <si>
    <t>Hany Ahmed Abd El Meged Mourad El Daly</t>
  </si>
  <si>
    <t>Associate Litigation DEPT</t>
  </si>
  <si>
    <t>Ahmed Seif Eldin Abo Bakr Sarie Eldin</t>
  </si>
  <si>
    <t>Associate - Banking</t>
  </si>
  <si>
    <t>Ahmed Said Ahmed Mohamed Ali</t>
  </si>
  <si>
    <t>Habiba Mahmoud Samir Mahmoud Issa</t>
  </si>
  <si>
    <t>Junior  Associate</t>
  </si>
  <si>
    <t>Abdel Rahman Ahmed Abdel Aziz Hassan</t>
  </si>
  <si>
    <t>Ahmed Abo El Abbas Mohamed El-Etreby</t>
  </si>
  <si>
    <t>Laila Amin Mohamed Amin Tomoum</t>
  </si>
  <si>
    <t xml:space="preserve">Karim Ayman Mohamed Adel </t>
  </si>
  <si>
    <t>Abdallah Amr Hafez</t>
  </si>
  <si>
    <t>Lawyers Total</t>
  </si>
  <si>
    <t>Mrs.Doaa Abd El Dayem Ibrahim Nassar</t>
  </si>
  <si>
    <t>Admin &amp; HR Manager</t>
  </si>
  <si>
    <t xml:space="preserve">Khaled Mohamed Helmy Mohamed Yousry Abd Rabo </t>
  </si>
  <si>
    <t xml:space="preserve">Senior Systems Engineer </t>
  </si>
  <si>
    <t>Ahmed Mohamed Rezk Mohamed</t>
  </si>
  <si>
    <t>Accounting Manager</t>
  </si>
  <si>
    <t>Nermine Essmat Mohamed Hegazy</t>
  </si>
  <si>
    <t xml:space="preserve">Senior Admin Assistant </t>
  </si>
  <si>
    <t>Marwa Sherif Abd El Hamid Salama</t>
  </si>
  <si>
    <t>Executive Assistant</t>
  </si>
  <si>
    <t>Ahmed Samir Hassan EL Said</t>
  </si>
  <si>
    <t xml:space="preserve">Admin Assistant </t>
  </si>
  <si>
    <t xml:space="preserve">Eman Sobhy Shokry Khalil </t>
  </si>
  <si>
    <t xml:space="preserve">Follow-Up Coordinator </t>
  </si>
  <si>
    <t xml:space="preserve">Sherif Shokry Mohamed Abd El Hafez </t>
  </si>
  <si>
    <t xml:space="preserve">Librarian </t>
  </si>
  <si>
    <t>Mohamed Hassan Mohamed Kamel</t>
  </si>
  <si>
    <t>HR Generalist</t>
  </si>
  <si>
    <t xml:space="preserve">Samy Ibrahim Mohamed Youssef </t>
  </si>
  <si>
    <t>Supervisor of Paralegal Group</t>
  </si>
  <si>
    <t xml:space="preserve">Mahmoud Ali Mohmoud Hussein El Sayed </t>
  </si>
  <si>
    <t xml:space="preserve">Paralegal </t>
  </si>
  <si>
    <t xml:space="preserve">Amr Abd El Kerem Sakr Bayomy Sakr </t>
  </si>
  <si>
    <t xml:space="preserve">Typist </t>
  </si>
  <si>
    <t xml:space="preserve">Mokhtar Ahmed Mohamed El Magdaly </t>
  </si>
  <si>
    <t xml:space="preserve">Messenger </t>
  </si>
  <si>
    <t xml:space="preserve">Tarek Mohamed Gomaa Abdallah </t>
  </si>
  <si>
    <t xml:space="preserve">Office Boy </t>
  </si>
  <si>
    <t>Ahmed Mohamed Abdel Salam Mohamed</t>
  </si>
  <si>
    <t xml:space="preserve">Mohamed Farouk Mohamed Abd El Halim </t>
  </si>
  <si>
    <t xml:space="preserve">Dr. Hani's Messenger </t>
  </si>
  <si>
    <t xml:space="preserve">Mohamed Abdel Gawad Mohamed </t>
  </si>
  <si>
    <t xml:space="preserve">Dr. Hani's Driver </t>
  </si>
  <si>
    <t>Mennatullah Moheb Abdelghaffar El Sayed</t>
  </si>
  <si>
    <t xml:space="preserve">Receptionist &amp; Office Secretary </t>
  </si>
  <si>
    <t xml:space="preserve">Hazem Ibrahim Abdel Hamid Mohamed </t>
  </si>
  <si>
    <t>Assem Mohamed Said Abdo</t>
  </si>
  <si>
    <t>Junior  Accountant</t>
  </si>
  <si>
    <t>Admins Total</t>
  </si>
  <si>
    <t>Hala Fawzy</t>
  </si>
  <si>
    <t xml:space="preserve">Communication Consultant </t>
  </si>
  <si>
    <t>Sep 2017</t>
  </si>
  <si>
    <t>Dr. Amina Al-Outify</t>
  </si>
  <si>
    <t>Senior Legal Consultant</t>
  </si>
  <si>
    <t>Dec 2018</t>
  </si>
  <si>
    <t>Dr. Amgad Saeed</t>
  </si>
  <si>
    <t>Nov 2018</t>
  </si>
  <si>
    <t>Dr. Waleed Abd El Salam</t>
  </si>
  <si>
    <t>Legal Consultant</t>
  </si>
  <si>
    <t>Consultants Total</t>
  </si>
  <si>
    <t>Grand Totals</t>
  </si>
  <si>
    <t>Ratios</t>
  </si>
  <si>
    <t>Grand Totals without Consultant</t>
  </si>
  <si>
    <t>Ratios without Consultant</t>
  </si>
  <si>
    <t>% For Gross Increase</t>
  </si>
  <si>
    <t>Partner</t>
  </si>
  <si>
    <t>Dr Ahmed El Boghdady</t>
  </si>
  <si>
    <t>March 2025</t>
  </si>
  <si>
    <t>Part time basis for 2024</t>
  </si>
  <si>
    <t>Joined in 2025</t>
  </si>
  <si>
    <t>Postponed</t>
  </si>
  <si>
    <t>البقاء لله- تم الصرف بمعرفة د/ هاني</t>
  </si>
  <si>
    <t>Bonus 2024 1/2</t>
  </si>
  <si>
    <t>Based on 4 month working (pro-rated)</t>
  </si>
  <si>
    <t>Based on 7 month of working(pro-rated)</t>
  </si>
  <si>
    <t>Based on 5 month of working(pro-rated)</t>
  </si>
  <si>
    <t>1-Reflected in Months basis</t>
  </si>
  <si>
    <t>1-Reflected in % basis</t>
  </si>
  <si>
    <t>Remaining from 2023</t>
  </si>
  <si>
    <t>Bonus 2024 2/2</t>
  </si>
  <si>
    <t>2-Reflected in Months basis</t>
  </si>
  <si>
    <t>2-Reflected in % basis</t>
  </si>
  <si>
    <t>Bonus 2024 Total</t>
  </si>
  <si>
    <t>Final 2023 VS 2024</t>
  </si>
  <si>
    <t>Manual Increase % (Net2025)</t>
  </si>
  <si>
    <t>Annual Slip</t>
  </si>
  <si>
    <t>Monthly Gross</t>
  </si>
  <si>
    <t>Other</t>
  </si>
  <si>
    <t>Row Number</t>
  </si>
  <si>
    <t>Bonus 2024</t>
  </si>
  <si>
    <t xml:space="preserve">Signature </t>
  </si>
  <si>
    <t xml:space="preserve">Date </t>
  </si>
  <si>
    <t>Comments if Any</t>
  </si>
  <si>
    <t>1.5 Based on 5 month of working(pro-rated)</t>
  </si>
  <si>
    <t>Annual Gross 2025</t>
  </si>
  <si>
    <t>1.5 Based on 4 month working (pro-rated)</t>
  </si>
  <si>
    <t>1 month Based on 7 month of working(pro-rated)</t>
  </si>
  <si>
    <t>1.5 Based on 10 month working (pro-rated)</t>
  </si>
  <si>
    <t>1.5 Based on 11 month working (pro-rated)</t>
  </si>
  <si>
    <t>1.5 on 9.5m Part time basis for 2024</t>
  </si>
  <si>
    <t>أ/خالد محمد حلمى</t>
  </si>
  <si>
    <t>أ/ إيهاب حمدى إبراهيم امام</t>
  </si>
  <si>
    <t>ا / اميره شــريف</t>
  </si>
  <si>
    <t>د/هانى صلاح الدين محمد سري الدين</t>
  </si>
  <si>
    <t>أ/ أحمد سعيد أحمد محمد علي</t>
  </si>
  <si>
    <t>أ/ عبدالرحمن أحمد عبدالعزيز حسن</t>
  </si>
  <si>
    <t>أ/أحمد سيف الدين أبو بكر سري الدين</t>
  </si>
  <si>
    <t>أ/احمد ابو العباس محمد الاتربي</t>
  </si>
  <si>
    <t>أ/حبيبة محمود سمير محمود عيسى</t>
  </si>
  <si>
    <t>أ/عبد الله عمرو حافظ</t>
  </si>
  <si>
    <t>أ/كريم ايمن محمد عادل</t>
  </si>
  <si>
    <t>أ/ليلي امين محمد امين طموم</t>
  </si>
  <si>
    <t>أ/محمد حمدى كامل</t>
  </si>
  <si>
    <t>أ/محمد عبد العزيز عبدالحافظ</t>
  </si>
  <si>
    <t>أ/منة الله البلتاجى</t>
  </si>
  <si>
    <t>أ/ناجى رمضان أمين محمد</t>
  </si>
  <si>
    <t>أ/نهى عمرو محمد رضوان</t>
  </si>
  <si>
    <t>أ/هاني أحمد الدالي</t>
  </si>
  <si>
    <t>أ/ أحمد محمد رزق</t>
  </si>
  <si>
    <t>أ/ أحمد محمد عبدالسلام</t>
  </si>
  <si>
    <t>أ/ إيمان صبحى شكرى</t>
  </si>
  <si>
    <t>أ/ محمود على محمود حسين</t>
  </si>
  <si>
    <t>أ/ مروة شريف عبدالحميد سلامة</t>
  </si>
  <si>
    <t>أ/ نيرمين عصمت محمد حجازي</t>
  </si>
  <si>
    <t>أ/أحمد سمير حسن السيد</t>
  </si>
  <si>
    <t>أ/حازم ابراهيم عبد الحميد محمد فتاتة</t>
  </si>
  <si>
    <t>أ/دعاء عبد الدايم إبراهيم نصار</t>
  </si>
  <si>
    <t>أ/سامي ابراهيم محمد</t>
  </si>
  <si>
    <t>أ/شريف شكرى محمد</t>
  </si>
  <si>
    <t>أ/طارق محمد جمعه</t>
  </si>
  <si>
    <t>أ/عاصم محمد سعيد عبده</t>
  </si>
  <si>
    <t>أ/عمرو عبد الكريم صقر</t>
  </si>
  <si>
    <t>أ/محمد حسن محمد كامل</t>
  </si>
  <si>
    <t>أ/محمد عبدالجواد محمد</t>
  </si>
  <si>
    <t>أ/مختار احمد المجدلي</t>
  </si>
  <si>
    <t>أ/منه الله محب عبدالغفار السيد</t>
  </si>
  <si>
    <t>أ/ محمد فاروق عبد الحليم</t>
  </si>
  <si>
    <t>أ/هالة فوزي</t>
  </si>
  <si>
    <t>د/أمجد سعيد</t>
  </si>
  <si>
    <t>د/أمينة العطيفي</t>
  </si>
  <si>
    <t>د/وليد رزق</t>
  </si>
  <si>
    <t>د/ أحمد بغدادي رشدي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</si>
</sst>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_);[Red]\(0.00\)"/>
    <numFmt numFmtId="165" formatCode="[$EGP]\ #,##0.00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theme="2" tint="-0.89996032593768116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4"/>
      <color theme="2" tint="-0.89996032593768116"/>
      <name val="Calibri"/>
      <family val="2"/>
      <scheme val="minor"/>
    </font>
    <font>
      <sz val="15"/>
      <color theme="0"/>
      <name val="Calibri"/>
      <family val="2"/>
      <scheme val="minor"/>
    </font>
    <font>
      <u/>
      <sz val="2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theme="5" tint="-0.499984740745262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/>
      <right style="medium">
        <color auto="1"/>
      </right>
      <top style="thin">
        <color theme="5" tint="-0.499984740745262"/>
      </top>
      <bottom style="thin">
        <color theme="5" tint="-0.499984740745262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theme="5" tint="-0.499984740745262"/>
      </right>
      <top style="thin">
        <color theme="5" tint="-0.499984740745262"/>
      </top>
      <bottom style="medium">
        <color auto="1"/>
      </bottom>
      <diagonal/>
    </border>
    <border>
      <left/>
      <right style="medium">
        <color auto="1"/>
      </right>
      <top style="thin">
        <color theme="5" tint="-0.49998474074526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theme="5" tint="-0.499984740745262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9" fontId="13" fillId="0" borderId="0" applyFont="0" applyFill="0" applyBorder="0" applyAlignment="0" applyProtection="0">
      <alignment vertical="center"/>
    </xf>
    <xf numFmtId="0" fontId="2" fillId="0" borderId="0"/>
    <xf numFmtId="43" fontId="15" fillId="0" borderId="0" applyFont="0" applyFill="0" applyBorder="0" applyAlignment="0" applyProtection="0"/>
  </cellStyleXfs>
  <cellXfs count="187">
    <xf numFmtId="0" fontId="0" fillId="0" borderId="0" xfId="0"/>
    <xf numFmtId="0" fontId="2" fillId="0" borderId="0" xfId="2"/>
    <xf numFmtId="0" fontId="2" fillId="0" borderId="0" xfId="2" applyAlignment="1">
      <alignment horizontal="center"/>
    </xf>
    <xf numFmtId="0" fontId="3" fillId="2" borderId="1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/>
    </xf>
    <xf numFmtId="0" fontId="7" fillId="3" borderId="5" xfId="2" applyFont="1" applyFill="1" applyBorder="1" applyAlignment="1">
      <alignment horizontal="left" vertical="center" wrapText="1"/>
    </xf>
    <xf numFmtId="0" fontId="7" fillId="3" borderId="5" xfId="2" applyFont="1" applyFill="1" applyBorder="1" applyAlignment="1">
      <alignment horizontal="center" vertical="center" wrapText="1"/>
    </xf>
    <xf numFmtId="15" fontId="6" fillId="4" borderId="5" xfId="2" applyNumberFormat="1" applyFont="1" applyFill="1" applyBorder="1" applyAlignment="1">
      <alignment horizontal="center" vertical="center"/>
    </xf>
    <xf numFmtId="0" fontId="4" fillId="0" borderId="5" xfId="2" applyFont="1" applyBorder="1" applyAlignment="1">
      <alignment vertical="center"/>
    </xf>
    <xf numFmtId="9" fontId="4" fillId="0" borderId="5" xfId="1" applyFont="1" applyFill="1" applyBorder="1" applyAlignment="1" applyProtection="1">
      <alignment vertical="center"/>
    </xf>
    <xf numFmtId="0" fontId="6" fillId="0" borderId="6" xfId="2" applyFont="1" applyBorder="1" applyAlignment="1">
      <alignment horizontal="center" vertical="center"/>
    </xf>
    <xf numFmtId="0" fontId="7" fillId="3" borderId="7" xfId="2" applyFont="1" applyFill="1" applyBorder="1" applyAlignment="1">
      <alignment horizontal="left" vertical="center" wrapText="1"/>
    </xf>
    <xf numFmtId="0" fontId="7" fillId="3" borderId="7" xfId="2" applyFont="1" applyFill="1" applyBorder="1" applyAlignment="1">
      <alignment horizontal="center" vertical="center" wrapText="1"/>
    </xf>
    <xf numFmtId="15" fontId="6" fillId="4" borderId="7" xfId="2" applyNumberFormat="1" applyFont="1" applyFill="1" applyBorder="1" applyAlignment="1">
      <alignment horizontal="center" vertical="center"/>
    </xf>
    <xf numFmtId="0" fontId="4" fillId="0" borderId="7" xfId="2" applyFont="1" applyBorder="1" applyAlignment="1">
      <alignment vertical="center"/>
    </xf>
    <xf numFmtId="9" fontId="4" fillId="0" borderId="7" xfId="1" applyFont="1" applyFill="1" applyBorder="1" applyAlignment="1" applyProtection="1">
      <alignment vertical="center"/>
    </xf>
    <xf numFmtId="0" fontId="9" fillId="4" borderId="5" xfId="2" applyFont="1" applyFill="1" applyBorder="1" applyAlignment="1">
      <alignment horizontal="left" vertical="center" wrapText="1"/>
    </xf>
    <xf numFmtId="0" fontId="9" fillId="4" borderId="7" xfId="2" applyFont="1" applyFill="1" applyBorder="1" applyAlignment="1">
      <alignment horizontal="left" vertical="center" wrapText="1"/>
    </xf>
    <xf numFmtId="0" fontId="6" fillId="7" borderId="6" xfId="2" applyFont="1" applyFill="1" applyBorder="1" applyAlignment="1">
      <alignment horizontal="center" vertical="center"/>
    </xf>
    <xf numFmtId="0" fontId="9" fillId="7" borderId="7" xfId="2" applyFont="1" applyFill="1" applyBorder="1" applyAlignment="1">
      <alignment horizontal="left" vertical="center" wrapText="1"/>
    </xf>
    <xf numFmtId="0" fontId="7" fillId="7" borderId="7" xfId="2" applyFont="1" applyFill="1" applyBorder="1" applyAlignment="1">
      <alignment horizontal="center" vertical="center" wrapText="1"/>
    </xf>
    <xf numFmtId="15" fontId="6" fillId="7" borderId="7" xfId="2" applyNumberFormat="1" applyFont="1" applyFill="1" applyBorder="1" applyAlignment="1">
      <alignment horizontal="center" vertical="center"/>
    </xf>
    <xf numFmtId="0" fontId="10" fillId="8" borderId="9" xfId="2" applyFont="1" applyFill="1" applyBorder="1" applyAlignment="1">
      <alignment horizontal="center" vertical="center"/>
    </xf>
    <xf numFmtId="0" fontId="4" fillId="9" borderId="9" xfId="2" applyFont="1" applyFill="1" applyBorder="1" applyAlignment="1">
      <alignment vertical="center"/>
    </xf>
    <xf numFmtId="0" fontId="6" fillId="0" borderId="5" xfId="2" applyFont="1" applyBorder="1" applyAlignment="1">
      <alignment horizontal="left" vertical="center"/>
    </xf>
    <xf numFmtId="0" fontId="6" fillId="0" borderId="5" xfId="2" applyFont="1" applyBorder="1" applyAlignment="1">
      <alignment horizontal="center" vertical="center" wrapText="1"/>
    </xf>
    <xf numFmtId="49" fontId="6" fillId="0" borderId="5" xfId="2" applyNumberFormat="1" applyFont="1" applyBorder="1" applyAlignment="1">
      <alignment horizontal="center" vertical="center"/>
    </xf>
    <xf numFmtId="0" fontId="6" fillId="0" borderId="7" xfId="2" applyFont="1" applyBorder="1" applyAlignment="1">
      <alignment horizontal="left" vertical="center"/>
    </xf>
    <xf numFmtId="0" fontId="6" fillId="0" borderId="7" xfId="2" applyFont="1" applyBorder="1" applyAlignment="1">
      <alignment horizontal="center" vertical="center" wrapText="1"/>
    </xf>
    <xf numFmtId="49" fontId="6" fillId="0" borderId="7" xfId="2" applyNumberFormat="1" applyFont="1" applyBorder="1" applyAlignment="1">
      <alignment horizontal="center" vertical="center"/>
    </xf>
    <xf numFmtId="0" fontId="11" fillId="5" borderId="3" xfId="2" applyFont="1" applyFill="1" applyBorder="1" applyAlignment="1">
      <alignment horizontal="center" vertical="center"/>
    </xf>
    <xf numFmtId="0" fontId="4" fillId="10" borderId="3" xfId="2" applyFont="1" applyFill="1" applyBorder="1" applyAlignment="1">
      <alignment vertical="center"/>
    </xf>
    <xf numFmtId="164" fontId="12" fillId="0" borderId="15" xfId="1" applyNumberFormat="1" applyFont="1" applyFill="1" applyBorder="1" applyAlignment="1" applyProtection="1">
      <alignment vertical="center"/>
    </xf>
    <xf numFmtId="0" fontId="2" fillId="12" borderId="0" xfId="2" applyFill="1"/>
    <xf numFmtId="0" fontId="5" fillId="12" borderId="3" xfId="2" applyFont="1" applyFill="1" applyBorder="1" applyAlignment="1">
      <alignment horizontal="center" vertical="center" wrapText="1"/>
    </xf>
    <xf numFmtId="0" fontId="4" fillId="12" borderId="5" xfId="2" applyFont="1" applyFill="1" applyBorder="1" applyAlignment="1">
      <alignment vertical="center"/>
    </xf>
    <xf numFmtId="0" fontId="4" fillId="12" borderId="7" xfId="2" applyFont="1" applyFill="1" applyBorder="1" applyAlignment="1">
      <alignment vertical="center"/>
    </xf>
    <xf numFmtId="0" fontId="4" fillId="6" borderId="9" xfId="2" applyFont="1" applyFill="1" applyBorder="1" applyAlignment="1">
      <alignment vertical="center"/>
    </xf>
    <xf numFmtId="0" fontId="5" fillId="2" borderId="21" xfId="2" applyFont="1" applyFill="1" applyBorder="1" applyAlignment="1">
      <alignment horizontal="center" vertical="center"/>
    </xf>
    <xf numFmtId="0" fontId="4" fillId="0" borderId="22" xfId="2" applyFont="1" applyBorder="1" applyAlignment="1">
      <alignment vertical="center"/>
    </xf>
    <xf numFmtId="0" fontId="4" fillId="0" borderId="23" xfId="2" applyFont="1" applyBorder="1" applyAlignment="1">
      <alignment vertical="center"/>
    </xf>
    <xf numFmtId="0" fontId="4" fillId="6" borderId="24" xfId="2" applyFont="1" applyFill="1" applyBorder="1" applyAlignment="1">
      <alignment vertical="center"/>
    </xf>
    <xf numFmtId="0" fontId="4" fillId="9" borderId="24" xfId="2" applyFont="1" applyFill="1" applyBorder="1" applyAlignment="1">
      <alignment vertical="center"/>
    </xf>
    <xf numFmtId="0" fontId="4" fillId="10" borderId="21" xfId="2" applyFont="1" applyFill="1" applyBorder="1" applyAlignment="1">
      <alignment vertical="center"/>
    </xf>
    <xf numFmtId="9" fontId="4" fillId="6" borderId="9" xfId="1" applyFont="1" applyFill="1" applyBorder="1" applyAlignment="1" applyProtection="1">
      <alignment horizontal="center" vertical="center"/>
    </xf>
    <xf numFmtId="0" fontId="4" fillId="9" borderId="9" xfId="2" applyFont="1" applyFill="1" applyBorder="1" applyAlignment="1">
      <alignment horizontal="center" vertical="center"/>
    </xf>
    <xf numFmtId="9" fontId="4" fillId="10" borderId="3" xfId="1" applyFont="1" applyFill="1" applyBorder="1" applyAlignment="1" applyProtection="1">
      <alignment horizontal="center" vertical="center"/>
    </xf>
    <xf numFmtId="9" fontId="12" fillId="0" borderId="19" xfId="1" applyFont="1" applyFill="1" applyBorder="1" applyAlignment="1" applyProtection="1">
      <alignment horizontal="center" vertical="center"/>
    </xf>
    <xf numFmtId="9" fontId="12" fillId="0" borderId="25" xfId="1" applyFont="1" applyFill="1" applyBorder="1" applyAlignment="1" applyProtection="1">
      <alignment horizontal="center" vertical="center"/>
    </xf>
    <xf numFmtId="10" fontId="14" fillId="0" borderId="0" xfId="2" applyNumberFormat="1" applyFont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7" fillId="3" borderId="27" xfId="2" applyFont="1" applyFill="1" applyBorder="1" applyAlignment="1">
      <alignment horizontal="center" vertical="center" wrapText="1"/>
    </xf>
    <xf numFmtId="15" fontId="6" fillId="4" borderId="27" xfId="2" applyNumberFormat="1" applyFont="1" applyFill="1" applyBorder="1" applyAlignment="1">
      <alignment horizontal="center" vertical="center"/>
    </xf>
    <xf numFmtId="0" fontId="4" fillId="0" borderId="27" xfId="2" applyFont="1" applyBorder="1" applyAlignment="1">
      <alignment vertical="center"/>
    </xf>
    <xf numFmtId="9" fontId="4" fillId="0" borderId="27" xfId="1" applyFont="1" applyFill="1" applyBorder="1" applyAlignment="1" applyProtection="1">
      <alignment vertical="center"/>
    </xf>
    <xf numFmtId="0" fontId="4" fillId="12" borderId="27" xfId="2" applyFont="1" applyFill="1" applyBorder="1" applyAlignment="1">
      <alignment vertical="center"/>
    </xf>
    <xf numFmtId="0" fontId="4" fillId="0" borderId="28" xfId="2" applyFont="1" applyBorder="1" applyAlignment="1">
      <alignment vertical="center"/>
    </xf>
    <xf numFmtId="43" fontId="16" fillId="0" borderId="7" xfId="3" applyFont="1" applyBorder="1" applyAlignment="1">
      <alignment vertical="center"/>
    </xf>
    <xf numFmtId="43" fontId="4" fillId="0" borderId="7" xfId="3" applyFont="1" applyBorder="1" applyAlignment="1">
      <alignment vertical="center"/>
    </xf>
    <xf numFmtId="43" fontId="16" fillId="0" borderId="29" xfId="3" applyFont="1" applyBorder="1" applyAlignment="1">
      <alignment vertical="center"/>
    </xf>
    <xf numFmtId="43" fontId="4" fillId="6" borderId="9" xfId="3" applyFont="1" applyFill="1" applyBorder="1" applyAlignment="1">
      <alignment vertical="center"/>
    </xf>
    <xf numFmtId="165" fontId="16" fillId="0" borderId="5" xfId="2" applyNumberFormat="1" applyFont="1" applyBorder="1" applyAlignment="1">
      <alignment vertical="center"/>
    </xf>
    <xf numFmtId="165" fontId="16" fillId="0" borderId="7" xfId="2" applyNumberFormat="1" applyFont="1" applyBorder="1" applyAlignment="1">
      <alignment vertical="center"/>
    </xf>
    <xf numFmtId="43" fontId="16" fillId="0" borderId="5" xfId="3" applyFont="1" applyBorder="1" applyAlignment="1">
      <alignment vertical="center"/>
    </xf>
    <xf numFmtId="43" fontId="4" fillId="0" borderId="5" xfId="3" applyFont="1" applyBorder="1" applyAlignment="1">
      <alignment vertical="center"/>
    </xf>
    <xf numFmtId="43" fontId="4" fillId="9" borderId="9" xfId="3" applyFont="1" applyFill="1" applyBorder="1" applyAlignment="1">
      <alignment vertical="center"/>
    </xf>
    <xf numFmtId="9" fontId="4" fillId="0" borderId="7" xfId="1" applyFont="1" applyFill="1" applyBorder="1" applyAlignment="1" applyProtection="1">
      <alignment horizontal="center" vertical="center"/>
    </xf>
    <xf numFmtId="9" fontId="4" fillId="13" borderId="7" xfId="1" applyFont="1" applyFill="1" applyBorder="1" applyAlignment="1" applyProtection="1">
      <alignment vertical="center"/>
    </xf>
    <xf numFmtId="43" fontId="4" fillId="10" borderId="3" xfId="3" applyFont="1" applyFill="1" applyBorder="1" applyAlignment="1">
      <alignment vertical="center"/>
    </xf>
    <xf numFmtId="43" fontId="4" fillId="0" borderId="27" xfId="3" applyFont="1" applyBorder="1" applyAlignment="1">
      <alignment vertical="center"/>
    </xf>
    <xf numFmtId="9" fontId="4" fillId="0" borderId="5" xfId="1" applyFont="1" applyFill="1" applyBorder="1" applyAlignment="1" applyProtection="1">
      <alignment horizontal="center" vertical="center"/>
    </xf>
    <xf numFmtId="0" fontId="2" fillId="0" borderId="0" xfId="2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6" borderId="9" xfId="2" applyFont="1" applyFill="1" applyBorder="1" applyAlignment="1">
      <alignment horizontal="center" vertical="center"/>
    </xf>
    <xf numFmtId="9" fontId="4" fillId="9" borderId="9" xfId="1" applyFont="1" applyFill="1" applyBorder="1" applyAlignment="1" applyProtection="1">
      <alignment horizontal="center" vertical="center"/>
    </xf>
    <xf numFmtId="0" fontId="4" fillId="10" borderId="3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2" borderId="9" xfId="2" applyFont="1" applyFill="1" applyBorder="1" applyAlignment="1">
      <alignment vertical="center"/>
    </xf>
    <xf numFmtId="0" fontId="11" fillId="11" borderId="10" xfId="2" applyFont="1" applyFill="1" applyBorder="1" applyAlignment="1">
      <alignment horizontal="center" vertical="center"/>
    </xf>
    <xf numFmtId="43" fontId="4" fillId="14" borderId="7" xfId="3" applyFont="1" applyFill="1" applyBorder="1" applyAlignment="1">
      <alignment vertical="center"/>
    </xf>
    <xf numFmtId="43" fontId="4" fillId="14" borderId="5" xfId="3" applyFont="1" applyFill="1" applyBorder="1" applyAlignment="1">
      <alignment vertical="center"/>
    </xf>
    <xf numFmtId="43" fontId="12" fillId="0" borderId="16" xfId="3" applyFont="1" applyFill="1" applyBorder="1" applyAlignment="1" applyProtection="1">
      <alignment vertical="center"/>
    </xf>
    <xf numFmtId="43" fontId="12" fillId="0" borderId="15" xfId="3" applyFont="1" applyFill="1" applyBorder="1" applyAlignment="1" applyProtection="1">
      <alignment vertical="center"/>
    </xf>
    <xf numFmtId="0" fontId="11" fillId="11" borderId="12" xfId="2" applyFont="1" applyFill="1" applyBorder="1" applyAlignment="1">
      <alignment horizontal="center" vertical="center"/>
    </xf>
    <xf numFmtId="0" fontId="11" fillId="11" borderId="13" xfId="2" applyFont="1" applyFill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43" fontId="4" fillId="15" borderId="7" xfId="3" applyFont="1" applyFill="1" applyBorder="1" applyAlignment="1">
      <alignment vertical="center"/>
    </xf>
    <xf numFmtId="43" fontId="4" fillId="0" borderId="30" xfId="3" applyFont="1" applyBorder="1" applyAlignment="1">
      <alignment vertical="center"/>
    </xf>
    <xf numFmtId="43" fontId="4" fillId="9" borderId="31" xfId="3" applyFont="1" applyFill="1" applyBorder="1" applyAlignment="1">
      <alignment vertical="center"/>
    </xf>
    <xf numFmtId="0" fontId="4" fillId="0" borderId="32" xfId="2" applyFont="1" applyBorder="1" applyAlignment="1">
      <alignment vertical="center"/>
    </xf>
    <xf numFmtId="0" fontId="4" fillId="9" borderId="33" xfId="2" applyFont="1" applyFill="1" applyBorder="1" applyAlignment="1">
      <alignment vertical="center"/>
    </xf>
    <xf numFmtId="0" fontId="5" fillId="2" borderId="34" xfId="2" applyFont="1" applyFill="1" applyBorder="1" applyAlignment="1">
      <alignment horizontal="center" vertical="center" wrapText="1"/>
    </xf>
    <xf numFmtId="43" fontId="4" fillId="0" borderId="35" xfId="3" applyFont="1" applyBorder="1" applyAlignment="1">
      <alignment vertical="center"/>
    </xf>
    <xf numFmtId="43" fontId="4" fillId="0" borderId="36" xfId="3" applyFont="1" applyBorder="1" applyAlignment="1">
      <alignment vertical="center"/>
    </xf>
    <xf numFmtId="43" fontId="4" fillId="6" borderId="31" xfId="3" applyFont="1" applyFill="1" applyBorder="1" applyAlignment="1">
      <alignment vertical="center"/>
    </xf>
    <xf numFmtId="43" fontId="4" fillId="0" borderId="37" xfId="3" applyFont="1" applyBorder="1" applyAlignment="1">
      <alignment vertical="center"/>
    </xf>
    <xf numFmtId="43" fontId="4" fillId="9" borderId="38" xfId="3" applyFont="1" applyFill="1" applyBorder="1" applyAlignment="1">
      <alignment vertical="center"/>
    </xf>
    <xf numFmtId="43" fontId="4" fillId="10" borderId="34" xfId="3" applyFont="1" applyFill="1" applyBorder="1" applyAlignment="1">
      <alignment vertical="center"/>
    </xf>
    <xf numFmtId="9" fontId="4" fillId="9" borderId="9" xfId="1" applyFont="1" applyFill="1" applyBorder="1" applyAlignment="1" applyProtection="1">
      <alignment vertical="center"/>
    </xf>
    <xf numFmtId="9" fontId="4" fillId="0" borderId="27" xfId="1" applyFont="1" applyFill="1" applyBorder="1" applyAlignment="1" applyProtection="1">
      <alignment horizontal="center" vertical="center"/>
    </xf>
    <xf numFmtId="9" fontId="4" fillId="13" borderId="7" xfId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164" fontId="12" fillId="0" borderId="15" xfId="1" applyNumberFormat="1" applyFont="1" applyFill="1" applyBorder="1" applyAlignment="1" applyProtection="1">
      <alignment horizontal="center" vertical="center"/>
    </xf>
    <xf numFmtId="0" fontId="4" fillId="6" borderId="24" xfId="2" applyFont="1" applyFill="1" applyBorder="1" applyAlignment="1">
      <alignment horizontal="center" vertical="center"/>
    </xf>
    <xf numFmtId="0" fontId="4" fillId="9" borderId="24" xfId="2" applyFont="1" applyFill="1" applyBorder="1" applyAlignment="1">
      <alignment horizontal="center" vertical="center"/>
    </xf>
    <xf numFmtId="43" fontId="4" fillId="10" borderId="3" xfId="3" applyFont="1" applyFill="1" applyBorder="1" applyAlignment="1">
      <alignment horizontal="center" vertical="center"/>
    </xf>
    <xf numFmtId="0" fontId="4" fillId="10" borderId="21" xfId="2" applyFont="1" applyFill="1" applyBorder="1" applyAlignment="1">
      <alignment horizontal="center" vertical="center"/>
    </xf>
    <xf numFmtId="0" fontId="17" fillId="17" borderId="4" xfId="0" applyFont="1" applyFill="1" applyBorder="1"/>
    <xf numFmtId="0" fontId="17" fillId="17" borderId="8" xfId="0" applyFont="1" applyFill="1" applyBorder="1"/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43" fontId="17" fillId="0" borderId="42" xfId="3" applyFont="1" applyBorder="1" applyAlignment="1">
      <alignment horizontal="center" vertical="center"/>
    </xf>
    <xf numFmtId="43" fontId="17" fillId="0" borderId="43" xfId="3" applyFont="1" applyBorder="1" applyAlignment="1">
      <alignment horizontal="center" vertical="center"/>
    </xf>
    <xf numFmtId="43" fontId="17" fillId="0" borderId="44" xfId="3" applyFont="1" applyBorder="1" applyAlignment="1">
      <alignment horizontal="center" vertical="center"/>
    </xf>
    <xf numFmtId="0" fontId="1" fillId="0" borderId="0" xfId="0" applyFont="1"/>
    <xf numFmtId="0" fontId="0" fillId="0" borderId="7" xfId="0" applyBorder="1"/>
    <xf numFmtId="0" fontId="1" fillId="0" borderId="7" xfId="0" applyFont="1" applyBorder="1" applyAlignment="1">
      <alignment horizontal="center"/>
    </xf>
    <xf numFmtId="43" fontId="0" fillId="0" borderId="7" xfId="0" applyNumberFormat="1" applyBorder="1"/>
    <xf numFmtId="43" fontId="0" fillId="0" borderId="7" xfId="3" applyFont="1" applyBorder="1"/>
    <xf numFmtId="0" fontId="4" fillId="18" borderId="7" xfId="2" applyFont="1" applyFill="1" applyBorder="1" applyAlignment="1">
      <alignment horizontal="center" vertical="center"/>
    </xf>
    <xf numFmtId="0" fontId="4" fillId="18" borderId="3" xfId="2" applyFont="1" applyFill="1" applyBorder="1" applyAlignment="1">
      <alignment horizontal="center" vertical="center"/>
    </xf>
    <xf numFmtId="43" fontId="4" fillId="18" borderId="3" xfId="3" applyFont="1" applyFill="1" applyBorder="1" applyAlignment="1">
      <alignment horizontal="center" vertical="center"/>
    </xf>
    <xf numFmtId="0" fontId="5" fillId="2" borderId="45" xfId="2" applyFont="1" applyFill="1" applyBorder="1" applyAlignment="1">
      <alignment horizontal="center" vertical="center" wrapText="1"/>
    </xf>
    <xf numFmtId="0" fontId="5" fillId="2" borderId="46" xfId="2" applyFont="1" applyFill="1" applyBorder="1" applyAlignment="1">
      <alignment horizontal="center" vertical="center" wrapText="1"/>
    </xf>
    <xf numFmtId="0" fontId="5" fillId="18" borderId="45" xfId="2" applyFont="1" applyFill="1" applyBorder="1" applyAlignment="1">
      <alignment horizontal="center" vertical="center" wrapText="1"/>
    </xf>
    <xf numFmtId="0" fontId="5" fillId="18" borderId="46" xfId="2" applyFont="1" applyFill="1" applyBorder="1" applyAlignment="1">
      <alignment horizontal="center" vertical="center" wrapText="1"/>
    </xf>
    <xf numFmtId="43" fontId="4" fillId="10" borderId="47" xfId="3" applyFont="1" applyFill="1" applyBorder="1" applyAlignment="1">
      <alignment vertical="center"/>
    </xf>
    <xf numFmtId="0" fontId="4" fillId="10" borderId="47" xfId="2" applyFont="1" applyFill="1" applyBorder="1" applyAlignment="1">
      <alignment vertical="center"/>
    </xf>
    <xf numFmtId="0" fontId="4" fillId="10" borderId="47" xfId="2" applyFont="1" applyFill="1" applyBorder="1" applyAlignment="1">
      <alignment horizontal="center" vertical="center"/>
    </xf>
    <xf numFmtId="43" fontId="4" fillId="10" borderId="47" xfId="3" applyFont="1" applyFill="1" applyBorder="1" applyAlignment="1">
      <alignment horizontal="center" vertical="center"/>
    </xf>
    <xf numFmtId="0" fontId="4" fillId="18" borderId="47" xfId="2" applyFont="1" applyFill="1" applyBorder="1" applyAlignment="1">
      <alignment horizontal="center" vertical="center"/>
    </xf>
    <xf numFmtId="43" fontId="4" fillId="18" borderId="47" xfId="3" applyFont="1" applyFill="1" applyBorder="1" applyAlignment="1">
      <alignment horizontal="center" vertical="center"/>
    </xf>
    <xf numFmtId="43" fontId="4" fillId="0" borderId="7" xfId="3" applyFont="1" applyBorder="1" applyAlignment="1">
      <alignment horizontal="center" vertical="center"/>
    </xf>
    <xf numFmtId="43" fontId="4" fillId="18" borderId="7" xfId="3" applyFont="1" applyFill="1" applyBorder="1" applyAlignment="1">
      <alignment horizontal="center" vertical="center"/>
    </xf>
    <xf numFmtId="43" fontId="4" fillId="6" borderId="7" xfId="3" applyFont="1" applyFill="1" applyBorder="1" applyAlignment="1">
      <alignment vertical="center"/>
    </xf>
    <xf numFmtId="9" fontId="4" fillId="9" borderId="7" xfId="1" applyFont="1" applyFill="1" applyBorder="1" applyAlignment="1" applyProtection="1">
      <alignment vertical="center"/>
    </xf>
    <xf numFmtId="9" fontId="4" fillId="9" borderId="7" xfId="1" applyFont="1" applyFill="1" applyBorder="1" applyAlignment="1" applyProtection="1">
      <alignment horizontal="center" vertical="center"/>
    </xf>
    <xf numFmtId="43" fontId="4" fillId="6" borderId="7" xfId="3" applyFont="1" applyFill="1" applyBorder="1" applyAlignment="1">
      <alignment horizontal="center" vertical="center"/>
    </xf>
    <xf numFmtId="9" fontId="4" fillId="18" borderId="7" xfId="1" applyFont="1" applyFill="1" applyBorder="1" applyAlignment="1" applyProtection="1">
      <alignment horizontal="center" vertical="center"/>
    </xf>
    <xf numFmtId="43" fontId="4" fillId="9" borderId="7" xfId="3" applyFont="1" applyFill="1" applyBorder="1" applyAlignment="1">
      <alignment vertical="center"/>
    </xf>
    <xf numFmtId="43" fontId="4" fillId="9" borderId="7" xfId="3" applyFont="1" applyFill="1" applyBorder="1" applyAlignment="1">
      <alignment horizontal="center" vertical="center"/>
    </xf>
    <xf numFmtId="0" fontId="5" fillId="2" borderId="48" xfId="2" applyFont="1" applyFill="1" applyBorder="1" applyAlignment="1">
      <alignment horizontal="center" vertical="center"/>
    </xf>
    <xf numFmtId="43" fontId="4" fillId="19" borderId="7" xfId="3" applyFont="1" applyFill="1" applyBorder="1" applyAlignment="1">
      <alignment vertical="center"/>
    </xf>
    <xf numFmtId="0" fontId="4" fillId="19" borderId="7" xfId="2" applyFont="1" applyFill="1" applyBorder="1" applyAlignment="1">
      <alignment vertical="center"/>
    </xf>
    <xf numFmtId="0" fontId="4" fillId="19" borderId="7" xfId="2" applyFont="1" applyFill="1" applyBorder="1" applyAlignment="1">
      <alignment horizontal="center" vertical="center"/>
    </xf>
    <xf numFmtId="43" fontId="4" fillId="19" borderId="7" xfId="3" applyFont="1" applyFill="1" applyBorder="1" applyAlignment="1">
      <alignment horizontal="center" vertical="center"/>
    </xf>
    <xf numFmtId="43" fontId="4" fillId="10" borderId="21" xfId="3" applyFont="1" applyFill="1" applyBorder="1" applyAlignment="1">
      <alignment horizontal="center" vertical="center"/>
    </xf>
    <xf numFmtId="0" fontId="4" fillId="10" borderId="49" xfId="2" applyFont="1" applyFill="1" applyBorder="1" applyAlignment="1">
      <alignment horizontal="center" vertical="center"/>
    </xf>
    <xf numFmtId="43" fontId="4" fillId="10" borderId="49" xfId="3" applyFont="1" applyFill="1" applyBorder="1" applyAlignment="1">
      <alignment horizontal="center" vertical="center"/>
    </xf>
    <xf numFmtId="43" fontId="4" fillId="6" borderId="24" xfId="3" applyFont="1" applyFill="1" applyBorder="1" applyAlignment="1">
      <alignment horizontal="center" vertical="center"/>
    </xf>
    <xf numFmtId="43" fontId="4" fillId="9" borderId="24" xfId="3" applyFont="1" applyFill="1" applyBorder="1" applyAlignment="1">
      <alignment horizontal="center" vertical="center"/>
    </xf>
    <xf numFmtId="43" fontId="4" fillId="7" borderId="7" xfId="3" applyFont="1" applyFill="1" applyBorder="1" applyAlignment="1">
      <alignment vertical="center"/>
    </xf>
    <xf numFmtId="43" fontId="4" fillId="20" borderId="7" xfId="3" applyFont="1" applyFill="1" applyBorder="1" applyAlignment="1">
      <alignment vertical="center"/>
    </xf>
    <xf numFmtId="0" fontId="8" fillId="5" borderId="8" xfId="2" applyFont="1" applyFill="1" applyBorder="1" applyAlignment="1">
      <alignment horizontal="center" vertical="center"/>
    </xf>
    <xf numFmtId="0" fontId="8" fillId="5" borderId="9" xfId="2" applyFont="1" applyFill="1" applyBorder="1" applyAlignment="1">
      <alignment horizontal="center" vertical="center"/>
    </xf>
    <xf numFmtId="0" fontId="10" fillId="8" borderId="8" xfId="2" applyFont="1" applyFill="1" applyBorder="1" applyAlignment="1">
      <alignment horizontal="center" vertical="center"/>
    </xf>
    <xf numFmtId="0" fontId="10" fillId="8" borderId="9" xfId="2" applyFont="1" applyFill="1" applyBorder="1" applyAlignment="1">
      <alignment horizontal="center" vertical="center"/>
    </xf>
    <xf numFmtId="0" fontId="11" fillId="11" borderId="10" xfId="2" applyFont="1" applyFill="1" applyBorder="1" applyAlignment="1">
      <alignment horizontal="center" vertical="center"/>
    </xf>
    <xf numFmtId="0" fontId="11" fillId="11" borderId="11" xfId="2" applyFont="1" applyFill="1" applyBorder="1" applyAlignment="1">
      <alignment horizontal="center" vertical="center"/>
    </xf>
    <xf numFmtId="0" fontId="11" fillId="11" borderId="14" xfId="2" applyFont="1" applyFill="1" applyBorder="1" applyAlignment="1">
      <alignment horizontal="center" vertical="center"/>
    </xf>
    <xf numFmtId="0" fontId="11" fillId="11" borderId="0" xfId="2" applyFont="1" applyFill="1" applyAlignment="1">
      <alignment horizontal="center" vertical="center"/>
    </xf>
    <xf numFmtId="0" fontId="11" fillId="11" borderId="17" xfId="2" applyFont="1" applyFill="1" applyBorder="1" applyAlignment="1">
      <alignment horizontal="center" vertical="center"/>
    </xf>
    <xf numFmtId="0" fontId="11" fillId="11" borderId="18" xfId="2" applyFont="1" applyFill="1" applyBorder="1" applyAlignment="1">
      <alignment horizontal="center" vertical="center"/>
    </xf>
    <xf numFmtId="9" fontId="12" fillId="0" borderId="25" xfId="1" applyFont="1" applyFill="1" applyBorder="1" applyAlignment="1" applyProtection="1">
      <alignment horizontal="center" vertical="center"/>
    </xf>
    <xf numFmtId="9" fontId="12" fillId="0" borderId="20" xfId="1" applyFont="1" applyFill="1" applyBorder="1" applyAlignment="1" applyProtection="1">
      <alignment horizontal="center" vertical="center"/>
    </xf>
    <xf numFmtId="0" fontId="11" fillId="5" borderId="2" xfId="2" applyFont="1" applyFill="1" applyBorder="1" applyAlignment="1">
      <alignment horizontal="center" vertical="center"/>
    </xf>
    <xf numFmtId="0" fontId="11" fillId="5" borderId="3" xfId="2" applyFont="1" applyFill="1" applyBorder="1" applyAlignment="1">
      <alignment horizontal="center" vertical="center"/>
    </xf>
    <xf numFmtId="9" fontId="12" fillId="0" borderId="19" xfId="1" applyFont="1" applyFill="1" applyBorder="1" applyAlignment="1" applyProtection="1">
      <alignment horizontal="center" vertical="center"/>
    </xf>
    <xf numFmtId="0" fontId="17" fillId="16" borderId="2" xfId="0" applyFont="1" applyFill="1" applyBorder="1" applyAlignment="1">
      <alignment horizontal="center" vertical="center"/>
    </xf>
    <xf numFmtId="0" fontId="17" fillId="16" borderId="3" xfId="0" applyFont="1" applyFill="1" applyBorder="1" applyAlignment="1">
      <alignment horizontal="center" vertical="center"/>
    </xf>
    <xf numFmtId="0" fontId="17" fillId="16" borderId="21" xfId="0" applyFont="1" applyFill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43" fontId="3" fillId="0" borderId="2" xfId="3" applyFont="1" applyBorder="1" applyAlignment="1">
      <alignment horizontal="center" vertical="center"/>
    </xf>
    <xf numFmtId="43" fontId="3" fillId="0" borderId="3" xfId="3" applyFont="1" applyBorder="1" applyAlignment="1">
      <alignment horizontal="center" vertical="center"/>
    </xf>
    <xf numFmtId="43" fontId="3" fillId="0" borderId="21" xfId="3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00000000-0005-0000-0000-000002000000}"/>
    <cellStyle name="Percent" xfId="1" builtinId="5"/>
  </cellStyles>
  <dxfs count="0"/>
  <tableStyles count="0" defaultTableStyle="TableStyleMedium2" defaultPivotStyle="PivotStyleLight16"/>
  <colors>
    <mruColors>
      <color rgb="FFFFFF99"/>
      <color rgb="FFCC66FF"/>
      <color rgb="FFE9C6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1915064</xdr:colOff>
      <xdr:row>0</xdr:row>
      <xdr:rowOff>772750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7820A-D658-4715-1DE7-E00D6B8B3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36166" cy="77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9"/>
  <sheetViews>
    <sheetView zoomScale="82" zoomScaleNormal="82" workbookViewId="0">
      <pane xSplit="2" ySplit="3" topLeftCell="N37" activePane="bottomRight" state="frozen"/>
      <selection pane="topRight" activeCell="C1" sqref="C1"/>
      <selection pane="bottomLeft" activeCell="A4" sqref="A4"/>
      <selection pane="bottomRight" activeCell="T9" sqref="T9:T42"/>
    </sheetView>
  </sheetViews>
  <sheetFormatPr defaultColWidth="9" defaultRowHeight="35.1" customHeight="1"/>
  <cols>
    <col min="1" max="1" width="8" customWidth="1"/>
    <col min="2" max="2" width="41.33203125" customWidth="1"/>
    <col min="3" max="3" width="26.88671875" customWidth="1"/>
    <col min="4" max="4" width="29.44140625" hidden="1" customWidth="1"/>
    <col min="5" max="6" width="23.6640625" bestFit="1" customWidth="1"/>
    <col min="7" max="7" width="24.21875" bestFit="1" customWidth="1"/>
    <col min="8" max="9" width="19.44140625" bestFit="1" customWidth="1"/>
    <col min="10" max="11" width="18.77734375" bestFit="1" customWidth="1"/>
    <col min="12" max="12" width="2.44140625" customWidth="1"/>
    <col min="13" max="13" width="19.44140625" bestFit="1" customWidth="1"/>
    <col min="14" max="14" width="25.44140625" customWidth="1"/>
    <col min="15" max="15" width="22.6640625" style="81" customWidth="1"/>
    <col min="16" max="16" width="9" hidden="1" customWidth="1"/>
    <col min="17" max="17" width="18.33203125" style="81" customWidth="1"/>
    <col min="18" max="19" width="21.33203125" customWidth="1"/>
    <col min="20" max="20" width="51.33203125" customWidth="1"/>
  </cols>
  <sheetData>
    <row r="1" spans="1:20" s="1" customFormat="1" ht="36.75" customHeight="1" thickBot="1">
      <c r="A1" s="2"/>
      <c r="C1" s="2"/>
      <c r="G1" s="3" t="s">
        <v>99</v>
      </c>
      <c r="H1" s="52">
        <v>0.1</v>
      </c>
      <c r="L1" s="36"/>
      <c r="O1" s="74"/>
      <c r="Q1" s="74"/>
    </row>
    <row r="2" spans="1:20" s="1" customFormat="1" ht="74.099999999999994" customHeight="1" thickBot="1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5" t="s">
        <v>7</v>
      </c>
      <c r="I2" s="5" t="s">
        <v>8</v>
      </c>
      <c r="J2" s="6" t="s">
        <v>9</v>
      </c>
      <c r="K2" s="6" t="s">
        <v>10</v>
      </c>
      <c r="L2" s="37"/>
      <c r="M2" s="6" t="s">
        <v>11</v>
      </c>
      <c r="N2" s="5" t="s">
        <v>107</v>
      </c>
      <c r="O2" s="6" t="s">
        <v>12</v>
      </c>
      <c r="P2" s="5" t="s">
        <v>13</v>
      </c>
      <c r="Q2" s="6" t="s">
        <v>14</v>
      </c>
      <c r="R2" s="6" t="s">
        <v>15</v>
      </c>
      <c r="S2" s="97"/>
      <c r="T2" s="41" t="s">
        <v>16</v>
      </c>
    </row>
    <row r="3" spans="1:20" s="1" customFormat="1" ht="35.1" customHeight="1">
      <c r="A3" s="7">
        <v>1</v>
      </c>
      <c r="B3" s="8" t="s">
        <v>17</v>
      </c>
      <c r="C3" s="9" t="s">
        <v>18</v>
      </c>
      <c r="D3" s="10" t="s">
        <v>19</v>
      </c>
      <c r="E3" s="11"/>
      <c r="F3" s="11"/>
      <c r="G3" s="73" t="str">
        <f>IFERROR((H3-E3)/E3,"No Ratio")</f>
        <v>No Ratio</v>
      </c>
      <c r="H3" s="11">
        <v>0</v>
      </c>
      <c r="I3" s="11">
        <f>((F3-E3)+H3)+($H$1*(F3-E3))</f>
        <v>0</v>
      </c>
      <c r="J3" s="11">
        <f t="shared" ref="J3:K5" si="0">H3-E3</f>
        <v>0</v>
      </c>
      <c r="K3" s="11">
        <f t="shared" si="0"/>
        <v>0</v>
      </c>
      <c r="L3" s="38"/>
      <c r="M3" s="11">
        <v>0</v>
      </c>
      <c r="N3" s="11">
        <v>0</v>
      </c>
      <c r="O3" s="75" t="str">
        <f>IF(N3=0,"No Bonus",TEXT(N3/E3,"0.00")&amp;" Months")</f>
        <v>No Bonus</v>
      </c>
      <c r="P3" s="11"/>
      <c r="Q3" s="75" t="str">
        <f>IF(N3=0,"No Bonus",TEXT((N3/E3)*100,"0.00")&amp;" %")</f>
        <v>No Bonus</v>
      </c>
      <c r="R3" s="67">
        <f>N3-M3</f>
        <v>0</v>
      </c>
      <c r="S3" s="98"/>
      <c r="T3" s="42"/>
    </row>
    <row r="4" spans="1:20" s="1" customFormat="1" ht="35.1" customHeight="1">
      <c r="A4" s="53">
        <v>2</v>
      </c>
      <c r="B4" s="20" t="s">
        <v>20</v>
      </c>
      <c r="C4" s="54" t="s">
        <v>21</v>
      </c>
      <c r="D4" s="55">
        <v>39630</v>
      </c>
      <c r="E4" s="60">
        <v>360000</v>
      </c>
      <c r="F4" s="60">
        <v>434238</v>
      </c>
      <c r="G4" s="57">
        <f>IFERROR((H4-E4)/E4,"No Ratio")</f>
        <v>0.3888888888888889</v>
      </c>
      <c r="H4" s="60">
        <v>500000</v>
      </c>
      <c r="I4" s="72">
        <f>((F4-E4)+H4)+($H$1*(F4-E4))</f>
        <v>581661.80000000005</v>
      </c>
      <c r="J4" s="72">
        <f t="shared" si="0"/>
        <v>140000</v>
      </c>
      <c r="K4" s="72">
        <f t="shared" si="0"/>
        <v>147423.80000000005</v>
      </c>
      <c r="L4" s="58"/>
      <c r="M4" s="72">
        <v>1600000</v>
      </c>
      <c r="N4" s="72">
        <v>360000</v>
      </c>
      <c r="O4" s="76" t="str">
        <f>IF(N4=0,"No Bonus",TEXT(N4/E4,"0.00")&amp;" Months")</f>
        <v>1.00 Months</v>
      </c>
      <c r="P4" s="56"/>
      <c r="Q4" s="76" t="str">
        <f>IF(N4=0,"No Bonus",TEXT((N4/E4)*100,"0.00")&amp;" %")</f>
        <v>100.00 %</v>
      </c>
      <c r="R4" s="72">
        <f>N4-M4</f>
        <v>-1240000</v>
      </c>
      <c r="S4" s="99">
        <v>2520000</v>
      </c>
      <c r="T4" s="59"/>
    </row>
    <row r="5" spans="1:20" s="1" customFormat="1" ht="35.1" customHeight="1">
      <c r="A5" s="13">
        <v>3</v>
      </c>
      <c r="B5" s="14" t="s">
        <v>29</v>
      </c>
      <c r="C5" s="15" t="s">
        <v>100</v>
      </c>
      <c r="D5" s="16">
        <v>41609</v>
      </c>
      <c r="E5" s="62">
        <v>80000</v>
      </c>
      <c r="F5" s="62">
        <v>103000</v>
      </c>
      <c r="G5" s="18">
        <f>IFERROR((H5-E5)/E5,"No Ratio")</f>
        <v>0.5</v>
      </c>
      <c r="H5" s="62">
        <v>120000</v>
      </c>
      <c r="I5" s="61">
        <f>((F5-E5)+H5)+($H$1*(F5-E5))</f>
        <v>145300</v>
      </c>
      <c r="J5" s="61">
        <f t="shared" si="0"/>
        <v>40000</v>
      </c>
      <c r="K5" s="61">
        <f t="shared" si="0"/>
        <v>42300</v>
      </c>
      <c r="L5" s="39"/>
      <c r="M5" s="61">
        <v>200000</v>
      </c>
      <c r="N5" s="61">
        <v>80000</v>
      </c>
      <c r="O5" s="77" t="str">
        <f>IF(N5=0,"No Bonus",TEXT(N5/E5,"0.00")&amp;" Months")</f>
        <v>1.00 Months</v>
      </c>
      <c r="P5" s="17"/>
      <c r="Q5" s="77" t="str">
        <f>IF(N5=0,"No Bonus",TEXT((N5/E5)*100,"0.00")&amp;" %")</f>
        <v>100.00 %</v>
      </c>
      <c r="R5" s="61">
        <f t="shared" ref="R5:R47" si="1">N5-M5</f>
        <v>-120000</v>
      </c>
      <c r="S5" s="93"/>
      <c r="T5" s="43"/>
    </row>
    <row r="6" spans="1:20" s="1" customFormat="1" ht="35.1" customHeight="1" thickBot="1">
      <c r="A6" s="160" t="s">
        <v>22</v>
      </c>
      <c r="B6" s="161"/>
      <c r="C6" s="161"/>
      <c r="D6" s="161"/>
      <c r="E6" s="63">
        <f t="shared" ref="E6:I6" si="2">SUM(E3:E5)</f>
        <v>440000</v>
      </c>
      <c r="F6" s="63">
        <f t="shared" si="2"/>
        <v>537238</v>
      </c>
      <c r="G6" s="47">
        <f>IFERROR((H6-E6)/E6,"No Ratio")</f>
        <v>0.40909090909090912</v>
      </c>
      <c r="H6" s="63">
        <f t="shared" si="2"/>
        <v>620000</v>
      </c>
      <c r="I6" s="63">
        <f t="shared" si="2"/>
        <v>726961.8</v>
      </c>
      <c r="J6" s="63">
        <f t="shared" ref="J6:N6" si="3">SUM(J3:J5)</f>
        <v>180000</v>
      </c>
      <c r="K6" s="63">
        <f t="shared" si="3"/>
        <v>189723.80000000005</v>
      </c>
      <c r="L6" s="82"/>
      <c r="M6" s="63">
        <f t="shared" si="3"/>
        <v>1800000</v>
      </c>
      <c r="N6" s="63">
        <f t="shared" si="3"/>
        <v>440000</v>
      </c>
      <c r="O6" s="78"/>
      <c r="P6" s="40"/>
      <c r="Q6" s="78"/>
      <c r="R6" s="63">
        <f>SUM(R3:R5)</f>
        <v>-1360000</v>
      </c>
      <c r="S6" s="100"/>
      <c r="T6" s="44"/>
    </row>
    <row r="7" spans="1:20" s="1" customFormat="1" ht="35.1" customHeight="1" thickBot="1">
      <c r="A7" s="7">
        <v>1</v>
      </c>
      <c r="B7" s="19" t="s">
        <v>23</v>
      </c>
      <c r="C7" s="9" t="s">
        <v>24</v>
      </c>
      <c r="D7" s="10">
        <v>40199</v>
      </c>
      <c r="E7" s="64">
        <v>30000</v>
      </c>
      <c r="F7" s="66">
        <v>36875</v>
      </c>
      <c r="G7" s="12">
        <f t="shared" ref="G7:G20" si="4">IFERROR((H7-E7)/E7,"No Ratio")</f>
        <v>0.15</v>
      </c>
      <c r="H7" s="67">
        <v>34500</v>
      </c>
      <c r="I7" s="11">
        <f t="shared" ref="I7:I20" si="5">((F7-E7)+H7)+($H$1*(F7-E7))</f>
        <v>42062.5</v>
      </c>
      <c r="J7" s="67">
        <f t="shared" ref="J7:J20" si="6">H7-E7</f>
        <v>4500</v>
      </c>
      <c r="K7" s="67">
        <f t="shared" ref="K7:K20" si="7">I7-F7</f>
        <v>5187.5</v>
      </c>
      <c r="L7" s="38"/>
      <c r="M7" s="67">
        <v>40000</v>
      </c>
      <c r="N7" s="67">
        <v>30000</v>
      </c>
      <c r="O7" s="75" t="str">
        <f t="shared" ref="O7:O20" si="8">IF(N7=0,"No Bonus",TEXT(N7/E7,"0.00")&amp;" Months")</f>
        <v>1.00 Months</v>
      </c>
      <c r="P7" s="11"/>
      <c r="Q7" s="75" t="str">
        <f t="shared" ref="Q7:Q20" si="9">IF(N7=0,"No Bonus",TEXT((N7/E7)*100,"0.00")&amp;" %")</f>
        <v>100.00 %</v>
      </c>
      <c r="R7" s="67">
        <f t="shared" si="1"/>
        <v>-10000</v>
      </c>
      <c r="S7" s="98"/>
      <c r="T7" s="42"/>
    </row>
    <row r="8" spans="1:20" s="1" customFormat="1" ht="35.1" customHeight="1">
      <c r="A8" s="13">
        <v>2</v>
      </c>
      <c r="B8" s="20" t="s">
        <v>25</v>
      </c>
      <c r="C8" s="15" t="s">
        <v>26</v>
      </c>
      <c r="D8" s="16">
        <v>40211</v>
      </c>
      <c r="E8" s="65">
        <v>30000</v>
      </c>
      <c r="F8" s="60">
        <v>37462</v>
      </c>
      <c r="G8" s="18">
        <f t="shared" si="4"/>
        <v>0.15</v>
      </c>
      <c r="H8" s="67">
        <v>34500</v>
      </c>
      <c r="I8" s="17">
        <f t="shared" si="5"/>
        <v>42708.2</v>
      </c>
      <c r="J8" s="61">
        <f t="shared" si="6"/>
        <v>4500</v>
      </c>
      <c r="K8" s="61">
        <f t="shared" si="7"/>
        <v>5246.1999999999971</v>
      </c>
      <c r="L8" s="39"/>
      <c r="M8" s="61">
        <v>50000</v>
      </c>
      <c r="N8" s="61">
        <v>30000</v>
      </c>
      <c r="O8" s="77" t="str">
        <f t="shared" si="8"/>
        <v>1.00 Months</v>
      </c>
      <c r="P8" s="17"/>
      <c r="Q8" s="77" t="str">
        <f t="shared" si="9"/>
        <v>100.00 %</v>
      </c>
      <c r="R8" s="61">
        <f t="shared" si="1"/>
        <v>-20000</v>
      </c>
      <c r="S8" s="93"/>
      <c r="T8" s="43"/>
    </row>
    <row r="9" spans="1:20" s="1" customFormat="1" ht="35.1" customHeight="1">
      <c r="A9" s="13">
        <v>3</v>
      </c>
      <c r="B9" s="20" t="s">
        <v>27</v>
      </c>
      <c r="C9" s="15" t="s">
        <v>28</v>
      </c>
      <c r="D9" s="16">
        <v>41420</v>
      </c>
      <c r="E9" s="65">
        <v>60000</v>
      </c>
      <c r="F9" s="60">
        <v>51516</v>
      </c>
      <c r="G9" s="18">
        <f t="shared" si="4"/>
        <v>0.15</v>
      </c>
      <c r="H9" s="61">
        <v>69000</v>
      </c>
      <c r="I9" s="17">
        <f t="shared" si="5"/>
        <v>59667.6</v>
      </c>
      <c r="J9" s="61">
        <f t="shared" si="6"/>
        <v>9000</v>
      </c>
      <c r="K9" s="61">
        <f t="shared" si="7"/>
        <v>8151.5999999999985</v>
      </c>
      <c r="L9" s="39"/>
      <c r="M9" s="61">
        <v>30000</v>
      </c>
      <c r="N9" s="84">
        <v>36000</v>
      </c>
      <c r="O9" s="77" t="str">
        <f t="shared" si="8"/>
        <v>0.60 Months</v>
      </c>
      <c r="P9" s="17"/>
      <c r="Q9" s="77" t="str">
        <f t="shared" si="9"/>
        <v>60.00 %</v>
      </c>
      <c r="R9" s="61">
        <f t="shared" si="1"/>
        <v>6000</v>
      </c>
      <c r="S9" s="93"/>
      <c r="T9" s="90" t="s">
        <v>103</v>
      </c>
    </row>
    <row r="10" spans="1:20" s="1" customFormat="1" ht="35.1" customHeight="1">
      <c r="A10" s="13">
        <v>4</v>
      </c>
      <c r="B10" s="20" t="s">
        <v>30</v>
      </c>
      <c r="C10" s="15" t="s">
        <v>28</v>
      </c>
      <c r="D10" s="16">
        <v>41854</v>
      </c>
      <c r="E10" s="65">
        <v>40000</v>
      </c>
      <c r="F10" s="60">
        <v>48915</v>
      </c>
      <c r="G10" s="18">
        <f t="shared" si="4"/>
        <v>0.375</v>
      </c>
      <c r="H10" s="61">
        <v>55000</v>
      </c>
      <c r="I10" s="17">
        <f t="shared" si="5"/>
        <v>64806.5</v>
      </c>
      <c r="J10" s="61">
        <f t="shared" si="6"/>
        <v>15000</v>
      </c>
      <c r="K10" s="61">
        <f t="shared" si="7"/>
        <v>15891.5</v>
      </c>
      <c r="L10" s="39"/>
      <c r="M10" s="61">
        <v>75000</v>
      </c>
      <c r="N10" s="61">
        <v>40000</v>
      </c>
      <c r="O10" s="77" t="str">
        <f t="shared" si="8"/>
        <v>1.00 Months</v>
      </c>
      <c r="P10" s="17"/>
      <c r="Q10" s="77" t="str">
        <f t="shared" si="9"/>
        <v>100.00 %</v>
      </c>
      <c r="R10" s="61">
        <f t="shared" si="1"/>
        <v>-35000</v>
      </c>
      <c r="S10" s="93"/>
      <c r="T10" s="43"/>
    </row>
    <row r="11" spans="1:20" s="1" customFormat="1" ht="35.1" customHeight="1">
      <c r="A11" s="13">
        <v>5</v>
      </c>
      <c r="B11" s="20" t="s">
        <v>31</v>
      </c>
      <c r="C11" s="15" t="s">
        <v>24</v>
      </c>
      <c r="D11" s="16">
        <v>42043</v>
      </c>
      <c r="E11" s="65">
        <v>40250</v>
      </c>
      <c r="F11" s="60">
        <v>50339</v>
      </c>
      <c r="G11" s="18">
        <f t="shared" si="4"/>
        <v>0.15031055900621118</v>
      </c>
      <c r="H11" s="61">
        <v>46300</v>
      </c>
      <c r="I11" s="17">
        <f t="shared" si="5"/>
        <v>57397.9</v>
      </c>
      <c r="J11" s="61">
        <f t="shared" si="6"/>
        <v>6050</v>
      </c>
      <c r="K11" s="61">
        <f t="shared" si="7"/>
        <v>7058.9000000000015</v>
      </c>
      <c r="L11" s="39"/>
      <c r="M11" s="61">
        <v>50000</v>
      </c>
      <c r="N11" s="61">
        <v>40250</v>
      </c>
      <c r="O11" s="77" t="str">
        <f t="shared" si="8"/>
        <v>1.00 Months</v>
      </c>
      <c r="P11" s="17"/>
      <c r="Q11" s="77" t="str">
        <f t="shared" si="9"/>
        <v>100.00 %</v>
      </c>
      <c r="R11" s="61">
        <f t="shared" si="1"/>
        <v>-9750</v>
      </c>
      <c r="S11" s="93"/>
      <c r="T11" s="43"/>
    </row>
    <row r="12" spans="1:20" s="1" customFormat="1" ht="35.1" customHeight="1">
      <c r="A12" s="13">
        <v>6</v>
      </c>
      <c r="B12" s="20" t="s">
        <v>32</v>
      </c>
      <c r="C12" s="15" t="s">
        <v>33</v>
      </c>
      <c r="D12" s="16">
        <v>42644</v>
      </c>
      <c r="E12" s="65">
        <v>12600</v>
      </c>
      <c r="F12" s="60">
        <v>15531</v>
      </c>
      <c r="G12" s="18">
        <f t="shared" si="4"/>
        <v>0.15079365079365079</v>
      </c>
      <c r="H12" s="61">
        <v>14500</v>
      </c>
      <c r="I12" s="17">
        <f t="shared" si="5"/>
        <v>17724.099999999999</v>
      </c>
      <c r="J12" s="61">
        <f t="shared" si="6"/>
        <v>1900</v>
      </c>
      <c r="K12" s="61">
        <f t="shared" si="7"/>
        <v>2193.0999999999985</v>
      </c>
      <c r="L12" s="39"/>
      <c r="M12" s="61">
        <v>11000</v>
      </c>
      <c r="N12" s="61">
        <v>12600</v>
      </c>
      <c r="O12" s="77" t="str">
        <f t="shared" si="8"/>
        <v>1.00 Months</v>
      </c>
      <c r="P12" s="17"/>
      <c r="Q12" s="77" t="str">
        <f t="shared" si="9"/>
        <v>100.00 %</v>
      </c>
      <c r="R12" s="61">
        <f t="shared" si="1"/>
        <v>1600</v>
      </c>
      <c r="S12" s="93"/>
      <c r="T12" s="43"/>
    </row>
    <row r="13" spans="1:20" s="1" customFormat="1" ht="35.1" customHeight="1">
      <c r="A13" s="13">
        <v>7</v>
      </c>
      <c r="B13" s="20" t="s">
        <v>34</v>
      </c>
      <c r="C13" s="15" t="s">
        <v>35</v>
      </c>
      <c r="D13" s="16">
        <v>43345</v>
      </c>
      <c r="E13" s="65">
        <v>35000</v>
      </c>
      <c r="F13" s="60">
        <v>42963</v>
      </c>
      <c r="G13" s="18">
        <f t="shared" si="4"/>
        <v>0.15</v>
      </c>
      <c r="H13" s="61">
        <v>40250</v>
      </c>
      <c r="I13" s="17">
        <f t="shared" si="5"/>
        <v>49009.3</v>
      </c>
      <c r="J13" s="61">
        <f t="shared" si="6"/>
        <v>5250</v>
      </c>
      <c r="K13" s="61">
        <f t="shared" si="7"/>
        <v>6046.3000000000029</v>
      </c>
      <c r="L13" s="39"/>
      <c r="M13" s="61">
        <v>50000</v>
      </c>
      <c r="N13" s="61">
        <v>35000</v>
      </c>
      <c r="O13" s="77" t="str">
        <f t="shared" si="8"/>
        <v>1.00 Months</v>
      </c>
      <c r="P13" s="17"/>
      <c r="Q13" s="77" t="str">
        <f t="shared" si="9"/>
        <v>100.00 %</v>
      </c>
      <c r="R13" s="61">
        <f t="shared" si="1"/>
        <v>-15000</v>
      </c>
      <c r="S13" s="93"/>
      <c r="T13" s="43"/>
    </row>
    <row r="14" spans="1:20" s="1" customFormat="1" ht="35.1" customHeight="1">
      <c r="A14" s="13">
        <v>8</v>
      </c>
      <c r="B14" s="20" t="s">
        <v>36</v>
      </c>
      <c r="C14" s="15" t="s">
        <v>24</v>
      </c>
      <c r="D14" s="16">
        <v>43534</v>
      </c>
      <c r="E14" s="65">
        <v>45000</v>
      </c>
      <c r="F14" s="60">
        <v>55471</v>
      </c>
      <c r="G14" s="18">
        <f t="shared" si="4"/>
        <v>0.15</v>
      </c>
      <c r="H14" s="61">
        <v>51750</v>
      </c>
      <c r="I14" s="17">
        <f t="shared" si="5"/>
        <v>63268.1</v>
      </c>
      <c r="J14" s="61">
        <f t="shared" si="6"/>
        <v>6750</v>
      </c>
      <c r="K14" s="61">
        <f t="shared" si="7"/>
        <v>7797.0999999999985</v>
      </c>
      <c r="L14" s="39"/>
      <c r="M14" s="61">
        <v>70000</v>
      </c>
      <c r="N14" s="92">
        <v>45000</v>
      </c>
      <c r="O14" s="77" t="str">
        <f t="shared" si="8"/>
        <v>1.00 Months</v>
      </c>
      <c r="P14" s="17"/>
      <c r="Q14" s="77" t="str">
        <f t="shared" si="9"/>
        <v>100.00 %</v>
      </c>
      <c r="R14" s="61">
        <f t="shared" si="1"/>
        <v>-25000</v>
      </c>
      <c r="S14" s="93"/>
      <c r="T14" s="43"/>
    </row>
    <row r="15" spans="1:20" s="1" customFormat="1" ht="35.1" customHeight="1">
      <c r="A15" s="13">
        <v>9</v>
      </c>
      <c r="B15" s="20" t="s">
        <v>37</v>
      </c>
      <c r="C15" s="15" t="s">
        <v>38</v>
      </c>
      <c r="D15" s="16">
        <v>44983</v>
      </c>
      <c r="E15" s="65">
        <v>7000</v>
      </c>
      <c r="F15" s="60">
        <v>7668</v>
      </c>
      <c r="G15" s="18">
        <f t="shared" si="4"/>
        <v>0.5714285714285714</v>
      </c>
      <c r="H15" s="61">
        <v>11000</v>
      </c>
      <c r="I15" s="17">
        <f t="shared" si="5"/>
        <v>11734.8</v>
      </c>
      <c r="J15" s="61">
        <f t="shared" si="6"/>
        <v>4000</v>
      </c>
      <c r="K15" s="61">
        <f t="shared" si="7"/>
        <v>4066.7999999999993</v>
      </c>
      <c r="L15" s="39"/>
      <c r="M15" s="61">
        <v>6000</v>
      </c>
      <c r="N15" s="61">
        <v>7000</v>
      </c>
      <c r="O15" s="77" t="str">
        <f t="shared" si="8"/>
        <v>1.00 Months</v>
      </c>
      <c r="P15" s="17"/>
      <c r="Q15" s="77" t="str">
        <f t="shared" si="9"/>
        <v>100.00 %</v>
      </c>
      <c r="R15" s="61">
        <f t="shared" si="1"/>
        <v>1000</v>
      </c>
      <c r="S15" s="93"/>
      <c r="T15" s="43"/>
    </row>
    <row r="16" spans="1:20" s="1" customFormat="1" ht="35.1" customHeight="1">
      <c r="A16" s="13">
        <v>10</v>
      </c>
      <c r="B16" s="20" t="s">
        <v>39</v>
      </c>
      <c r="C16" s="15" t="s">
        <v>33</v>
      </c>
      <c r="D16" s="16">
        <v>45125</v>
      </c>
      <c r="E16" s="65">
        <v>8000</v>
      </c>
      <c r="F16" s="60">
        <v>9453</v>
      </c>
      <c r="G16" s="18">
        <f t="shared" si="4"/>
        <v>0.75</v>
      </c>
      <c r="H16" s="61">
        <v>14000</v>
      </c>
      <c r="I16" s="17">
        <f t="shared" si="5"/>
        <v>15598.3</v>
      </c>
      <c r="J16" s="61">
        <f t="shared" si="6"/>
        <v>6000</v>
      </c>
      <c r="K16" s="61">
        <f t="shared" si="7"/>
        <v>6145.2999999999993</v>
      </c>
      <c r="L16" s="39"/>
      <c r="M16" s="61">
        <v>3333</v>
      </c>
      <c r="N16" s="61">
        <v>8000</v>
      </c>
      <c r="O16" s="77" t="str">
        <f t="shared" si="8"/>
        <v>1.00 Months</v>
      </c>
      <c r="P16" s="17"/>
      <c r="Q16" s="77" t="str">
        <f t="shared" si="9"/>
        <v>100.00 %</v>
      </c>
      <c r="R16" s="61">
        <f t="shared" si="1"/>
        <v>4667</v>
      </c>
      <c r="S16" s="93"/>
      <c r="T16" s="43"/>
    </row>
    <row r="17" spans="1:20" s="1" customFormat="1" ht="35.1" customHeight="1">
      <c r="A17" s="13">
        <v>11</v>
      </c>
      <c r="B17" s="20" t="s">
        <v>40</v>
      </c>
      <c r="C17" s="15" t="s">
        <v>38</v>
      </c>
      <c r="D17" s="16">
        <v>45323</v>
      </c>
      <c r="E17" s="65">
        <v>7000</v>
      </c>
      <c r="F17" s="60">
        <v>7744</v>
      </c>
      <c r="G17" s="18">
        <f t="shared" si="4"/>
        <v>0.42857142857142855</v>
      </c>
      <c r="H17" s="61">
        <v>10000</v>
      </c>
      <c r="I17" s="17">
        <f t="shared" si="5"/>
        <v>10818.4</v>
      </c>
      <c r="J17" s="61">
        <f t="shared" si="6"/>
        <v>3000</v>
      </c>
      <c r="K17" s="61">
        <f t="shared" si="7"/>
        <v>3074.3999999999996</v>
      </c>
      <c r="L17" s="39"/>
      <c r="M17" s="61">
        <v>0</v>
      </c>
      <c r="N17" s="61">
        <v>7000</v>
      </c>
      <c r="O17" s="77" t="str">
        <f t="shared" si="8"/>
        <v>1.00 Months</v>
      </c>
      <c r="P17" s="17"/>
      <c r="Q17" s="77" t="str">
        <f t="shared" si="9"/>
        <v>100.00 %</v>
      </c>
      <c r="R17" s="61">
        <f t="shared" si="1"/>
        <v>7000</v>
      </c>
      <c r="S17" s="93"/>
      <c r="T17" s="43"/>
    </row>
    <row r="18" spans="1:20" s="1" customFormat="1" ht="35.1" customHeight="1">
      <c r="A18" s="13">
        <v>12</v>
      </c>
      <c r="B18" s="20" t="s">
        <v>41</v>
      </c>
      <c r="C18" s="15" t="s">
        <v>38</v>
      </c>
      <c r="D18" s="16">
        <v>45354</v>
      </c>
      <c r="E18" s="65">
        <v>7000</v>
      </c>
      <c r="F18" s="60">
        <v>7641</v>
      </c>
      <c r="G18" s="18">
        <f t="shared" si="4"/>
        <v>0.42857142857142855</v>
      </c>
      <c r="H18" s="61">
        <v>10000</v>
      </c>
      <c r="I18" s="17">
        <f t="shared" si="5"/>
        <v>10705.1</v>
      </c>
      <c r="J18" s="61">
        <f t="shared" si="6"/>
        <v>3000</v>
      </c>
      <c r="K18" s="61">
        <f t="shared" si="7"/>
        <v>3064.1000000000004</v>
      </c>
      <c r="L18" s="39"/>
      <c r="M18" s="61">
        <v>0</v>
      </c>
      <c r="N18" s="61">
        <v>7000</v>
      </c>
      <c r="O18" s="77" t="str">
        <f t="shared" si="8"/>
        <v>1.00 Months</v>
      </c>
      <c r="P18" s="17"/>
      <c r="Q18" s="77" t="str">
        <f t="shared" si="9"/>
        <v>100.00 %</v>
      </c>
      <c r="R18" s="61">
        <f t="shared" si="1"/>
        <v>7000</v>
      </c>
      <c r="S18" s="93"/>
      <c r="T18" s="43"/>
    </row>
    <row r="19" spans="1:20" s="1" customFormat="1" ht="35.1" customHeight="1">
      <c r="A19" s="13">
        <v>13</v>
      </c>
      <c r="B19" s="20" t="s">
        <v>42</v>
      </c>
      <c r="C19" s="15" t="s">
        <v>38</v>
      </c>
      <c r="D19" s="16">
        <v>45536</v>
      </c>
      <c r="E19" s="65">
        <v>7500</v>
      </c>
      <c r="F19" s="60">
        <v>7683</v>
      </c>
      <c r="G19" s="18">
        <f t="shared" si="4"/>
        <v>0.6</v>
      </c>
      <c r="H19" s="61">
        <v>12000</v>
      </c>
      <c r="I19" s="17">
        <f t="shared" si="5"/>
        <v>12201.3</v>
      </c>
      <c r="J19" s="61">
        <f t="shared" si="6"/>
        <v>4500</v>
      </c>
      <c r="K19" s="61">
        <f t="shared" si="7"/>
        <v>4518.2999999999993</v>
      </c>
      <c r="L19" s="39"/>
      <c r="M19" s="61">
        <v>0</v>
      </c>
      <c r="N19" s="61">
        <v>2500</v>
      </c>
      <c r="O19" s="77" t="str">
        <f t="shared" si="8"/>
        <v>0.33 Months</v>
      </c>
      <c r="P19" s="17"/>
      <c r="Q19" s="77" t="str">
        <f t="shared" si="9"/>
        <v>33.33 %</v>
      </c>
      <c r="R19" s="61">
        <f t="shared" si="1"/>
        <v>2500</v>
      </c>
      <c r="S19" s="93"/>
      <c r="T19" s="90" t="s">
        <v>108</v>
      </c>
    </row>
    <row r="20" spans="1:20" s="1" customFormat="1" ht="35.1" customHeight="1">
      <c r="A20" s="21">
        <v>14</v>
      </c>
      <c r="B20" s="22" t="s">
        <v>43</v>
      </c>
      <c r="C20" s="23" t="s">
        <v>26</v>
      </c>
      <c r="D20" s="24">
        <v>45690</v>
      </c>
      <c r="E20" s="65">
        <v>0</v>
      </c>
      <c r="F20" s="60">
        <v>0</v>
      </c>
      <c r="G20" s="69" t="str">
        <f t="shared" si="4"/>
        <v>No Ratio</v>
      </c>
      <c r="H20" s="61">
        <v>0</v>
      </c>
      <c r="I20" s="17">
        <f t="shared" si="5"/>
        <v>0</v>
      </c>
      <c r="J20" s="61">
        <f t="shared" si="6"/>
        <v>0</v>
      </c>
      <c r="K20" s="61">
        <f t="shared" si="7"/>
        <v>0</v>
      </c>
      <c r="L20" s="39"/>
      <c r="M20" s="61">
        <v>0</v>
      </c>
      <c r="N20" s="84"/>
      <c r="O20" s="77" t="str">
        <f t="shared" si="8"/>
        <v>No Bonus</v>
      </c>
      <c r="P20" s="17"/>
      <c r="Q20" s="77" t="str">
        <f t="shared" si="9"/>
        <v>No Bonus</v>
      </c>
      <c r="R20" s="61">
        <f t="shared" si="1"/>
        <v>0</v>
      </c>
      <c r="S20" s="93"/>
      <c r="T20" s="90" t="s">
        <v>104</v>
      </c>
    </row>
    <row r="21" spans="1:20" s="1" customFormat="1" ht="35.1" customHeight="1" thickBot="1">
      <c r="A21" s="162" t="s">
        <v>44</v>
      </c>
      <c r="B21" s="163"/>
      <c r="C21" s="163"/>
      <c r="D21" s="25"/>
      <c r="E21" s="68">
        <f>SUM(E7:E20)</f>
        <v>329350</v>
      </c>
      <c r="F21" s="68">
        <f>SUM(F7:F20)</f>
        <v>379261</v>
      </c>
      <c r="G21" s="48">
        <f>IFERROR((H21-E21)/E21,"No Ratio")</f>
        <v>0.22301502960376499</v>
      </c>
      <c r="H21" s="68">
        <f>SUM(H7:H20)</f>
        <v>402800</v>
      </c>
      <c r="I21" s="68">
        <f>SUM(I7:I20)</f>
        <v>457702.09999999992</v>
      </c>
      <c r="J21" s="68">
        <f>SUM(J7:J20)</f>
        <v>73450</v>
      </c>
      <c r="K21" s="68">
        <f>SUM(K7:K20)</f>
        <v>78441.100000000006</v>
      </c>
      <c r="L21" s="26"/>
      <c r="M21" s="68">
        <f>SUM(M7:M20)</f>
        <v>385333</v>
      </c>
      <c r="N21" s="68">
        <f>SUM(N7:N20)</f>
        <v>300350</v>
      </c>
      <c r="O21" s="48"/>
      <c r="P21" s="26"/>
      <c r="Q21" s="48"/>
      <c r="R21" s="68">
        <f>SUM(R7:R20)</f>
        <v>-84983</v>
      </c>
      <c r="S21" s="94"/>
      <c r="T21" s="45"/>
    </row>
    <row r="22" spans="1:20" s="1" customFormat="1" ht="45.75" customHeight="1">
      <c r="A22" s="7">
        <v>1</v>
      </c>
      <c r="B22" s="19" t="s">
        <v>45</v>
      </c>
      <c r="C22" s="9" t="s">
        <v>46</v>
      </c>
      <c r="D22" s="10">
        <v>41107</v>
      </c>
      <c r="E22" s="66">
        <v>85000</v>
      </c>
      <c r="F22" s="66">
        <v>111869</v>
      </c>
      <c r="G22" s="12">
        <f t="shared" ref="G22:G42" si="10">IFERROR((H22-E22)/E22,"No Ratio")</f>
        <v>0.50588235294117645</v>
      </c>
      <c r="H22" s="67">
        <v>128000</v>
      </c>
      <c r="I22" s="67">
        <f t="shared" ref="I22:I41" si="11">((F22-E22)+H22)+($H$1*(F22-E22))</f>
        <v>157555.9</v>
      </c>
      <c r="J22" s="67">
        <f t="shared" ref="J22:J41" si="12">H22-E22</f>
        <v>43000</v>
      </c>
      <c r="K22" s="67">
        <f t="shared" ref="K22:K41" si="13">I22-F22</f>
        <v>45686.899999999994</v>
      </c>
      <c r="L22" s="38"/>
      <c r="M22" s="67">
        <v>300000</v>
      </c>
      <c r="N22" s="85">
        <v>0</v>
      </c>
      <c r="O22" s="75" t="str">
        <f t="shared" ref="O22:O41" si="14">IF(N22=0,"No Bonus",TEXT(N22/E22,"0.00")&amp;" Months")</f>
        <v>No Bonus</v>
      </c>
      <c r="P22" s="11"/>
      <c r="Q22" s="75" t="str">
        <f t="shared" ref="Q22:Q41" si="15">IF(N22=0,"No Bonus",TEXT((N22/E22)*100,"0.00")&amp;" %")</f>
        <v>No Bonus</v>
      </c>
      <c r="R22" s="67">
        <f t="shared" si="1"/>
        <v>-300000</v>
      </c>
      <c r="S22" s="98"/>
      <c r="T22" s="91" t="s">
        <v>105</v>
      </c>
    </row>
    <row r="23" spans="1:20" s="1" customFormat="1" ht="35.1" customHeight="1">
      <c r="A23" s="13">
        <v>2</v>
      </c>
      <c r="B23" s="20" t="s">
        <v>47</v>
      </c>
      <c r="C23" s="15" t="s">
        <v>48</v>
      </c>
      <c r="D23" s="16">
        <v>41660</v>
      </c>
      <c r="E23" s="60">
        <v>30375</v>
      </c>
      <c r="F23" s="60">
        <v>41354</v>
      </c>
      <c r="G23" s="18">
        <f t="shared" si="10"/>
        <v>0.25102880658436216</v>
      </c>
      <c r="H23" s="61">
        <v>38000</v>
      </c>
      <c r="I23" s="61">
        <f t="shared" si="11"/>
        <v>50076.9</v>
      </c>
      <c r="J23" s="61">
        <f t="shared" si="12"/>
        <v>7625</v>
      </c>
      <c r="K23" s="61">
        <f t="shared" si="13"/>
        <v>8722.9000000000015</v>
      </c>
      <c r="L23" s="39"/>
      <c r="M23" s="61">
        <v>45000</v>
      </c>
      <c r="N23" s="61">
        <v>30375</v>
      </c>
      <c r="O23" s="77" t="str">
        <f t="shared" si="14"/>
        <v>1.00 Months</v>
      </c>
      <c r="P23" s="17"/>
      <c r="Q23" s="77" t="str">
        <f t="shared" si="15"/>
        <v>100.00 %</v>
      </c>
      <c r="R23" s="61">
        <f t="shared" si="1"/>
        <v>-14625</v>
      </c>
      <c r="S23" s="93"/>
      <c r="T23" s="43"/>
    </row>
    <row r="24" spans="1:20" s="1" customFormat="1" ht="35.1" customHeight="1">
      <c r="A24" s="13">
        <v>3</v>
      </c>
      <c r="B24" s="20" t="s">
        <v>49</v>
      </c>
      <c r="C24" s="15" t="s">
        <v>50</v>
      </c>
      <c r="D24" s="16">
        <v>43009</v>
      </c>
      <c r="E24" s="60">
        <v>30000</v>
      </c>
      <c r="F24" s="60">
        <v>40289</v>
      </c>
      <c r="G24" s="18">
        <f t="shared" si="10"/>
        <v>0.5</v>
      </c>
      <c r="H24" s="61">
        <v>45000</v>
      </c>
      <c r="I24" s="61">
        <f t="shared" si="11"/>
        <v>56317.9</v>
      </c>
      <c r="J24" s="61">
        <f t="shared" si="12"/>
        <v>15000</v>
      </c>
      <c r="K24" s="61">
        <f t="shared" si="13"/>
        <v>16028.900000000001</v>
      </c>
      <c r="L24" s="39"/>
      <c r="M24" s="61">
        <v>50000</v>
      </c>
      <c r="N24" s="61">
        <v>30000</v>
      </c>
      <c r="O24" s="77" t="str">
        <f t="shared" si="14"/>
        <v>1.00 Months</v>
      </c>
      <c r="P24" s="17"/>
      <c r="Q24" s="77" t="str">
        <f t="shared" si="15"/>
        <v>100.00 %</v>
      </c>
      <c r="R24" s="61">
        <f t="shared" si="1"/>
        <v>-20000</v>
      </c>
      <c r="S24" s="93"/>
      <c r="T24" s="43"/>
    </row>
    <row r="25" spans="1:20" s="1" customFormat="1" ht="35.1" customHeight="1">
      <c r="A25" s="13">
        <v>4</v>
      </c>
      <c r="B25" s="20" t="s">
        <v>51</v>
      </c>
      <c r="C25" s="15" t="s">
        <v>52</v>
      </c>
      <c r="D25" s="16">
        <v>43223</v>
      </c>
      <c r="E25" s="60">
        <v>22400</v>
      </c>
      <c r="F25" s="60">
        <v>31481</v>
      </c>
      <c r="G25" s="18">
        <f t="shared" si="10"/>
        <v>0.3392857142857143</v>
      </c>
      <c r="H25" s="61">
        <v>30000</v>
      </c>
      <c r="I25" s="61">
        <f t="shared" si="11"/>
        <v>39989.1</v>
      </c>
      <c r="J25" s="61">
        <f t="shared" si="12"/>
        <v>7600</v>
      </c>
      <c r="K25" s="61">
        <f t="shared" si="13"/>
        <v>8508.0999999999985</v>
      </c>
      <c r="L25" s="39"/>
      <c r="M25" s="61">
        <v>40000</v>
      </c>
      <c r="N25" s="61">
        <v>22400</v>
      </c>
      <c r="O25" s="77" t="str">
        <f t="shared" si="14"/>
        <v>1.00 Months</v>
      </c>
      <c r="P25" s="17"/>
      <c r="Q25" s="77" t="str">
        <f t="shared" si="15"/>
        <v>100.00 %</v>
      </c>
      <c r="R25" s="61">
        <f t="shared" si="1"/>
        <v>-17600</v>
      </c>
      <c r="S25" s="93"/>
      <c r="T25" s="43"/>
    </row>
    <row r="26" spans="1:20" s="1" customFormat="1" ht="35.1" customHeight="1">
      <c r="A26" s="13">
        <v>5</v>
      </c>
      <c r="B26" s="20" t="s">
        <v>53</v>
      </c>
      <c r="C26" s="15" t="s">
        <v>54</v>
      </c>
      <c r="D26" s="16">
        <v>43534</v>
      </c>
      <c r="E26" s="60">
        <v>32000</v>
      </c>
      <c r="F26" s="60">
        <v>43941</v>
      </c>
      <c r="G26" s="18">
        <f t="shared" si="10"/>
        <v>0.25</v>
      </c>
      <c r="H26" s="61">
        <v>40000</v>
      </c>
      <c r="I26" s="61">
        <f t="shared" si="11"/>
        <v>53135.1</v>
      </c>
      <c r="J26" s="61">
        <f t="shared" si="12"/>
        <v>8000</v>
      </c>
      <c r="K26" s="61">
        <f t="shared" si="13"/>
        <v>9194.0999999999985</v>
      </c>
      <c r="L26" s="39"/>
      <c r="M26" s="61">
        <v>62500</v>
      </c>
      <c r="N26" s="61">
        <v>32000</v>
      </c>
      <c r="O26" s="77" t="str">
        <f t="shared" si="14"/>
        <v>1.00 Months</v>
      </c>
      <c r="P26" s="17"/>
      <c r="Q26" s="77" t="str">
        <f t="shared" si="15"/>
        <v>100.00 %</v>
      </c>
      <c r="R26" s="61">
        <f t="shared" si="1"/>
        <v>-30500</v>
      </c>
      <c r="S26" s="93"/>
      <c r="T26" s="43"/>
    </row>
    <row r="27" spans="1:20" s="1" customFormat="1" ht="35.1" customHeight="1">
      <c r="A27" s="13">
        <v>6</v>
      </c>
      <c r="B27" s="20" t="s">
        <v>55</v>
      </c>
      <c r="C27" s="15" t="s">
        <v>56</v>
      </c>
      <c r="D27" s="16">
        <v>44409</v>
      </c>
      <c r="E27" s="60">
        <v>12000</v>
      </c>
      <c r="F27" s="60">
        <v>18157</v>
      </c>
      <c r="G27" s="18">
        <f t="shared" si="10"/>
        <v>0.25</v>
      </c>
      <c r="H27" s="61">
        <v>15000</v>
      </c>
      <c r="I27" s="61">
        <f t="shared" si="11"/>
        <v>21772.7</v>
      </c>
      <c r="J27" s="61">
        <f t="shared" si="12"/>
        <v>3000</v>
      </c>
      <c r="K27" s="61">
        <f t="shared" si="13"/>
        <v>3615.7000000000007</v>
      </c>
      <c r="L27" s="39"/>
      <c r="M27" s="61">
        <v>20000</v>
      </c>
      <c r="N27" s="61">
        <v>12000</v>
      </c>
      <c r="O27" s="77" t="str">
        <f t="shared" si="14"/>
        <v>1.00 Months</v>
      </c>
      <c r="P27" s="17"/>
      <c r="Q27" s="77" t="str">
        <f t="shared" si="15"/>
        <v>100.00 %</v>
      </c>
      <c r="R27" s="61">
        <f t="shared" si="1"/>
        <v>-8000</v>
      </c>
      <c r="S27" s="93"/>
      <c r="T27" s="43"/>
    </row>
    <row r="28" spans="1:20" s="1" customFormat="1" ht="35.1" customHeight="1">
      <c r="A28" s="13">
        <v>7</v>
      </c>
      <c r="B28" s="20" t="s">
        <v>57</v>
      </c>
      <c r="C28" s="15" t="s">
        <v>58</v>
      </c>
      <c r="D28" s="16">
        <v>42297</v>
      </c>
      <c r="E28" s="60">
        <v>18600</v>
      </c>
      <c r="F28" s="60">
        <v>23331</v>
      </c>
      <c r="G28" s="18">
        <f t="shared" si="10"/>
        <v>0.18279569892473119</v>
      </c>
      <c r="H28" s="61">
        <v>22000</v>
      </c>
      <c r="I28" s="61">
        <f t="shared" si="11"/>
        <v>27204.1</v>
      </c>
      <c r="J28" s="61">
        <f t="shared" si="12"/>
        <v>3400</v>
      </c>
      <c r="K28" s="61">
        <f t="shared" si="13"/>
        <v>3873.0999999999985</v>
      </c>
      <c r="L28" s="39"/>
      <c r="M28" s="61">
        <v>31000</v>
      </c>
      <c r="N28" s="61">
        <v>18600</v>
      </c>
      <c r="O28" s="77" t="str">
        <f t="shared" si="14"/>
        <v>1.00 Months</v>
      </c>
      <c r="P28" s="17"/>
      <c r="Q28" s="77" t="str">
        <f t="shared" si="15"/>
        <v>100.00 %</v>
      </c>
      <c r="R28" s="61">
        <f t="shared" si="1"/>
        <v>-12400</v>
      </c>
      <c r="S28" s="93"/>
      <c r="T28" s="43"/>
    </row>
    <row r="29" spans="1:20" s="1" customFormat="1" ht="35.1" customHeight="1">
      <c r="A29" s="13">
        <v>8</v>
      </c>
      <c r="B29" s="20" t="s">
        <v>59</v>
      </c>
      <c r="C29" s="15" t="s">
        <v>60</v>
      </c>
      <c r="D29" s="16">
        <v>42397</v>
      </c>
      <c r="E29" s="60">
        <v>18600</v>
      </c>
      <c r="F29" s="60">
        <v>27771</v>
      </c>
      <c r="G29" s="18">
        <f t="shared" si="10"/>
        <v>0.18279569892473119</v>
      </c>
      <c r="H29" s="61">
        <v>22000</v>
      </c>
      <c r="I29" s="61">
        <f t="shared" si="11"/>
        <v>32088.1</v>
      </c>
      <c r="J29" s="61">
        <f t="shared" si="12"/>
        <v>3400</v>
      </c>
      <c r="K29" s="61">
        <f t="shared" si="13"/>
        <v>4317.0999999999985</v>
      </c>
      <c r="L29" s="39"/>
      <c r="M29" s="61">
        <v>25000</v>
      </c>
      <c r="N29" s="61">
        <v>18600</v>
      </c>
      <c r="O29" s="77" t="str">
        <f t="shared" si="14"/>
        <v>1.00 Months</v>
      </c>
      <c r="P29" s="17"/>
      <c r="Q29" s="77" t="str">
        <f t="shared" si="15"/>
        <v>100.00 %</v>
      </c>
      <c r="R29" s="61">
        <f t="shared" si="1"/>
        <v>-6400</v>
      </c>
      <c r="S29" s="93"/>
      <c r="T29" s="43"/>
    </row>
    <row r="30" spans="1:20" s="1" customFormat="1" ht="35.1" customHeight="1">
      <c r="A30" s="13">
        <v>9</v>
      </c>
      <c r="B30" s="20" t="s">
        <v>61</v>
      </c>
      <c r="C30" s="15" t="s">
        <v>62</v>
      </c>
      <c r="D30" s="16">
        <v>45095</v>
      </c>
      <c r="E30" s="60">
        <v>11500</v>
      </c>
      <c r="F30" s="60">
        <v>17443</v>
      </c>
      <c r="G30" s="18">
        <f t="shared" si="10"/>
        <v>0.30434782608695654</v>
      </c>
      <c r="H30" s="61">
        <v>15000</v>
      </c>
      <c r="I30" s="61">
        <f t="shared" si="11"/>
        <v>21537.3</v>
      </c>
      <c r="J30" s="61">
        <f t="shared" si="12"/>
        <v>3500</v>
      </c>
      <c r="K30" s="61">
        <f t="shared" si="13"/>
        <v>4094.2999999999993</v>
      </c>
      <c r="L30" s="39"/>
      <c r="M30" s="61">
        <v>5748</v>
      </c>
      <c r="N30" s="61">
        <v>11500</v>
      </c>
      <c r="O30" s="77" t="str">
        <f t="shared" si="14"/>
        <v>1.00 Months</v>
      </c>
      <c r="P30" s="17"/>
      <c r="Q30" s="77" t="str">
        <f t="shared" si="15"/>
        <v>100.00 %</v>
      </c>
      <c r="R30" s="61">
        <f t="shared" si="1"/>
        <v>5752</v>
      </c>
      <c r="S30" s="93"/>
      <c r="T30" s="43"/>
    </row>
    <row r="31" spans="1:20" s="1" customFormat="1" ht="34.950000000000003" customHeight="1">
      <c r="A31" s="13">
        <v>10</v>
      </c>
      <c r="B31" s="20" t="s">
        <v>63</v>
      </c>
      <c r="C31" s="15" t="s">
        <v>64</v>
      </c>
      <c r="D31" s="16">
        <v>39827</v>
      </c>
      <c r="E31" s="60">
        <v>12000</v>
      </c>
      <c r="F31" s="60">
        <v>18548</v>
      </c>
      <c r="G31" s="18">
        <f t="shared" si="10"/>
        <v>0.25</v>
      </c>
      <c r="H31" s="61">
        <v>15000</v>
      </c>
      <c r="I31" s="61">
        <f t="shared" si="11"/>
        <v>22202.799999999999</v>
      </c>
      <c r="J31" s="61">
        <f t="shared" si="12"/>
        <v>3000</v>
      </c>
      <c r="K31" s="61">
        <f t="shared" si="13"/>
        <v>3654.7999999999993</v>
      </c>
      <c r="L31" s="39"/>
      <c r="M31" s="61">
        <v>15750</v>
      </c>
      <c r="N31" s="61">
        <v>12000</v>
      </c>
      <c r="O31" s="77" t="str">
        <f t="shared" si="14"/>
        <v>1.00 Months</v>
      </c>
      <c r="P31" s="17"/>
      <c r="Q31" s="77" t="str">
        <f t="shared" si="15"/>
        <v>100.00 %</v>
      </c>
      <c r="R31" s="61">
        <f t="shared" si="1"/>
        <v>-3750</v>
      </c>
      <c r="S31" s="93"/>
      <c r="T31" s="43"/>
    </row>
    <row r="32" spans="1:20" s="1" customFormat="1" ht="35.1" customHeight="1">
      <c r="A32" s="13">
        <v>11</v>
      </c>
      <c r="B32" s="20" t="s">
        <v>65</v>
      </c>
      <c r="C32" s="15" t="s">
        <v>66</v>
      </c>
      <c r="D32" s="16">
        <v>42186</v>
      </c>
      <c r="E32" s="60">
        <v>11284</v>
      </c>
      <c r="F32" s="60">
        <v>17324</v>
      </c>
      <c r="G32" s="18">
        <f t="shared" si="10"/>
        <v>0.24069478908188585</v>
      </c>
      <c r="H32" s="61">
        <v>14000</v>
      </c>
      <c r="I32" s="61">
        <f t="shared" si="11"/>
        <v>20644</v>
      </c>
      <c r="J32" s="61">
        <f t="shared" si="12"/>
        <v>2716</v>
      </c>
      <c r="K32" s="61">
        <f t="shared" si="13"/>
        <v>3320</v>
      </c>
      <c r="L32" s="39"/>
      <c r="M32" s="61">
        <v>18200</v>
      </c>
      <c r="N32" s="61">
        <v>11284</v>
      </c>
      <c r="O32" s="77" t="str">
        <f t="shared" si="14"/>
        <v>1.00 Months</v>
      </c>
      <c r="P32" s="17"/>
      <c r="Q32" s="77" t="str">
        <f t="shared" si="15"/>
        <v>100.00 %</v>
      </c>
      <c r="R32" s="61">
        <f t="shared" si="1"/>
        <v>-6916</v>
      </c>
      <c r="S32" s="93"/>
      <c r="T32" s="43"/>
    </row>
    <row r="33" spans="1:20" s="1" customFormat="1" ht="35.1" customHeight="1">
      <c r="A33" s="13">
        <v>12</v>
      </c>
      <c r="B33" s="20" t="s">
        <v>67</v>
      </c>
      <c r="C33" s="15" t="s">
        <v>68</v>
      </c>
      <c r="D33" s="16">
        <v>41105</v>
      </c>
      <c r="E33" s="60">
        <v>11160</v>
      </c>
      <c r="F33" s="60">
        <v>17501</v>
      </c>
      <c r="G33" s="18">
        <f t="shared" si="10"/>
        <v>0.20967741935483872</v>
      </c>
      <c r="H33" s="61">
        <v>13500</v>
      </c>
      <c r="I33" s="61">
        <f t="shared" si="11"/>
        <v>20475.099999999999</v>
      </c>
      <c r="J33" s="61">
        <f t="shared" si="12"/>
        <v>2340</v>
      </c>
      <c r="K33" s="61">
        <f t="shared" si="13"/>
        <v>2974.0999999999985</v>
      </c>
      <c r="L33" s="39"/>
      <c r="M33" s="61">
        <v>16000</v>
      </c>
      <c r="N33" s="61">
        <v>11160</v>
      </c>
      <c r="O33" s="77" t="str">
        <f t="shared" si="14"/>
        <v>1.00 Months</v>
      </c>
      <c r="P33" s="17"/>
      <c r="Q33" s="77" t="str">
        <f t="shared" si="15"/>
        <v>100.00 %</v>
      </c>
      <c r="R33" s="61">
        <f t="shared" si="1"/>
        <v>-4840</v>
      </c>
      <c r="S33" s="93"/>
      <c r="T33" s="43"/>
    </row>
    <row r="34" spans="1:20" s="1" customFormat="1" ht="35.1" customHeight="1">
      <c r="A34" s="13">
        <v>13</v>
      </c>
      <c r="B34" s="20" t="s">
        <v>69</v>
      </c>
      <c r="C34" s="15" t="s">
        <v>70</v>
      </c>
      <c r="D34" s="16">
        <v>39583</v>
      </c>
      <c r="E34" s="60">
        <v>10000</v>
      </c>
      <c r="F34" s="60">
        <v>15422</v>
      </c>
      <c r="G34" s="18">
        <f t="shared" si="10"/>
        <v>0.2</v>
      </c>
      <c r="H34" s="61">
        <v>12000</v>
      </c>
      <c r="I34" s="61">
        <f t="shared" si="11"/>
        <v>17964.2</v>
      </c>
      <c r="J34" s="61">
        <f t="shared" si="12"/>
        <v>2000</v>
      </c>
      <c r="K34" s="61">
        <f t="shared" si="13"/>
        <v>2542.2000000000007</v>
      </c>
      <c r="L34" s="39"/>
      <c r="M34" s="61">
        <v>12000</v>
      </c>
      <c r="N34" s="61">
        <v>10000</v>
      </c>
      <c r="O34" s="77" t="str">
        <f t="shared" si="14"/>
        <v>1.00 Months</v>
      </c>
      <c r="P34" s="17"/>
      <c r="Q34" s="77" t="str">
        <f t="shared" si="15"/>
        <v>100.00 %</v>
      </c>
      <c r="R34" s="61">
        <f t="shared" si="1"/>
        <v>-2000</v>
      </c>
      <c r="S34" s="93"/>
      <c r="T34" s="43"/>
    </row>
    <row r="35" spans="1:20" s="1" customFormat="1" ht="35.1" customHeight="1">
      <c r="A35" s="13">
        <v>14</v>
      </c>
      <c r="B35" s="20" t="s">
        <v>71</v>
      </c>
      <c r="C35" s="15" t="s">
        <v>72</v>
      </c>
      <c r="D35" s="16">
        <v>40724</v>
      </c>
      <c r="E35" s="60">
        <v>9000</v>
      </c>
      <c r="F35" s="60">
        <v>14712</v>
      </c>
      <c r="G35" s="18">
        <f t="shared" si="10"/>
        <v>0.22222222222222221</v>
      </c>
      <c r="H35" s="61">
        <v>11000</v>
      </c>
      <c r="I35" s="61">
        <f t="shared" si="11"/>
        <v>17283.2</v>
      </c>
      <c r="J35" s="61">
        <f t="shared" si="12"/>
        <v>2000</v>
      </c>
      <c r="K35" s="61">
        <f t="shared" si="13"/>
        <v>2571.2000000000007</v>
      </c>
      <c r="L35" s="39"/>
      <c r="M35" s="61">
        <v>13000</v>
      </c>
      <c r="N35" s="61">
        <v>9000</v>
      </c>
      <c r="O35" s="77" t="str">
        <f t="shared" si="14"/>
        <v>1.00 Months</v>
      </c>
      <c r="P35" s="17"/>
      <c r="Q35" s="77" t="str">
        <f t="shared" si="15"/>
        <v>100.00 %</v>
      </c>
      <c r="R35" s="61">
        <f t="shared" si="1"/>
        <v>-4000</v>
      </c>
      <c r="S35" s="93"/>
      <c r="T35" s="43"/>
    </row>
    <row r="36" spans="1:20" s="1" customFormat="1" ht="35.1" customHeight="1">
      <c r="A36" s="13">
        <v>15</v>
      </c>
      <c r="B36" s="20" t="s">
        <v>73</v>
      </c>
      <c r="C36" s="15" t="s">
        <v>72</v>
      </c>
      <c r="D36" s="16">
        <v>43240</v>
      </c>
      <c r="E36" s="60">
        <v>8750</v>
      </c>
      <c r="F36" s="60">
        <v>13588</v>
      </c>
      <c r="G36" s="18">
        <f t="shared" si="10"/>
        <v>0.25714285714285712</v>
      </c>
      <c r="H36" s="61">
        <v>11000</v>
      </c>
      <c r="I36" s="61">
        <f t="shared" si="11"/>
        <v>16321.8</v>
      </c>
      <c r="J36" s="61">
        <f t="shared" si="12"/>
        <v>2250</v>
      </c>
      <c r="K36" s="61">
        <f t="shared" si="13"/>
        <v>2733.7999999999993</v>
      </c>
      <c r="L36" s="39"/>
      <c r="M36" s="61">
        <v>15000</v>
      </c>
      <c r="N36" s="61">
        <v>8750</v>
      </c>
      <c r="O36" s="77" t="str">
        <f t="shared" si="14"/>
        <v>1.00 Months</v>
      </c>
      <c r="P36" s="17"/>
      <c r="Q36" s="77" t="str">
        <f t="shared" si="15"/>
        <v>100.00 %</v>
      </c>
      <c r="R36" s="61">
        <f t="shared" si="1"/>
        <v>-6250</v>
      </c>
      <c r="S36" s="93"/>
      <c r="T36" s="43"/>
    </row>
    <row r="37" spans="1:20" s="1" customFormat="1" ht="35.1" customHeight="1">
      <c r="A37" s="13">
        <v>16</v>
      </c>
      <c r="B37" s="20" t="s">
        <v>74</v>
      </c>
      <c r="C37" s="15" t="s">
        <v>75</v>
      </c>
      <c r="D37" s="16">
        <v>39264</v>
      </c>
      <c r="E37" s="60">
        <v>26000</v>
      </c>
      <c r="F37" s="60">
        <v>26500</v>
      </c>
      <c r="G37" s="18">
        <f t="shared" si="10"/>
        <v>0.23076923076923078</v>
      </c>
      <c r="H37" s="61">
        <v>32000</v>
      </c>
      <c r="I37" s="61">
        <f t="shared" si="11"/>
        <v>32550</v>
      </c>
      <c r="J37" s="61">
        <f t="shared" si="12"/>
        <v>6000</v>
      </c>
      <c r="K37" s="61">
        <f t="shared" si="13"/>
        <v>6050</v>
      </c>
      <c r="L37" s="39"/>
      <c r="M37" s="61">
        <v>40000</v>
      </c>
      <c r="N37" s="61">
        <v>0</v>
      </c>
      <c r="O37" s="77" t="str">
        <f t="shared" si="14"/>
        <v>No Bonus</v>
      </c>
      <c r="P37" s="17"/>
      <c r="Q37" s="77" t="str">
        <f t="shared" si="15"/>
        <v>No Bonus</v>
      </c>
      <c r="R37" s="61">
        <f t="shared" si="1"/>
        <v>-40000</v>
      </c>
      <c r="S37" s="93"/>
      <c r="T37" s="90" t="s">
        <v>106</v>
      </c>
    </row>
    <row r="38" spans="1:20" s="1" customFormat="1" ht="35.1" customHeight="1">
      <c r="A38" s="13">
        <v>17</v>
      </c>
      <c r="B38" s="20" t="s">
        <v>76</v>
      </c>
      <c r="C38" s="15" t="s">
        <v>77</v>
      </c>
      <c r="D38" s="16">
        <v>43273</v>
      </c>
      <c r="E38" s="60">
        <v>12600</v>
      </c>
      <c r="F38" s="60">
        <v>19158</v>
      </c>
      <c r="G38" s="18">
        <f t="shared" si="10"/>
        <v>0.26984126984126983</v>
      </c>
      <c r="H38" s="61">
        <v>16000</v>
      </c>
      <c r="I38" s="61">
        <f t="shared" si="11"/>
        <v>23213.8</v>
      </c>
      <c r="J38" s="61">
        <f t="shared" si="12"/>
        <v>3400</v>
      </c>
      <c r="K38" s="61">
        <f t="shared" si="13"/>
        <v>4055.7999999999993</v>
      </c>
      <c r="L38" s="39"/>
      <c r="M38" s="61">
        <v>30000</v>
      </c>
      <c r="N38" s="61">
        <v>12600</v>
      </c>
      <c r="O38" s="77" t="str">
        <f t="shared" si="14"/>
        <v>1.00 Months</v>
      </c>
      <c r="P38" s="17"/>
      <c r="Q38" s="77" t="str">
        <f t="shared" si="15"/>
        <v>100.00 %</v>
      </c>
      <c r="R38" s="61">
        <f t="shared" si="1"/>
        <v>-17400</v>
      </c>
      <c r="S38" s="101"/>
      <c r="T38" s="95"/>
    </row>
    <row r="39" spans="1:20" s="1" customFormat="1" ht="35.1" customHeight="1">
      <c r="A39" s="13">
        <v>18</v>
      </c>
      <c r="B39" s="20" t="s">
        <v>78</v>
      </c>
      <c r="C39" s="15" t="s">
        <v>79</v>
      </c>
      <c r="D39" s="16">
        <v>45173</v>
      </c>
      <c r="E39" s="60">
        <v>6500</v>
      </c>
      <c r="F39" s="60">
        <v>10237</v>
      </c>
      <c r="G39" s="18">
        <f t="shared" si="10"/>
        <v>0.53846153846153844</v>
      </c>
      <c r="H39" s="61">
        <v>10000</v>
      </c>
      <c r="I39" s="61">
        <f t="shared" si="11"/>
        <v>14110.7</v>
      </c>
      <c r="J39" s="61">
        <f t="shared" si="12"/>
        <v>3500</v>
      </c>
      <c r="K39" s="61">
        <f t="shared" si="13"/>
        <v>3873.7000000000007</v>
      </c>
      <c r="L39" s="39"/>
      <c r="M39" s="61">
        <v>2166</v>
      </c>
      <c r="N39" s="61">
        <v>6000</v>
      </c>
      <c r="O39" s="77" t="str">
        <f t="shared" si="14"/>
        <v>0.92 Months</v>
      </c>
      <c r="P39" s="17"/>
      <c r="Q39" s="77" t="str">
        <f t="shared" si="15"/>
        <v>92.31 %</v>
      </c>
      <c r="R39" s="93">
        <f t="shared" si="1"/>
        <v>3834</v>
      </c>
      <c r="S39" s="93"/>
      <c r="T39" s="17"/>
    </row>
    <row r="40" spans="1:20" s="1" customFormat="1" ht="35.1" customHeight="1">
      <c r="A40" s="13">
        <v>19</v>
      </c>
      <c r="B40" s="20" t="s">
        <v>80</v>
      </c>
      <c r="C40" s="15" t="s">
        <v>56</v>
      </c>
      <c r="D40" s="16">
        <v>45438</v>
      </c>
      <c r="E40" s="60">
        <v>18000</v>
      </c>
      <c r="F40" s="60">
        <v>25999</v>
      </c>
      <c r="G40" s="18">
        <f t="shared" si="10"/>
        <v>0</v>
      </c>
      <c r="H40" s="61">
        <v>18000</v>
      </c>
      <c r="I40" s="61">
        <f t="shared" si="11"/>
        <v>26798.9</v>
      </c>
      <c r="J40" s="61">
        <f t="shared" si="12"/>
        <v>0</v>
      </c>
      <c r="K40" s="61">
        <f t="shared" si="13"/>
        <v>799.90000000000146</v>
      </c>
      <c r="L40" s="39"/>
      <c r="M40" s="61">
        <v>0</v>
      </c>
      <c r="N40" s="61">
        <v>10500</v>
      </c>
      <c r="O40" s="77" t="str">
        <f t="shared" si="14"/>
        <v>0.58 Months</v>
      </c>
      <c r="P40" s="17"/>
      <c r="Q40" s="77" t="str">
        <f t="shared" si="15"/>
        <v>58.33 %</v>
      </c>
      <c r="R40" s="93">
        <f t="shared" si="1"/>
        <v>10500</v>
      </c>
      <c r="S40" s="93"/>
      <c r="T40" s="77" t="s">
        <v>109</v>
      </c>
    </row>
    <row r="41" spans="1:20" s="1" customFormat="1" ht="35.1" customHeight="1">
      <c r="A41" s="13">
        <v>20</v>
      </c>
      <c r="B41" s="20" t="s">
        <v>81</v>
      </c>
      <c r="C41" s="15" t="s">
        <v>82</v>
      </c>
      <c r="D41" s="16">
        <v>45505</v>
      </c>
      <c r="E41" s="60">
        <v>7000</v>
      </c>
      <c r="F41" s="60">
        <v>10700</v>
      </c>
      <c r="G41" s="18">
        <f t="shared" si="10"/>
        <v>0</v>
      </c>
      <c r="H41" s="61">
        <v>7000</v>
      </c>
      <c r="I41" s="61">
        <f t="shared" si="11"/>
        <v>11070</v>
      </c>
      <c r="J41" s="61">
        <f t="shared" si="12"/>
        <v>0</v>
      </c>
      <c r="K41" s="61">
        <f t="shared" si="13"/>
        <v>370</v>
      </c>
      <c r="L41" s="39"/>
      <c r="M41" s="61">
        <v>0</v>
      </c>
      <c r="N41" s="61">
        <v>2915</v>
      </c>
      <c r="O41" s="77" t="str">
        <f t="shared" si="14"/>
        <v>0.42 Months</v>
      </c>
      <c r="P41" s="17"/>
      <c r="Q41" s="77" t="str">
        <f t="shared" si="15"/>
        <v>41.64 %</v>
      </c>
      <c r="R41" s="93">
        <f t="shared" si="1"/>
        <v>2915</v>
      </c>
      <c r="S41" s="93"/>
      <c r="T41" s="77" t="s">
        <v>110</v>
      </c>
    </row>
    <row r="42" spans="1:20" s="1" customFormat="1" ht="35.1" customHeight="1" thickBot="1">
      <c r="A42" s="162" t="s">
        <v>83</v>
      </c>
      <c r="B42" s="163"/>
      <c r="C42" s="163"/>
      <c r="D42" s="25"/>
      <c r="E42" s="68">
        <f t="shared" ref="E42:I42" si="16">SUM(E22:E41)</f>
        <v>392769</v>
      </c>
      <c r="F42" s="68">
        <f t="shared" si="16"/>
        <v>545325</v>
      </c>
      <c r="G42" s="70">
        <f t="shared" si="10"/>
        <v>0.30993026435385684</v>
      </c>
      <c r="H42" s="68">
        <f t="shared" si="16"/>
        <v>514500</v>
      </c>
      <c r="I42" s="68">
        <f t="shared" si="16"/>
        <v>682311.59999999986</v>
      </c>
      <c r="J42" s="68">
        <f t="shared" ref="J42:N42" si="17">SUM(J22:J41)</f>
        <v>121731</v>
      </c>
      <c r="K42" s="68">
        <f t="shared" si="17"/>
        <v>136986.6</v>
      </c>
      <c r="L42" s="26"/>
      <c r="M42" s="68">
        <f t="shared" si="17"/>
        <v>741364</v>
      </c>
      <c r="N42" s="68">
        <f t="shared" si="17"/>
        <v>269684</v>
      </c>
      <c r="O42" s="48"/>
      <c r="P42" s="26"/>
      <c r="Q42" s="48"/>
      <c r="R42" s="94">
        <f>SUM(R22:R41)</f>
        <v>-471680</v>
      </c>
      <c r="S42" s="102"/>
      <c r="T42" s="96"/>
    </row>
    <row r="43" spans="1:20" s="1" customFormat="1" ht="35.1" customHeight="1">
      <c r="A43" s="7">
        <v>1</v>
      </c>
      <c r="B43" s="27" t="s">
        <v>84</v>
      </c>
      <c r="C43" s="28" t="s">
        <v>85</v>
      </c>
      <c r="D43" s="29" t="s">
        <v>86</v>
      </c>
      <c r="E43" s="66">
        <v>45000</v>
      </c>
      <c r="F43" s="66">
        <v>45000</v>
      </c>
      <c r="G43" s="12">
        <f t="shared" ref="G43:G47" si="18">IFERROR((H43-E43)/E43,"No Ratio")</f>
        <v>0</v>
      </c>
      <c r="H43" s="66">
        <v>45000</v>
      </c>
      <c r="I43" s="67">
        <f t="shared" ref="I43:I47" si="19">((F43-E43)+H43)+($H$1*(F43-E43))</f>
        <v>45000</v>
      </c>
      <c r="J43" s="11">
        <f t="shared" ref="J43:K47" si="20">H43-E43</f>
        <v>0</v>
      </c>
      <c r="K43" s="11">
        <f t="shared" si="20"/>
        <v>0</v>
      </c>
      <c r="L43" s="38"/>
      <c r="M43" s="67">
        <v>52500</v>
      </c>
      <c r="N43" s="67">
        <v>0</v>
      </c>
      <c r="O43" s="75" t="str">
        <f>IF(N43=0,"No Bonus",TEXT(N43/E43,"0.00")&amp;" Months")</f>
        <v>No Bonus</v>
      </c>
      <c r="P43" s="11"/>
      <c r="Q43" s="75" t="str">
        <f>IF(N43=0,"No Bonus",TEXT((N43/E43)*100,"0.00")&amp;" %")</f>
        <v>No Bonus</v>
      </c>
      <c r="R43" s="67">
        <f t="shared" si="1"/>
        <v>-52500</v>
      </c>
      <c r="S43" s="99"/>
      <c r="T43" s="59"/>
    </row>
    <row r="44" spans="1:20" s="1" customFormat="1" ht="35.1" customHeight="1">
      <c r="A44" s="13">
        <v>2</v>
      </c>
      <c r="B44" s="30" t="s">
        <v>87</v>
      </c>
      <c r="C44" s="31" t="s">
        <v>88</v>
      </c>
      <c r="D44" s="32" t="s">
        <v>89</v>
      </c>
      <c r="E44" s="60">
        <v>20000</v>
      </c>
      <c r="F44" s="60">
        <v>20000</v>
      </c>
      <c r="G44" s="18">
        <f t="shared" si="18"/>
        <v>0</v>
      </c>
      <c r="H44" s="60">
        <v>20000</v>
      </c>
      <c r="I44" s="61">
        <f t="shared" si="19"/>
        <v>20000</v>
      </c>
      <c r="J44" s="17">
        <f t="shared" si="20"/>
        <v>0</v>
      </c>
      <c r="K44" s="17">
        <f t="shared" si="20"/>
        <v>0</v>
      </c>
      <c r="L44" s="39"/>
      <c r="M44" s="61"/>
      <c r="N44" s="61"/>
      <c r="O44" s="77" t="str">
        <f>IF(N44=0,"No Bonus",TEXT(N44/E44,"0.00")&amp;" Months")</f>
        <v>No Bonus</v>
      </c>
      <c r="P44" s="17"/>
      <c r="Q44" s="77" t="str">
        <f>IF(N44=0,"No Bonus",TEXT((N44/E44)*100,"0.00")&amp;" %")</f>
        <v>No Bonus</v>
      </c>
      <c r="R44" s="61">
        <f t="shared" si="1"/>
        <v>0</v>
      </c>
      <c r="S44" s="93"/>
      <c r="T44" s="43"/>
    </row>
    <row r="45" spans="1:20" s="1" customFormat="1" ht="35.1" customHeight="1">
      <c r="A45" s="13">
        <v>3</v>
      </c>
      <c r="B45" s="30" t="s">
        <v>90</v>
      </c>
      <c r="C45" s="31" t="s">
        <v>88</v>
      </c>
      <c r="D45" s="32" t="s">
        <v>91</v>
      </c>
      <c r="E45" s="60">
        <v>30000</v>
      </c>
      <c r="F45" s="60">
        <v>30000</v>
      </c>
      <c r="G45" s="18">
        <f t="shared" si="18"/>
        <v>0</v>
      </c>
      <c r="H45" s="60">
        <v>30000</v>
      </c>
      <c r="I45" s="61">
        <f t="shared" si="19"/>
        <v>30000</v>
      </c>
      <c r="J45" s="17">
        <f t="shared" si="20"/>
        <v>0</v>
      </c>
      <c r="K45" s="17">
        <f t="shared" si="20"/>
        <v>0</v>
      </c>
      <c r="L45" s="39"/>
      <c r="M45" s="61"/>
      <c r="N45" s="61"/>
      <c r="O45" s="77" t="str">
        <f>IF(N45=0,"No Bonus",TEXT(N45/E45,"0.00")&amp;" Months")</f>
        <v>No Bonus</v>
      </c>
      <c r="P45" s="17"/>
      <c r="Q45" s="77" t="str">
        <f>IF(N45=0,"No Bonus",TEXT((N45/E45)*100,"0.00")&amp;" %")</f>
        <v>No Bonus</v>
      </c>
      <c r="R45" s="61">
        <f t="shared" si="1"/>
        <v>0</v>
      </c>
      <c r="S45" s="93"/>
      <c r="T45" s="43"/>
    </row>
    <row r="46" spans="1:20" s="1" customFormat="1" ht="35.1" customHeight="1">
      <c r="A46" s="13">
        <v>4</v>
      </c>
      <c r="B46" s="30" t="s">
        <v>92</v>
      </c>
      <c r="C46" s="31" t="s">
        <v>88</v>
      </c>
      <c r="D46" s="32" t="s">
        <v>91</v>
      </c>
      <c r="E46" s="60">
        <v>35000</v>
      </c>
      <c r="F46" s="60">
        <v>35000</v>
      </c>
      <c r="G46" s="18">
        <f t="shared" si="18"/>
        <v>0</v>
      </c>
      <c r="H46" s="60">
        <v>35000</v>
      </c>
      <c r="I46" s="61">
        <f t="shared" si="19"/>
        <v>35000</v>
      </c>
      <c r="J46" s="17">
        <f t="shared" si="20"/>
        <v>0</v>
      </c>
      <c r="K46" s="17">
        <f t="shared" si="20"/>
        <v>0</v>
      </c>
      <c r="L46" s="39"/>
      <c r="M46" s="61"/>
      <c r="N46" s="61"/>
      <c r="O46" s="77" t="str">
        <f>IF(N46=0,"No Bonus",TEXT(N46/E46,"0.00")&amp;" Months")</f>
        <v>No Bonus</v>
      </c>
      <c r="P46" s="17"/>
      <c r="Q46" s="77" t="str">
        <f>IF(N46=0,"No Bonus",TEXT((N46/E46)*100,"0.00")&amp;" %")</f>
        <v>No Bonus</v>
      </c>
      <c r="R46" s="61">
        <f t="shared" si="1"/>
        <v>0</v>
      </c>
      <c r="S46" s="93"/>
      <c r="T46" s="43"/>
    </row>
    <row r="47" spans="1:20" s="1" customFormat="1" ht="35.1" customHeight="1">
      <c r="A47" s="13">
        <v>5</v>
      </c>
      <c r="B47" s="30" t="s">
        <v>101</v>
      </c>
      <c r="C47" s="31" t="s">
        <v>93</v>
      </c>
      <c r="D47" s="32" t="s">
        <v>102</v>
      </c>
      <c r="E47" s="17">
        <v>0</v>
      </c>
      <c r="F47" s="17"/>
      <c r="G47" s="69" t="str">
        <f t="shared" si="18"/>
        <v>No Ratio</v>
      </c>
      <c r="H47" s="17">
        <v>25000</v>
      </c>
      <c r="I47" s="61">
        <f t="shared" si="19"/>
        <v>25000</v>
      </c>
      <c r="J47" s="17">
        <f t="shared" si="20"/>
        <v>25000</v>
      </c>
      <c r="K47" s="17">
        <f t="shared" si="20"/>
        <v>25000</v>
      </c>
      <c r="L47" s="39"/>
      <c r="M47" s="61"/>
      <c r="N47" s="61"/>
      <c r="O47" s="77" t="str">
        <f>IF(N47=0,"No Bonus",TEXT(N47/E47,"0.00")&amp;" Months")</f>
        <v>No Bonus</v>
      </c>
      <c r="P47" s="17"/>
      <c r="Q47" s="77" t="str">
        <f>IF(N47=0,"No Bonus",TEXT((N47/E47)*100,"0.00")&amp;" %")</f>
        <v>No Bonus</v>
      </c>
      <c r="R47" s="61">
        <f t="shared" si="1"/>
        <v>0</v>
      </c>
      <c r="S47" s="93"/>
      <c r="T47" s="43"/>
    </row>
    <row r="48" spans="1:20" s="1" customFormat="1" ht="35.1" customHeight="1" thickBot="1">
      <c r="A48" s="162" t="s">
        <v>94</v>
      </c>
      <c r="B48" s="163"/>
      <c r="C48" s="163"/>
      <c r="D48" s="25"/>
      <c r="E48" s="68">
        <f t="shared" ref="E48:I48" si="21">SUM(E43:E47)</f>
        <v>130000</v>
      </c>
      <c r="F48" s="68">
        <f t="shared" si="21"/>
        <v>130000</v>
      </c>
      <c r="G48" s="48">
        <f>IFERROR((H48-E48)/E48,"No Ratio")</f>
        <v>0.19230769230769232</v>
      </c>
      <c r="H48" s="68">
        <f t="shared" si="21"/>
        <v>155000</v>
      </c>
      <c r="I48" s="68">
        <f t="shared" si="21"/>
        <v>155000</v>
      </c>
      <c r="J48" s="26">
        <f t="shared" ref="J48:N48" si="22">SUM(J43:J47)</f>
        <v>25000</v>
      </c>
      <c r="K48" s="26">
        <f t="shared" si="22"/>
        <v>25000</v>
      </c>
      <c r="L48" s="26"/>
      <c r="M48" s="68">
        <f t="shared" si="22"/>
        <v>52500</v>
      </c>
      <c r="N48" s="68">
        <f t="shared" si="22"/>
        <v>0</v>
      </c>
      <c r="O48" s="79" t="str">
        <f>IFERROR(AVERAGE(O43:O47),"No average")</f>
        <v>No average</v>
      </c>
      <c r="P48" s="26"/>
      <c r="Q48" s="79" t="str">
        <f>IFERROR(AVERAGE(Q43:Q47),"No average")</f>
        <v>No average</v>
      </c>
      <c r="R48" s="68">
        <f>SUM(R43:R47)</f>
        <v>-52500</v>
      </c>
      <c r="S48" s="94"/>
      <c r="T48" s="45"/>
    </row>
    <row r="49" spans="1:20" s="1" customFormat="1" ht="35.1" customHeight="1" thickBot="1">
      <c r="A49" s="172" t="s">
        <v>95</v>
      </c>
      <c r="B49" s="173"/>
      <c r="C49" s="173"/>
      <c r="D49" s="33"/>
      <c r="E49" s="71">
        <f>SUM(E48,E42,E21,E6)</f>
        <v>1292119</v>
      </c>
      <c r="F49" s="71">
        <f>SUM(F48,F42,F21,F6)</f>
        <v>1591824</v>
      </c>
      <c r="G49" s="49">
        <f>IFERROR((H49-E49)/E49,"No average")</f>
        <v>0.30970909026181026</v>
      </c>
      <c r="H49" s="71">
        <f>SUM(H48,H42,H21,H6)</f>
        <v>1692300</v>
      </c>
      <c r="I49" s="71">
        <f>SUM(I48,I42,I21,I6)</f>
        <v>2021975.4999999998</v>
      </c>
      <c r="J49" s="71">
        <f>SUM(J48,J42,J21,J6)</f>
        <v>400181</v>
      </c>
      <c r="K49" s="71">
        <f>SUM(K48,K42,K21,K6)</f>
        <v>430151.50000000006</v>
      </c>
      <c r="L49" s="34"/>
      <c r="M49" s="71">
        <f>SUM(M48,M42,M21,M6)</f>
        <v>2979197</v>
      </c>
      <c r="N49" s="71">
        <f>SUM(N48,N42,N21,N6)</f>
        <v>1010034</v>
      </c>
      <c r="O49" s="80"/>
      <c r="P49" s="34"/>
      <c r="Q49" s="80"/>
      <c r="R49" s="71">
        <f>SUM(R48,R42,R21,R6)</f>
        <v>-1969163</v>
      </c>
      <c r="S49" s="103"/>
      <c r="T49" s="46"/>
    </row>
    <row r="50" spans="1:20" ht="35.1" customHeight="1" thickBot="1">
      <c r="A50" s="172" t="s">
        <v>97</v>
      </c>
      <c r="B50" s="173"/>
      <c r="C50" s="173"/>
      <c r="D50" s="33"/>
      <c r="E50" s="71">
        <f>SUM(E42,E21,E6)</f>
        <v>1162119</v>
      </c>
      <c r="F50" s="71">
        <f>SUM(F42,F21,F6)</f>
        <v>1461824</v>
      </c>
      <c r="G50" s="49">
        <f>IFERROR((H50-E50)/E50,"No average")</f>
        <v>0.32284215299810087</v>
      </c>
      <c r="H50" s="71">
        <f>SUM(H42,H21,H6)</f>
        <v>1537300</v>
      </c>
      <c r="I50" s="71">
        <f>SUM(I42,I21,I6)</f>
        <v>1866975.4999999998</v>
      </c>
      <c r="J50" s="71">
        <f>SUM(J42,J21,J6)</f>
        <v>375181</v>
      </c>
      <c r="K50" s="71">
        <f>SUM(K42,K21,K6)</f>
        <v>405151.50000000006</v>
      </c>
      <c r="L50" s="34"/>
      <c r="M50" s="71">
        <f>SUM(M42,M21,M6)</f>
        <v>2926697</v>
      </c>
      <c r="N50" s="71">
        <f>SUM(N42,N21,N6)</f>
        <v>1010034</v>
      </c>
      <c r="O50" s="80"/>
      <c r="P50" s="34"/>
      <c r="Q50" s="80"/>
      <c r="R50" s="71">
        <f>SUM(R42,R21,R6)</f>
        <v>-1916663</v>
      </c>
      <c r="S50" s="103"/>
      <c r="T50" s="46"/>
    </row>
    <row r="52" spans="1:20" ht="35.1" customHeight="1" thickBot="1"/>
    <row r="53" spans="1:20" s="1" customFormat="1" ht="35.1" customHeight="1">
      <c r="A53" s="164" t="s">
        <v>96</v>
      </c>
      <c r="B53" s="165"/>
      <c r="C53" s="83" t="s">
        <v>4</v>
      </c>
      <c r="D53" s="88" t="s">
        <v>7</v>
      </c>
      <c r="E53" s="89" t="s">
        <v>5</v>
      </c>
      <c r="F53" s="88" t="s">
        <v>8</v>
      </c>
      <c r="G53" s="89" t="s">
        <v>11</v>
      </c>
      <c r="H53"/>
      <c r="I53"/>
      <c r="J53"/>
      <c r="K53"/>
      <c r="L53"/>
      <c r="M53"/>
      <c r="N53"/>
      <c r="O53" s="81"/>
      <c r="P53"/>
      <c r="Q53" s="81"/>
      <c r="R53"/>
      <c r="S53"/>
      <c r="T53"/>
    </row>
    <row r="54" spans="1:20" s="1" customFormat="1" ht="35.1" customHeight="1">
      <c r="A54" s="166"/>
      <c r="B54" s="167"/>
      <c r="C54" s="87">
        <f>E49</f>
        <v>1292119</v>
      </c>
      <c r="D54" s="86">
        <f>H49</f>
        <v>1692300</v>
      </c>
      <c r="E54" s="87">
        <f>F49</f>
        <v>1591824</v>
      </c>
      <c r="F54" s="86">
        <f>I49</f>
        <v>2021975.4999999998</v>
      </c>
      <c r="G54" s="35"/>
      <c r="H54"/>
      <c r="I54"/>
      <c r="J54"/>
      <c r="K54"/>
      <c r="L54"/>
      <c r="M54"/>
      <c r="N54"/>
      <c r="O54" s="81"/>
      <c r="P54"/>
      <c r="Q54" s="81"/>
      <c r="R54"/>
      <c r="S54"/>
      <c r="T54"/>
    </row>
    <row r="55" spans="1:20" ht="35.1" customHeight="1" thickBot="1">
      <c r="A55" s="168"/>
      <c r="B55" s="169"/>
      <c r="C55" s="174">
        <f t="shared" ref="C55:E55" si="23">IFERROR(((D54-C54)/C54),0)</f>
        <v>0.30970909026181026</v>
      </c>
      <c r="D55" s="171"/>
      <c r="E55" s="174">
        <f t="shared" si="23"/>
        <v>0.27022554000944815</v>
      </c>
      <c r="F55" s="171"/>
      <c r="G55" s="50">
        <f>IFERROR(((#REF!-G54)/G54),0)</f>
        <v>0</v>
      </c>
    </row>
    <row r="56" spans="1:20" ht="35.1" customHeight="1" thickBot="1"/>
    <row r="57" spans="1:20" ht="35.1" customHeight="1">
      <c r="A57" s="164" t="s">
        <v>98</v>
      </c>
      <c r="B57" s="165"/>
      <c r="C57" s="83" t="s">
        <v>4</v>
      </c>
      <c r="D57" s="88" t="s">
        <v>7</v>
      </c>
      <c r="E57" s="89" t="s">
        <v>5</v>
      </c>
      <c r="F57" s="88" t="s">
        <v>8</v>
      </c>
      <c r="G57" s="89" t="s">
        <v>11</v>
      </c>
    </row>
    <row r="58" spans="1:20" ht="35.1" customHeight="1">
      <c r="A58" s="166"/>
      <c r="B58" s="167"/>
      <c r="C58" s="87">
        <f>E50</f>
        <v>1162119</v>
      </c>
      <c r="D58" s="86">
        <f>H50</f>
        <v>1537300</v>
      </c>
      <c r="E58" s="87">
        <f>F50</f>
        <v>1461824</v>
      </c>
      <c r="F58" s="86">
        <f>I50</f>
        <v>1866975.4999999998</v>
      </c>
      <c r="G58" s="35"/>
    </row>
    <row r="59" spans="1:20" ht="35.1" customHeight="1" thickBot="1">
      <c r="A59" s="168"/>
      <c r="B59" s="169"/>
      <c r="C59" s="170">
        <f t="shared" ref="C59" si="24">IFERROR(((D58-C58)/C58),0)</f>
        <v>0.32284215299810087</v>
      </c>
      <c r="D59" s="171"/>
      <c r="E59" s="170">
        <f t="shared" ref="E59" si="25">IFERROR(((F58-E58)/E58),0)</f>
        <v>0.2771547737620943</v>
      </c>
      <c r="F59" s="171"/>
      <c r="G59" s="51">
        <f>IFERROR(((#REF!-G58)/G58),0)</f>
        <v>0</v>
      </c>
    </row>
  </sheetData>
  <mergeCells count="12">
    <mergeCell ref="E59:F59"/>
    <mergeCell ref="A48:C48"/>
    <mergeCell ref="A49:C49"/>
    <mergeCell ref="C55:D55"/>
    <mergeCell ref="E55:F55"/>
    <mergeCell ref="A53:B55"/>
    <mergeCell ref="A50:C50"/>
    <mergeCell ref="A6:D6"/>
    <mergeCell ref="A21:C21"/>
    <mergeCell ref="A42:C42"/>
    <mergeCell ref="A57:B59"/>
    <mergeCell ref="C59:D59"/>
  </mergeCells>
  <pageMargins left="0.7" right="0.7" top="0.75" bottom="0.75" header="0.3" footer="0.3"/>
  <pageSetup paperSize="9" scale="50" fitToHeight="0" orientation="landscape" horizontalDpi="4294967293" r:id="rId1"/>
  <ignoredErrors>
    <ignoredError sqref="H2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F444-814F-40EC-AB5A-129330C97DD8}">
  <sheetPr>
    <pageSetUpPr fitToPage="1"/>
  </sheetPr>
  <dimension ref="A1:Y59"/>
  <sheetViews>
    <sheetView tabSelected="1" zoomScale="82" zoomScaleNormal="82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7" sqref="B47"/>
    </sheetView>
  </sheetViews>
  <sheetFormatPr defaultColWidth="9" defaultRowHeight="35.1" customHeight="1"/>
  <cols>
    <col min="1" max="1" width="8" customWidth="1"/>
    <col min="2" max="2" width="42.5546875" customWidth="1"/>
    <col min="3" max="3" width="26.88671875" customWidth="1"/>
    <col min="4" max="4" width="29.44140625" hidden="1" customWidth="1"/>
    <col min="5" max="5" width="24.33203125" customWidth="1"/>
    <col min="6" max="6" width="35" customWidth="1"/>
    <col min="7" max="7" width="17.33203125" style="107" customWidth="1"/>
    <col min="8" max="11" width="20.6640625" customWidth="1"/>
    <col min="12" max="12" width="4.44140625" customWidth="1"/>
    <col min="13" max="13" width="20.6640625" customWidth="1"/>
    <col min="14" max="14" width="22.88671875" customWidth="1"/>
    <col min="15" max="15" width="20.6640625" style="81" customWidth="1"/>
    <col min="16" max="16" width="20.6640625" customWidth="1"/>
    <col min="17" max="17" width="20.6640625" style="81" customWidth="1"/>
    <col min="18" max="18" width="20.6640625" customWidth="1"/>
    <col min="19" max="19" width="20.6640625" hidden="1" customWidth="1"/>
    <col min="20" max="20" width="20.6640625" style="81" hidden="1" customWidth="1"/>
    <col min="21" max="24" width="20.6640625" style="81" customWidth="1"/>
    <col min="25" max="25" width="50.88671875" style="81" customWidth="1"/>
  </cols>
  <sheetData>
    <row r="1" spans="1:25" s="1" customFormat="1" ht="36.75" customHeight="1" thickBot="1">
      <c r="A1" s="2"/>
      <c r="C1" s="2"/>
      <c r="G1" s="3" t="s">
        <v>99</v>
      </c>
      <c r="H1" s="52">
        <v>0.1</v>
      </c>
      <c r="L1" s="36"/>
      <c r="T1" s="74"/>
      <c r="U1" s="74"/>
      <c r="V1" s="74"/>
      <c r="W1" s="74"/>
      <c r="X1" s="74"/>
      <c r="Y1" s="74"/>
    </row>
    <row r="2" spans="1:25" s="1" customFormat="1" ht="126.3" customHeight="1" thickBot="1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119</v>
      </c>
      <c r="H2" s="5" t="s">
        <v>7</v>
      </c>
      <c r="I2" s="5" t="s">
        <v>8</v>
      </c>
      <c r="J2" s="6" t="s">
        <v>9</v>
      </c>
      <c r="K2" s="6" t="s">
        <v>10</v>
      </c>
      <c r="L2" s="37"/>
      <c r="M2" s="6" t="s">
        <v>11</v>
      </c>
      <c r="N2" s="5" t="s">
        <v>107</v>
      </c>
      <c r="O2" s="6" t="s">
        <v>111</v>
      </c>
      <c r="P2" s="6" t="s">
        <v>112</v>
      </c>
      <c r="Q2" s="129" t="s">
        <v>113</v>
      </c>
      <c r="R2" s="130" t="s">
        <v>114</v>
      </c>
      <c r="S2" s="129" t="s">
        <v>115</v>
      </c>
      <c r="T2" s="129" t="s">
        <v>116</v>
      </c>
      <c r="U2" s="130" t="s">
        <v>117</v>
      </c>
      <c r="V2" s="131" t="s">
        <v>12</v>
      </c>
      <c r="W2" s="131" t="s">
        <v>14</v>
      </c>
      <c r="X2" s="132" t="s">
        <v>118</v>
      </c>
      <c r="Y2" s="148" t="s">
        <v>16</v>
      </c>
    </row>
    <row r="3" spans="1:25" s="1" customFormat="1" ht="35.1" customHeight="1">
      <c r="A3" s="7">
        <v>1</v>
      </c>
      <c r="B3" s="8" t="s">
        <v>138</v>
      </c>
      <c r="C3" s="9" t="s">
        <v>18</v>
      </c>
      <c r="D3" s="10" t="s">
        <v>19</v>
      </c>
      <c r="E3" s="11"/>
      <c r="F3" s="11"/>
      <c r="G3" s="73" t="str">
        <f>IFERROR((H3-E3)/E3,"No Ratio")</f>
        <v>No Ratio</v>
      </c>
      <c r="H3" s="11">
        <v>0</v>
      </c>
      <c r="I3" s="11">
        <f>((F3-E3)+H3)+($H$1*(F3-E3))</f>
        <v>0</v>
      </c>
      <c r="J3" s="11">
        <f t="shared" ref="J3:K5" si="0">H3-E3</f>
        <v>0</v>
      </c>
      <c r="K3" s="11">
        <f t="shared" si="0"/>
        <v>0</v>
      </c>
      <c r="L3" s="38"/>
      <c r="M3" s="11">
        <v>0</v>
      </c>
      <c r="N3" s="11">
        <v>0</v>
      </c>
      <c r="O3" s="11" t="str">
        <f>IF(N3=0,"No Bonus",TEXT(N3/E3,"0.00")&amp;" Months")</f>
        <v>No Bonus</v>
      </c>
      <c r="P3" s="11" t="str">
        <f>IF(N3=0,"No Bonus",TEXT((N3/E3)*100,"0.00")&amp;" %")</f>
        <v>No Bonus</v>
      </c>
      <c r="Q3" s="17">
        <f>N3-M3</f>
        <v>0</v>
      </c>
      <c r="R3" s="61">
        <v>0</v>
      </c>
      <c r="S3" s="17" t="str">
        <f>IF(R3=0,"No Bonus",TEXT(R3/E3,"0.00")&amp;" Months")</f>
        <v>No Bonus</v>
      </c>
      <c r="T3" s="77" t="str">
        <f>IF(R3=0,"No Bonus",TEXT((R3/E3)*100,"0.00")&amp;" %")</f>
        <v>No Bonus</v>
      </c>
      <c r="U3" s="139">
        <f>N3+R3</f>
        <v>0</v>
      </c>
      <c r="V3" s="126" t="str">
        <f>IF(U3=0,"No Bonus",TEXT(U3/E3,"0.00")&amp;" Months")</f>
        <v>No Bonus</v>
      </c>
      <c r="W3" s="126" t="str">
        <f>IF(U3=0,"No Bonus",TEXT((U3/E3)*100,"0.00")&amp;" %")</f>
        <v>No Bonus</v>
      </c>
      <c r="X3" s="140">
        <f>(N3+R3)-M3</f>
        <v>0</v>
      </c>
      <c r="Y3" s="77"/>
    </row>
    <row r="4" spans="1:25" s="1" customFormat="1" ht="35.1" customHeight="1">
      <c r="A4" s="53">
        <v>2</v>
      </c>
      <c r="B4" s="20" t="s">
        <v>137</v>
      </c>
      <c r="C4" s="54" t="s">
        <v>21</v>
      </c>
      <c r="D4" s="55">
        <v>39630</v>
      </c>
      <c r="E4" s="60">
        <v>360000</v>
      </c>
      <c r="F4" s="60">
        <v>462772</v>
      </c>
      <c r="G4" s="105">
        <f>IFERROR((H4-E4)/E4,"No Ratio")</f>
        <v>0.3888888888888889</v>
      </c>
      <c r="H4" s="60">
        <v>500000</v>
      </c>
      <c r="I4" s="72">
        <f>((F4-E4)+H4)+($H$1*(F4-E4))</f>
        <v>613049.19999999995</v>
      </c>
      <c r="J4" s="72">
        <f t="shared" si="0"/>
        <v>140000</v>
      </c>
      <c r="K4" s="72">
        <f t="shared" si="0"/>
        <v>150277.19999999995</v>
      </c>
      <c r="L4" s="58"/>
      <c r="M4" s="72">
        <v>1600000</v>
      </c>
      <c r="N4" s="72">
        <v>360000</v>
      </c>
      <c r="O4" s="56" t="str">
        <f t="shared" ref="O4:O5" si="1">IF(N4=0,"No Bonus",TEXT(N4/E4,"0.00")&amp;" Months")</f>
        <v>1.00 Months</v>
      </c>
      <c r="P4" s="56" t="str">
        <f>IF(N4=0,"No Bonus",TEXT((N4/E4)*100,"0.00")&amp;" %")</f>
        <v>100.00 %</v>
      </c>
      <c r="Q4" s="61">
        <f>N4-M4</f>
        <v>-1240000</v>
      </c>
      <c r="R4" s="61">
        <v>1440000</v>
      </c>
      <c r="S4" s="17" t="str">
        <f t="shared" ref="S4:S5" si="2">IF(R4=0,"No Bonus",TEXT(R4/E4,"0.00")&amp;" Months")</f>
        <v>4.00 Months</v>
      </c>
      <c r="T4" s="77" t="str">
        <f t="shared" ref="T4:T5" si="3">IF(R4=0,"No Bonus",TEXT((R4/E4)*100,"0.00")&amp;" %")</f>
        <v>400.00 %</v>
      </c>
      <c r="U4" s="139">
        <f t="shared" ref="U4:U5" si="4">N4+R4</f>
        <v>1800000</v>
      </c>
      <c r="V4" s="126" t="str">
        <f t="shared" ref="V4:V5" si="5">IF(U4=0,"No Bonus",TEXT(U4/E4,"0.00")&amp;" Months")</f>
        <v>5.00 Months</v>
      </c>
      <c r="W4" s="126" t="str">
        <f t="shared" ref="W4:W5" si="6">IF(U4=0,"No Bonus",TEXT((U4/E4)*100,"0.00")&amp;" %")</f>
        <v>500.00 %</v>
      </c>
      <c r="X4" s="140">
        <f>(N4+R4)-M4</f>
        <v>200000</v>
      </c>
      <c r="Y4" s="77"/>
    </row>
    <row r="5" spans="1:25" s="1" customFormat="1" ht="35.1" customHeight="1">
      <c r="A5" s="13">
        <v>3</v>
      </c>
      <c r="B5" s="14" t="s">
        <v>136</v>
      </c>
      <c r="C5" s="15" t="s">
        <v>100</v>
      </c>
      <c r="D5" s="16">
        <v>41609</v>
      </c>
      <c r="E5" s="62">
        <v>80000</v>
      </c>
      <c r="F5" s="62">
        <v>98239</v>
      </c>
      <c r="G5" s="69">
        <f>IFERROR((H5-E5)/E5,"No Ratio")</f>
        <v>0.5</v>
      </c>
      <c r="H5" s="62">
        <v>120000</v>
      </c>
      <c r="I5" s="61">
        <f>((F5-E5)+H5)+($H$1*(F5-E5))</f>
        <v>140062.9</v>
      </c>
      <c r="J5" s="61">
        <f t="shared" si="0"/>
        <v>40000</v>
      </c>
      <c r="K5" s="61">
        <f t="shared" si="0"/>
        <v>41823.899999999994</v>
      </c>
      <c r="L5" s="39"/>
      <c r="M5" s="61">
        <v>200000</v>
      </c>
      <c r="N5" s="61">
        <v>80000</v>
      </c>
      <c r="O5" s="17" t="str">
        <f t="shared" si="1"/>
        <v>1.00 Months</v>
      </c>
      <c r="P5" s="17" t="str">
        <f>IF(N5=0,"No Bonus",TEXT((N5/E5)*100,"0.00")&amp;" %")</f>
        <v>100.00 %</v>
      </c>
      <c r="Q5" s="61">
        <f>N5-M5</f>
        <v>-120000</v>
      </c>
      <c r="R5" s="61">
        <v>200000</v>
      </c>
      <c r="S5" s="17" t="str">
        <f t="shared" si="2"/>
        <v>2.50 Months</v>
      </c>
      <c r="T5" s="77" t="str">
        <f t="shared" si="3"/>
        <v>250.00 %</v>
      </c>
      <c r="U5" s="139">
        <f t="shared" si="4"/>
        <v>280000</v>
      </c>
      <c r="V5" s="126" t="str">
        <f t="shared" si="5"/>
        <v>3.50 Months</v>
      </c>
      <c r="W5" s="126" t="str">
        <f t="shared" si="6"/>
        <v>350.00 %</v>
      </c>
      <c r="X5" s="140">
        <f>(N5+R5)-M5</f>
        <v>80000</v>
      </c>
      <c r="Y5" s="77"/>
    </row>
    <row r="6" spans="1:25" s="1" customFormat="1" ht="35.1" customHeight="1" thickBot="1">
      <c r="A6" s="160" t="s">
        <v>22</v>
      </c>
      <c r="B6" s="161"/>
      <c r="C6" s="161"/>
      <c r="D6" s="161"/>
      <c r="E6" s="63">
        <f t="shared" ref="E6:I6" si="7">SUM(E3:E5)</f>
        <v>440000</v>
      </c>
      <c r="F6" s="63">
        <f t="shared" si="7"/>
        <v>561011</v>
      </c>
      <c r="G6" s="47">
        <f>IFERROR((H6-E6)/E6,"No Ratio")</f>
        <v>0.40909090909090912</v>
      </c>
      <c r="H6" s="63">
        <f t="shared" si="7"/>
        <v>620000</v>
      </c>
      <c r="I6" s="63">
        <f t="shared" si="7"/>
        <v>753112.1</v>
      </c>
      <c r="J6" s="63">
        <f t="shared" ref="J6:N6" si="8">SUM(J3:J5)</f>
        <v>180000</v>
      </c>
      <c r="K6" s="63">
        <f t="shared" si="8"/>
        <v>192101.09999999995</v>
      </c>
      <c r="L6" s="82"/>
      <c r="M6" s="63">
        <f t="shared" si="8"/>
        <v>1800000</v>
      </c>
      <c r="N6" s="63">
        <f t="shared" si="8"/>
        <v>440000</v>
      </c>
      <c r="O6" s="104"/>
      <c r="P6" s="104"/>
      <c r="Q6" s="141">
        <f>SUM(Q3:Q5)</f>
        <v>-1360000</v>
      </c>
      <c r="R6" s="141">
        <f>SUM(R3:R5)</f>
        <v>1640000</v>
      </c>
      <c r="S6" s="142"/>
      <c r="T6" s="143"/>
      <c r="U6" s="144">
        <f>SUM(U3:U5)</f>
        <v>2080000</v>
      </c>
      <c r="V6" s="145"/>
      <c r="W6" s="145"/>
      <c r="X6" s="140">
        <f>SUM(X3:X5)</f>
        <v>280000</v>
      </c>
      <c r="Y6" s="109"/>
    </row>
    <row r="7" spans="1:25" s="1" customFormat="1" ht="35.1" customHeight="1" thickBot="1">
      <c r="A7" s="7">
        <v>1</v>
      </c>
      <c r="B7" s="19" t="s">
        <v>148</v>
      </c>
      <c r="C7" s="9" t="s">
        <v>24</v>
      </c>
      <c r="D7" s="10">
        <v>40199</v>
      </c>
      <c r="E7" s="64">
        <v>30000</v>
      </c>
      <c r="F7" s="66">
        <v>35307</v>
      </c>
      <c r="G7" s="73">
        <f t="shared" ref="G7:G20" si="9">IFERROR((H7-E7)/E7,"No Ratio")</f>
        <v>0.15</v>
      </c>
      <c r="H7" s="67">
        <v>34500</v>
      </c>
      <c r="I7" s="67">
        <f t="shared" ref="I7:I20" si="10">((F7-E7)+H7)+($H$1*(F7-E7))</f>
        <v>40337.699999999997</v>
      </c>
      <c r="J7" s="67">
        <f t="shared" ref="J7:K20" si="11">H7-E7</f>
        <v>4500</v>
      </c>
      <c r="K7" s="67">
        <f t="shared" si="11"/>
        <v>5030.6999999999971</v>
      </c>
      <c r="L7" s="38"/>
      <c r="M7" s="67">
        <v>40000</v>
      </c>
      <c r="N7" s="67">
        <v>30000</v>
      </c>
      <c r="O7" s="11" t="str">
        <f t="shared" ref="O7:O20" si="12">IF(N7=0,"No Bonus",TEXT(N7/E7,"0.00")&amp;" Months")</f>
        <v>1.00 Months</v>
      </c>
      <c r="P7" s="11" t="str">
        <f t="shared" ref="P7:P20" si="13">IF(N7=0,"No Bonus",TEXT((N7/E7)*100,"0.00")&amp;" %")</f>
        <v>100.00 %</v>
      </c>
      <c r="Q7" s="61">
        <f t="shared" ref="Q7:Q20" si="14">N7-M7</f>
        <v>-10000</v>
      </c>
      <c r="R7" s="61">
        <v>15000</v>
      </c>
      <c r="S7" s="17" t="str">
        <f t="shared" ref="S7:S20" si="15">IF(R7=0,"No Bonus",TEXT(R7/E7,"0.00")&amp;" Months")</f>
        <v>0.50 Months</v>
      </c>
      <c r="T7" s="77" t="str">
        <f t="shared" ref="T7:T20" si="16">IF(R7=0,"No Bonus",TEXT((R7/E7)*100,"0.00")&amp;" %")</f>
        <v>50.00 %</v>
      </c>
      <c r="U7" s="139">
        <f t="shared" ref="U7:U20" si="17">N7+R7</f>
        <v>45000</v>
      </c>
      <c r="V7" s="126" t="str">
        <f t="shared" ref="V7:V20" si="18">IF(U7=0,"No Bonus",TEXT(U7/E7,"0.00")&amp;" Months")</f>
        <v>1.50 Months</v>
      </c>
      <c r="W7" s="126" t="str">
        <f t="shared" ref="W7:W20" si="19">IF(U7=0,"No Bonus",TEXT((U7/E7)*100,"0.00")&amp;" %")</f>
        <v>150.00 %</v>
      </c>
      <c r="X7" s="140">
        <f t="shared" ref="X7:X20" si="20">(N7+R7)-M7</f>
        <v>5000</v>
      </c>
      <c r="Y7" s="91"/>
    </row>
    <row r="8" spans="1:25" s="1" customFormat="1" ht="35.1" customHeight="1">
      <c r="A8" s="13">
        <v>2</v>
      </c>
      <c r="B8" s="20" t="s">
        <v>147</v>
      </c>
      <c r="C8" s="15" t="s">
        <v>26</v>
      </c>
      <c r="D8" s="16">
        <v>40211</v>
      </c>
      <c r="E8" s="65">
        <v>30000</v>
      </c>
      <c r="F8" s="60">
        <v>35187</v>
      </c>
      <c r="G8" s="69">
        <f t="shared" si="9"/>
        <v>0.15</v>
      </c>
      <c r="H8" s="67">
        <v>34500</v>
      </c>
      <c r="I8" s="61">
        <f t="shared" si="10"/>
        <v>40205.699999999997</v>
      </c>
      <c r="J8" s="61">
        <f t="shared" si="11"/>
        <v>4500</v>
      </c>
      <c r="K8" s="61">
        <f t="shared" si="11"/>
        <v>5018.6999999999971</v>
      </c>
      <c r="L8" s="39"/>
      <c r="M8" s="61">
        <v>50000</v>
      </c>
      <c r="N8" s="61">
        <v>30000</v>
      </c>
      <c r="O8" s="17" t="str">
        <f t="shared" si="12"/>
        <v>1.00 Months</v>
      </c>
      <c r="P8" s="17" t="str">
        <f t="shared" si="13"/>
        <v>100.00 %</v>
      </c>
      <c r="Q8" s="61">
        <f t="shared" si="14"/>
        <v>-20000</v>
      </c>
      <c r="R8" s="61">
        <v>30000</v>
      </c>
      <c r="S8" s="17" t="str">
        <f t="shared" si="15"/>
        <v>1.00 Months</v>
      </c>
      <c r="T8" s="77" t="str">
        <f t="shared" si="16"/>
        <v>100.00 %</v>
      </c>
      <c r="U8" s="139">
        <f t="shared" si="17"/>
        <v>60000</v>
      </c>
      <c r="V8" s="126" t="str">
        <f t="shared" si="18"/>
        <v>2.00 Months</v>
      </c>
      <c r="W8" s="126" t="str">
        <f t="shared" si="19"/>
        <v>200.00 %</v>
      </c>
      <c r="X8" s="140">
        <f t="shared" si="20"/>
        <v>10000</v>
      </c>
      <c r="Y8" s="90"/>
    </row>
    <row r="9" spans="1:25" s="1" customFormat="1" ht="35.1" customHeight="1">
      <c r="A9" s="13">
        <v>3</v>
      </c>
      <c r="B9" s="20" t="s">
        <v>149</v>
      </c>
      <c r="C9" s="15" t="s">
        <v>28</v>
      </c>
      <c r="D9" s="16">
        <v>41420</v>
      </c>
      <c r="E9" s="65">
        <v>36000</v>
      </c>
      <c r="F9" s="60">
        <v>41816</v>
      </c>
      <c r="G9" s="69">
        <f t="shared" si="9"/>
        <v>0.91666666666666663</v>
      </c>
      <c r="H9" s="61">
        <v>69000</v>
      </c>
      <c r="I9" s="61">
        <f t="shared" si="10"/>
        <v>75397.600000000006</v>
      </c>
      <c r="J9" s="61">
        <f t="shared" si="11"/>
        <v>33000</v>
      </c>
      <c r="K9" s="61">
        <f t="shared" si="11"/>
        <v>33581.600000000006</v>
      </c>
      <c r="L9" s="39"/>
      <c r="M9" s="61">
        <v>30000</v>
      </c>
      <c r="N9" s="84">
        <v>36000</v>
      </c>
      <c r="O9" s="17" t="str">
        <f t="shared" si="12"/>
        <v>1.00 Months</v>
      </c>
      <c r="P9" s="17" t="str">
        <f t="shared" si="13"/>
        <v>100.00 %</v>
      </c>
      <c r="Q9" s="61">
        <f t="shared" si="14"/>
        <v>6000</v>
      </c>
      <c r="R9" s="84">
        <v>0</v>
      </c>
      <c r="S9" s="17" t="str">
        <f t="shared" si="15"/>
        <v>No Bonus</v>
      </c>
      <c r="T9" s="77" t="str">
        <f t="shared" si="16"/>
        <v>No Bonus</v>
      </c>
      <c r="U9" s="139">
        <f t="shared" si="17"/>
        <v>36000</v>
      </c>
      <c r="V9" s="126" t="str">
        <f t="shared" si="18"/>
        <v>1.00 Months</v>
      </c>
      <c r="W9" s="126" t="str">
        <f t="shared" si="19"/>
        <v>100.00 %</v>
      </c>
      <c r="X9" s="140">
        <f t="shared" si="20"/>
        <v>6000</v>
      </c>
      <c r="Y9" s="90" t="s">
        <v>103</v>
      </c>
    </row>
    <row r="10" spans="1:25" s="1" customFormat="1" ht="35.1" customHeight="1">
      <c r="A10" s="13">
        <v>4</v>
      </c>
      <c r="B10" s="20" t="s">
        <v>151</v>
      </c>
      <c r="C10" s="15" t="s">
        <v>28</v>
      </c>
      <c r="D10" s="16">
        <v>41854</v>
      </c>
      <c r="E10" s="65">
        <v>40000</v>
      </c>
      <c r="F10" s="60">
        <v>47060</v>
      </c>
      <c r="G10" s="69">
        <f t="shared" si="9"/>
        <v>0.375</v>
      </c>
      <c r="H10" s="61">
        <v>55000</v>
      </c>
      <c r="I10" s="61">
        <f t="shared" si="10"/>
        <v>62766</v>
      </c>
      <c r="J10" s="61">
        <f t="shared" si="11"/>
        <v>15000</v>
      </c>
      <c r="K10" s="61">
        <f t="shared" si="11"/>
        <v>15706</v>
      </c>
      <c r="L10" s="39"/>
      <c r="M10" s="61">
        <v>75000</v>
      </c>
      <c r="N10" s="61">
        <v>40000</v>
      </c>
      <c r="O10" s="17" t="str">
        <f t="shared" si="12"/>
        <v>1.00 Months</v>
      </c>
      <c r="P10" s="17" t="str">
        <f t="shared" si="13"/>
        <v>100.00 %</v>
      </c>
      <c r="Q10" s="61">
        <f t="shared" si="14"/>
        <v>-35000</v>
      </c>
      <c r="R10" s="61">
        <v>65000</v>
      </c>
      <c r="S10" s="17" t="str">
        <f t="shared" si="15"/>
        <v>1.63 Months</v>
      </c>
      <c r="T10" s="77" t="str">
        <f t="shared" si="16"/>
        <v>162.50 %</v>
      </c>
      <c r="U10" s="139">
        <f t="shared" si="17"/>
        <v>105000</v>
      </c>
      <c r="V10" s="126" t="str">
        <f t="shared" si="18"/>
        <v>2.63 Months</v>
      </c>
      <c r="W10" s="126" t="str">
        <f t="shared" si="19"/>
        <v>262.50 %</v>
      </c>
      <c r="X10" s="140">
        <f t="shared" si="20"/>
        <v>30000</v>
      </c>
      <c r="Y10" s="43"/>
    </row>
    <row r="11" spans="1:25" s="1" customFormat="1" ht="35.1" customHeight="1">
      <c r="A11" s="13">
        <v>5</v>
      </c>
      <c r="B11" s="20" t="s">
        <v>150</v>
      </c>
      <c r="C11" s="15" t="s">
        <v>24</v>
      </c>
      <c r="D11" s="16">
        <v>42043</v>
      </c>
      <c r="E11" s="65">
        <v>40250</v>
      </c>
      <c r="F11" s="60">
        <v>47601</v>
      </c>
      <c r="G11" s="69">
        <f t="shared" si="9"/>
        <v>0.15031055900621118</v>
      </c>
      <c r="H11" s="61">
        <v>46300</v>
      </c>
      <c r="I11" s="61">
        <f t="shared" si="10"/>
        <v>54386.1</v>
      </c>
      <c r="J11" s="61">
        <f t="shared" si="11"/>
        <v>6050</v>
      </c>
      <c r="K11" s="61">
        <f t="shared" si="11"/>
        <v>6785.0999999999985</v>
      </c>
      <c r="L11" s="39"/>
      <c r="M11" s="61">
        <v>50000</v>
      </c>
      <c r="N11" s="61">
        <v>40250</v>
      </c>
      <c r="O11" s="17" t="str">
        <f t="shared" si="12"/>
        <v>1.00 Months</v>
      </c>
      <c r="P11" s="17" t="str">
        <f t="shared" si="13"/>
        <v>100.00 %</v>
      </c>
      <c r="Q11" s="61">
        <f t="shared" si="14"/>
        <v>-9750</v>
      </c>
      <c r="R11" s="61">
        <v>20125</v>
      </c>
      <c r="S11" s="17" t="str">
        <f t="shared" si="15"/>
        <v>0.50 Months</v>
      </c>
      <c r="T11" s="77" t="str">
        <f t="shared" si="16"/>
        <v>50.00 %</v>
      </c>
      <c r="U11" s="139">
        <f t="shared" si="17"/>
        <v>60375</v>
      </c>
      <c r="V11" s="126" t="str">
        <f t="shared" si="18"/>
        <v>1.50 Months</v>
      </c>
      <c r="W11" s="126" t="str">
        <f t="shared" si="19"/>
        <v>150.00 %</v>
      </c>
      <c r="X11" s="140">
        <f t="shared" si="20"/>
        <v>10375</v>
      </c>
      <c r="Y11" s="43"/>
    </row>
    <row r="12" spans="1:25" s="1" customFormat="1" ht="35.1" customHeight="1">
      <c r="A12" s="13">
        <v>6</v>
      </c>
      <c r="B12" s="20" t="s">
        <v>152</v>
      </c>
      <c r="C12" s="15" t="s">
        <v>33</v>
      </c>
      <c r="D12" s="16">
        <v>42644</v>
      </c>
      <c r="E12" s="65">
        <v>12600</v>
      </c>
      <c r="F12" s="60">
        <v>14360</v>
      </c>
      <c r="G12" s="69">
        <f t="shared" si="9"/>
        <v>0.15079365079365079</v>
      </c>
      <c r="H12" s="61">
        <v>14500</v>
      </c>
      <c r="I12" s="61">
        <f t="shared" si="10"/>
        <v>16436</v>
      </c>
      <c r="J12" s="61">
        <f t="shared" si="11"/>
        <v>1900</v>
      </c>
      <c r="K12" s="61">
        <f t="shared" si="11"/>
        <v>2076</v>
      </c>
      <c r="L12" s="39"/>
      <c r="M12" s="61">
        <v>11000</v>
      </c>
      <c r="N12" s="61">
        <v>12600</v>
      </c>
      <c r="O12" s="17" t="str">
        <f t="shared" si="12"/>
        <v>1.00 Months</v>
      </c>
      <c r="P12" s="17" t="str">
        <f t="shared" si="13"/>
        <v>100.00 %</v>
      </c>
      <c r="Q12" s="61">
        <f t="shared" si="14"/>
        <v>1600</v>
      </c>
      <c r="R12" s="61">
        <v>6300</v>
      </c>
      <c r="S12" s="17" t="str">
        <f t="shared" si="15"/>
        <v>0.50 Months</v>
      </c>
      <c r="T12" s="77" t="str">
        <f t="shared" si="16"/>
        <v>50.00 %</v>
      </c>
      <c r="U12" s="139">
        <f t="shared" si="17"/>
        <v>18900</v>
      </c>
      <c r="V12" s="126" t="str">
        <f t="shared" si="18"/>
        <v>1.50 Months</v>
      </c>
      <c r="W12" s="126" t="str">
        <f t="shared" si="19"/>
        <v>150.00 %</v>
      </c>
      <c r="X12" s="140">
        <f t="shared" si="20"/>
        <v>7900</v>
      </c>
      <c r="Y12" s="43"/>
    </row>
    <row r="13" spans="1:25" s="1" customFormat="1" ht="35.1" customHeight="1">
      <c r="A13" s="13">
        <v>7</v>
      </c>
      <c r="B13" s="20" t="s">
        <v>141</v>
      </c>
      <c r="C13" s="15" t="s">
        <v>35</v>
      </c>
      <c r="D13" s="16">
        <v>43345</v>
      </c>
      <c r="E13" s="65">
        <v>35000</v>
      </c>
      <c r="F13" s="60">
        <v>44000</v>
      </c>
      <c r="G13" s="69">
        <f t="shared" si="9"/>
        <v>0.15</v>
      </c>
      <c r="H13" s="61">
        <v>40250</v>
      </c>
      <c r="I13" s="61">
        <f t="shared" si="10"/>
        <v>50150</v>
      </c>
      <c r="J13" s="61">
        <f t="shared" si="11"/>
        <v>5250</v>
      </c>
      <c r="K13" s="61">
        <f t="shared" si="11"/>
        <v>6150</v>
      </c>
      <c r="L13" s="39"/>
      <c r="M13" s="61">
        <v>50000</v>
      </c>
      <c r="N13" s="61">
        <v>35000</v>
      </c>
      <c r="O13" s="17" t="str">
        <f t="shared" si="12"/>
        <v>1.00 Months</v>
      </c>
      <c r="P13" s="17" t="str">
        <f t="shared" si="13"/>
        <v>100.00 %</v>
      </c>
      <c r="Q13" s="61">
        <f t="shared" si="14"/>
        <v>-15000</v>
      </c>
      <c r="R13" s="61">
        <v>17500</v>
      </c>
      <c r="S13" s="17" t="str">
        <f t="shared" si="15"/>
        <v>0.50 Months</v>
      </c>
      <c r="T13" s="77" t="str">
        <f t="shared" si="16"/>
        <v>50.00 %</v>
      </c>
      <c r="U13" s="139">
        <f t="shared" si="17"/>
        <v>52500</v>
      </c>
      <c r="V13" s="126" t="str">
        <f t="shared" si="18"/>
        <v>1.50 Months</v>
      </c>
      <c r="W13" s="126" t="str">
        <f t="shared" si="19"/>
        <v>150.00 %</v>
      </c>
      <c r="X13" s="140">
        <f t="shared" si="20"/>
        <v>2500</v>
      </c>
      <c r="Y13" s="43"/>
    </row>
    <row r="14" spans="1:25" s="1" customFormat="1" ht="35.1" customHeight="1">
      <c r="A14" s="13">
        <v>8</v>
      </c>
      <c r="B14" s="20" t="s">
        <v>139</v>
      </c>
      <c r="C14" s="15" t="s">
        <v>24</v>
      </c>
      <c r="D14" s="16">
        <v>43534</v>
      </c>
      <c r="E14" s="65">
        <v>45000</v>
      </c>
      <c r="F14" s="60">
        <v>55471</v>
      </c>
      <c r="G14" s="69">
        <f t="shared" si="9"/>
        <v>0.15</v>
      </c>
      <c r="H14" s="61">
        <v>51750</v>
      </c>
      <c r="I14" s="61">
        <f t="shared" si="10"/>
        <v>63268.1</v>
      </c>
      <c r="J14" s="61">
        <f t="shared" si="11"/>
        <v>6750</v>
      </c>
      <c r="K14" s="61">
        <f t="shared" si="11"/>
        <v>7797.0999999999985</v>
      </c>
      <c r="L14" s="39"/>
      <c r="M14" s="61">
        <v>70000</v>
      </c>
      <c r="N14" s="92">
        <v>45000</v>
      </c>
      <c r="O14" s="17" t="str">
        <f t="shared" si="12"/>
        <v>1.00 Months</v>
      </c>
      <c r="P14" s="17" t="str">
        <f t="shared" si="13"/>
        <v>100.00 %</v>
      </c>
      <c r="Q14" s="61">
        <f t="shared" si="14"/>
        <v>-25000</v>
      </c>
      <c r="R14" s="61">
        <v>45000</v>
      </c>
      <c r="S14" s="17" t="str">
        <f t="shared" si="15"/>
        <v>1.00 Months</v>
      </c>
      <c r="T14" s="77" t="str">
        <f t="shared" si="16"/>
        <v>100.00 %</v>
      </c>
      <c r="U14" s="139">
        <f t="shared" si="17"/>
        <v>90000</v>
      </c>
      <c r="V14" s="126" t="str">
        <f t="shared" si="18"/>
        <v>2.00 Months</v>
      </c>
      <c r="W14" s="126" t="str">
        <f t="shared" si="19"/>
        <v>200.00 %</v>
      </c>
      <c r="X14" s="140">
        <f t="shared" si="20"/>
        <v>20000</v>
      </c>
      <c r="Y14" s="43"/>
    </row>
    <row r="15" spans="1:25" s="1" customFormat="1" ht="35.1" customHeight="1">
      <c r="A15" s="13">
        <v>9</v>
      </c>
      <c r="B15" s="20" t="s">
        <v>143</v>
      </c>
      <c r="C15" s="15" t="s">
        <v>38</v>
      </c>
      <c r="D15" s="16">
        <v>44983</v>
      </c>
      <c r="E15" s="65">
        <v>7000</v>
      </c>
      <c r="F15" s="60">
        <v>7600</v>
      </c>
      <c r="G15" s="69">
        <f t="shared" si="9"/>
        <v>0.5714285714285714</v>
      </c>
      <c r="H15" s="61">
        <v>11000</v>
      </c>
      <c r="I15" s="17">
        <f t="shared" si="10"/>
        <v>11660</v>
      </c>
      <c r="J15" s="61">
        <f t="shared" si="11"/>
        <v>4000</v>
      </c>
      <c r="K15" s="61">
        <f t="shared" si="11"/>
        <v>4060</v>
      </c>
      <c r="L15" s="39"/>
      <c r="M15" s="61">
        <v>6000</v>
      </c>
      <c r="N15" s="61">
        <v>7000</v>
      </c>
      <c r="O15" s="17" t="str">
        <f t="shared" si="12"/>
        <v>1.00 Months</v>
      </c>
      <c r="P15" s="17" t="str">
        <f t="shared" si="13"/>
        <v>100.00 %</v>
      </c>
      <c r="Q15" s="61">
        <f t="shared" si="14"/>
        <v>1000</v>
      </c>
      <c r="R15" s="61">
        <v>3000</v>
      </c>
      <c r="S15" s="17" t="str">
        <f t="shared" si="15"/>
        <v>0.43 Months</v>
      </c>
      <c r="T15" s="77" t="str">
        <f t="shared" si="16"/>
        <v>42.86 %</v>
      </c>
      <c r="U15" s="139">
        <f t="shared" si="17"/>
        <v>10000</v>
      </c>
      <c r="V15" s="126" t="str">
        <f t="shared" si="18"/>
        <v>1.43 Months</v>
      </c>
      <c r="W15" s="126" t="str">
        <f t="shared" si="19"/>
        <v>142.86 %</v>
      </c>
      <c r="X15" s="140">
        <f t="shared" si="20"/>
        <v>4000</v>
      </c>
      <c r="Y15" s="43"/>
    </row>
    <row r="16" spans="1:25" s="1" customFormat="1" ht="35.1" customHeight="1">
      <c r="A16" s="13">
        <v>10</v>
      </c>
      <c r="B16" s="20" t="s">
        <v>140</v>
      </c>
      <c r="C16" s="15" t="s">
        <v>33</v>
      </c>
      <c r="D16" s="16">
        <v>45125</v>
      </c>
      <c r="E16" s="65">
        <v>8000</v>
      </c>
      <c r="F16" s="60">
        <v>9453</v>
      </c>
      <c r="G16" s="69">
        <f t="shared" si="9"/>
        <v>0.75</v>
      </c>
      <c r="H16" s="61">
        <v>14000</v>
      </c>
      <c r="I16" s="17">
        <f t="shared" si="10"/>
        <v>15598.3</v>
      </c>
      <c r="J16" s="61">
        <f t="shared" si="11"/>
        <v>6000</v>
      </c>
      <c r="K16" s="61">
        <f t="shared" si="11"/>
        <v>6145.2999999999993</v>
      </c>
      <c r="L16" s="39"/>
      <c r="M16" s="61">
        <v>3333</v>
      </c>
      <c r="N16" s="61">
        <v>8000</v>
      </c>
      <c r="O16" s="17" t="str">
        <f t="shared" si="12"/>
        <v>1.00 Months</v>
      </c>
      <c r="P16" s="17" t="str">
        <f t="shared" si="13"/>
        <v>100.00 %</v>
      </c>
      <c r="Q16" s="61">
        <f t="shared" si="14"/>
        <v>4667</v>
      </c>
      <c r="R16" s="61">
        <v>0</v>
      </c>
      <c r="S16" s="17" t="str">
        <f t="shared" si="15"/>
        <v>No Bonus</v>
      </c>
      <c r="T16" s="77" t="str">
        <f t="shared" si="16"/>
        <v>No Bonus</v>
      </c>
      <c r="U16" s="139">
        <f t="shared" si="17"/>
        <v>8000</v>
      </c>
      <c r="V16" s="126" t="str">
        <f t="shared" si="18"/>
        <v>1.00 Months</v>
      </c>
      <c r="W16" s="126" t="str">
        <f t="shared" si="19"/>
        <v>100.00 %</v>
      </c>
      <c r="X16" s="140">
        <f t="shared" si="20"/>
        <v>4667</v>
      </c>
      <c r="Y16" s="43"/>
    </row>
    <row r="17" spans="1:25" s="1" customFormat="1" ht="35.1" customHeight="1">
      <c r="A17" s="13">
        <v>11</v>
      </c>
      <c r="B17" s="20" t="s">
        <v>142</v>
      </c>
      <c r="C17" s="15" t="s">
        <v>38</v>
      </c>
      <c r="D17" s="16">
        <v>45323</v>
      </c>
      <c r="E17" s="65">
        <v>7000</v>
      </c>
      <c r="F17" s="60">
        <v>7600</v>
      </c>
      <c r="G17" s="69">
        <f t="shared" si="9"/>
        <v>0.42857142857142855</v>
      </c>
      <c r="H17" s="61">
        <v>10000</v>
      </c>
      <c r="I17" s="17">
        <f t="shared" si="10"/>
        <v>10660</v>
      </c>
      <c r="J17" s="61">
        <f t="shared" si="11"/>
        <v>3000</v>
      </c>
      <c r="K17" s="61">
        <f t="shared" si="11"/>
        <v>3060</v>
      </c>
      <c r="L17" s="39"/>
      <c r="M17" s="61">
        <v>0</v>
      </c>
      <c r="N17" s="61">
        <v>7000</v>
      </c>
      <c r="O17" s="17" t="str">
        <f t="shared" si="12"/>
        <v>1.00 Months</v>
      </c>
      <c r="P17" s="17" t="str">
        <f t="shared" si="13"/>
        <v>100.00 %</v>
      </c>
      <c r="Q17" s="61">
        <f t="shared" si="14"/>
        <v>7000</v>
      </c>
      <c r="R17" s="61">
        <v>3000</v>
      </c>
      <c r="S17" s="17" t="str">
        <f t="shared" si="15"/>
        <v>0.43 Months</v>
      </c>
      <c r="T17" s="77" t="str">
        <f t="shared" si="16"/>
        <v>42.86 %</v>
      </c>
      <c r="U17" s="139">
        <f t="shared" si="17"/>
        <v>10000</v>
      </c>
      <c r="V17" s="126" t="str">
        <f t="shared" si="18"/>
        <v>1.43 Months</v>
      </c>
      <c r="W17" s="126" t="str">
        <f t="shared" si="19"/>
        <v>142.86 %</v>
      </c>
      <c r="X17" s="140">
        <f t="shared" si="20"/>
        <v>10000</v>
      </c>
      <c r="Y17" s="43"/>
    </row>
    <row r="18" spans="1:25" s="1" customFormat="1" ht="35.1" customHeight="1">
      <c r="A18" s="13">
        <v>12</v>
      </c>
      <c r="B18" s="20" t="s">
        <v>146</v>
      </c>
      <c r="C18" s="15" t="s">
        <v>38</v>
      </c>
      <c r="D18" s="16">
        <v>45354</v>
      </c>
      <c r="E18" s="65">
        <v>7000</v>
      </c>
      <c r="F18" s="60">
        <v>7600</v>
      </c>
      <c r="G18" s="69">
        <f t="shared" si="9"/>
        <v>0.42857142857142855</v>
      </c>
      <c r="H18" s="61">
        <v>10000</v>
      </c>
      <c r="I18" s="17">
        <f t="shared" si="10"/>
        <v>10660</v>
      </c>
      <c r="J18" s="61">
        <f t="shared" si="11"/>
        <v>3000</v>
      </c>
      <c r="K18" s="61">
        <f t="shared" si="11"/>
        <v>3060</v>
      </c>
      <c r="L18" s="39"/>
      <c r="M18" s="61">
        <v>0</v>
      </c>
      <c r="N18" s="61">
        <v>7000</v>
      </c>
      <c r="O18" s="17" t="str">
        <f t="shared" si="12"/>
        <v>1.00 Months</v>
      </c>
      <c r="P18" s="17" t="str">
        <f t="shared" si="13"/>
        <v>100.00 %</v>
      </c>
      <c r="Q18" s="61">
        <f t="shared" si="14"/>
        <v>7000</v>
      </c>
      <c r="R18" s="61">
        <v>3000</v>
      </c>
      <c r="S18" s="17" t="str">
        <f t="shared" si="15"/>
        <v>0.43 Months</v>
      </c>
      <c r="T18" s="77" t="str">
        <f t="shared" si="16"/>
        <v>42.86 %</v>
      </c>
      <c r="U18" s="139">
        <f t="shared" si="17"/>
        <v>10000</v>
      </c>
      <c r="V18" s="126" t="str">
        <f t="shared" si="18"/>
        <v>1.43 Months</v>
      </c>
      <c r="W18" s="126" t="str">
        <f t="shared" si="19"/>
        <v>142.86 %</v>
      </c>
      <c r="X18" s="140">
        <f t="shared" si="20"/>
        <v>10000</v>
      </c>
      <c r="Y18" s="43"/>
    </row>
    <row r="19" spans="1:25" s="1" customFormat="1" ht="35.1" customHeight="1">
      <c r="A19" s="13">
        <v>13</v>
      </c>
      <c r="B19" s="20" t="s">
        <v>145</v>
      </c>
      <c r="C19" s="15" t="s">
        <v>38</v>
      </c>
      <c r="D19" s="16">
        <v>45536</v>
      </c>
      <c r="E19" s="65">
        <v>7500</v>
      </c>
      <c r="F19" s="60">
        <v>7600</v>
      </c>
      <c r="G19" s="69">
        <f t="shared" si="9"/>
        <v>0.6</v>
      </c>
      <c r="H19" s="61">
        <v>12000</v>
      </c>
      <c r="I19" s="17">
        <f t="shared" si="10"/>
        <v>12110</v>
      </c>
      <c r="J19" s="61">
        <f t="shared" si="11"/>
        <v>4500</v>
      </c>
      <c r="K19" s="61">
        <f t="shared" si="11"/>
        <v>4510</v>
      </c>
      <c r="L19" s="39"/>
      <c r="M19" s="61">
        <v>0</v>
      </c>
      <c r="N19" s="61">
        <v>2500</v>
      </c>
      <c r="O19" s="17" t="str">
        <f t="shared" si="12"/>
        <v>0.33 Months</v>
      </c>
      <c r="P19" s="17" t="str">
        <f t="shared" si="13"/>
        <v>33.33 %</v>
      </c>
      <c r="Q19" s="61">
        <f t="shared" si="14"/>
        <v>2500</v>
      </c>
      <c r="R19" s="61">
        <v>2500</v>
      </c>
      <c r="S19" s="17" t="str">
        <f t="shared" si="15"/>
        <v>0.33 Months</v>
      </c>
      <c r="T19" s="77" t="str">
        <f t="shared" si="16"/>
        <v>33.33 %</v>
      </c>
      <c r="U19" s="139">
        <f t="shared" si="17"/>
        <v>5000</v>
      </c>
      <c r="V19" s="126" t="str">
        <f t="shared" si="18"/>
        <v>0.67 Months</v>
      </c>
      <c r="W19" s="126" t="str">
        <f t="shared" si="19"/>
        <v>66.67 %</v>
      </c>
      <c r="X19" s="140">
        <f t="shared" si="20"/>
        <v>5000</v>
      </c>
      <c r="Y19" s="90" t="s">
        <v>108</v>
      </c>
    </row>
    <row r="20" spans="1:25" s="1" customFormat="1" ht="35.1" customHeight="1">
      <c r="A20" s="21">
        <v>14</v>
      </c>
      <c r="B20" s="22" t="s">
        <v>144</v>
      </c>
      <c r="C20" s="23" t="s">
        <v>26</v>
      </c>
      <c r="D20" s="24">
        <v>45690</v>
      </c>
      <c r="E20" s="65">
        <v>0</v>
      </c>
      <c r="F20" s="60">
        <v>0</v>
      </c>
      <c r="G20" s="69" t="str">
        <f t="shared" si="9"/>
        <v>No Ratio</v>
      </c>
      <c r="H20" s="61">
        <v>0</v>
      </c>
      <c r="I20" s="17">
        <f t="shared" si="10"/>
        <v>0</v>
      </c>
      <c r="J20" s="61">
        <f t="shared" si="11"/>
        <v>0</v>
      </c>
      <c r="K20" s="61">
        <f t="shared" si="11"/>
        <v>0</v>
      </c>
      <c r="L20" s="39"/>
      <c r="M20" s="61">
        <v>0</v>
      </c>
      <c r="N20" s="84"/>
      <c r="O20" s="17" t="str">
        <f t="shared" si="12"/>
        <v>No Bonus</v>
      </c>
      <c r="P20" s="17" t="str">
        <f t="shared" si="13"/>
        <v>No Bonus</v>
      </c>
      <c r="Q20" s="61">
        <f t="shared" si="14"/>
        <v>0</v>
      </c>
      <c r="R20" s="61"/>
      <c r="S20" s="17" t="str">
        <f t="shared" si="15"/>
        <v>No Bonus</v>
      </c>
      <c r="T20" s="77" t="str">
        <f t="shared" si="16"/>
        <v>No Bonus</v>
      </c>
      <c r="U20" s="139">
        <f t="shared" si="17"/>
        <v>0</v>
      </c>
      <c r="V20" s="126" t="str">
        <f t="shared" si="18"/>
        <v>No Bonus</v>
      </c>
      <c r="W20" s="126" t="str">
        <f t="shared" si="19"/>
        <v>No Bonus</v>
      </c>
      <c r="X20" s="140">
        <f t="shared" si="20"/>
        <v>0</v>
      </c>
      <c r="Y20" s="90" t="s">
        <v>104</v>
      </c>
    </row>
    <row r="21" spans="1:25" s="1" customFormat="1" ht="35.1" customHeight="1" thickBot="1">
      <c r="A21" s="162" t="s">
        <v>44</v>
      </c>
      <c r="B21" s="163"/>
      <c r="C21" s="163"/>
      <c r="D21" s="25"/>
      <c r="E21" s="68">
        <f>SUM(E7:E20)</f>
        <v>305350</v>
      </c>
      <c r="F21" s="68">
        <f>SUM(F7:F20)</f>
        <v>360655</v>
      </c>
      <c r="G21" s="48">
        <f>IFERROR((H21-E21)/E21,"No Ratio")</f>
        <v>0.31914196823317503</v>
      </c>
      <c r="H21" s="68">
        <f>SUM(H7:H20)</f>
        <v>402800</v>
      </c>
      <c r="I21" s="68">
        <f>SUM(I7:I20)</f>
        <v>463635.49999999994</v>
      </c>
      <c r="J21" s="68">
        <f>SUM(J7:J20)</f>
        <v>97450</v>
      </c>
      <c r="K21" s="68">
        <f>SUM(K7:K20)</f>
        <v>102980.50000000001</v>
      </c>
      <c r="L21" s="26"/>
      <c r="M21" s="68">
        <f>SUM(M7:M20)</f>
        <v>385333</v>
      </c>
      <c r="N21" s="68">
        <f>SUM(N7:N20)</f>
        <v>300350</v>
      </c>
      <c r="O21" s="104"/>
      <c r="P21" s="104"/>
      <c r="Q21" s="146">
        <f>SUM(Q7:Q20)</f>
        <v>-84983</v>
      </c>
      <c r="R21" s="146">
        <f>SUM(R7:R20)</f>
        <v>210425</v>
      </c>
      <c r="S21" s="142"/>
      <c r="T21" s="143"/>
      <c r="U21" s="147">
        <f>SUM(U7:U20)</f>
        <v>510775</v>
      </c>
      <c r="V21" s="145"/>
      <c r="W21" s="145"/>
      <c r="X21" s="140">
        <f>SUM(X7:X20)</f>
        <v>125442</v>
      </c>
      <c r="Y21" s="45"/>
    </row>
    <row r="22" spans="1:25" s="1" customFormat="1" ht="45.75" customHeight="1">
      <c r="A22" s="7">
        <v>1</v>
      </c>
      <c r="B22" s="19" t="s">
        <v>161</v>
      </c>
      <c r="C22" s="9" t="s">
        <v>46</v>
      </c>
      <c r="D22" s="10">
        <v>41107</v>
      </c>
      <c r="E22" s="66">
        <v>85000</v>
      </c>
      <c r="F22" s="66">
        <v>118315</v>
      </c>
      <c r="G22" s="73">
        <f t="shared" ref="G22:G47" si="21">IFERROR((H22-E22)/E22,"No Ratio")</f>
        <v>0.50588235294117645</v>
      </c>
      <c r="H22" s="67">
        <v>128000</v>
      </c>
      <c r="I22" s="67">
        <f t="shared" ref="I22:I41" si="22">((F22-E22)+H22)+($H$1*(F22-E22))</f>
        <v>164646.5</v>
      </c>
      <c r="J22" s="67">
        <f t="shared" ref="J22:K41" si="23">H22-E22</f>
        <v>43000</v>
      </c>
      <c r="K22" s="67">
        <f t="shared" si="23"/>
        <v>46331.5</v>
      </c>
      <c r="L22" s="38"/>
      <c r="M22" s="67">
        <v>300000</v>
      </c>
      <c r="N22" s="85">
        <v>0</v>
      </c>
      <c r="O22" s="11" t="str">
        <f t="shared" ref="O22:O41" si="24">IF(N22=0,"No Bonus",TEXT(N22/E22,"0.00")&amp;" Months")</f>
        <v>No Bonus</v>
      </c>
      <c r="P22" s="11" t="str">
        <f t="shared" ref="P22:P41" si="25">IF(N22=0,"No Bonus",TEXT((N22/E22)*100,"0.00")&amp;" %")</f>
        <v>No Bonus</v>
      </c>
      <c r="Q22" s="61">
        <f t="shared" ref="Q22:Q41" si="26">N22-M22</f>
        <v>-300000</v>
      </c>
      <c r="R22" s="61">
        <v>400000</v>
      </c>
      <c r="S22" s="17" t="str">
        <f t="shared" ref="S22:S41" si="27">IF(R22=0,"No Bonus",TEXT(R22/E22,"0.00")&amp;" Months")</f>
        <v>4.71 Months</v>
      </c>
      <c r="T22" s="77" t="str">
        <f t="shared" ref="T22:T41" si="28">IF(R22=0,"No Bonus",TEXT((R22/E22)*100,"0.00")&amp;" %")</f>
        <v>470.59 %</v>
      </c>
      <c r="U22" s="139">
        <f t="shared" ref="U22:U41" si="29">N22+R22</f>
        <v>400000</v>
      </c>
      <c r="V22" s="126" t="str">
        <f t="shared" ref="V22:V41" si="30">IF(U22=0,"No Bonus",TEXT(U22/E22,"0.00")&amp;" Months")</f>
        <v>4.71 Months</v>
      </c>
      <c r="W22" s="126" t="str">
        <f t="shared" ref="W22:W41" si="31">IF(U22=0,"No Bonus",TEXT((U22/E22)*100,"0.00")&amp;" %")</f>
        <v>470.59 %</v>
      </c>
      <c r="X22" s="140">
        <f t="shared" ref="X22:X41" si="32">(N22+R22)-M22</f>
        <v>100000</v>
      </c>
      <c r="Y22" s="91" t="s">
        <v>105</v>
      </c>
    </row>
    <row r="23" spans="1:25" s="1" customFormat="1" ht="35.1" customHeight="1">
      <c r="A23" s="13">
        <v>2</v>
      </c>
      <c r="B23" s="20" t="s">
        <v>135</v>
      </c>
      <c r="C23" s="15" t="s">
        <v>48</v>
      </c>
      <c r="D23" s="16">
        <v>41660</v>
      </c>
      <c r="E23" s="60">
        <v>30375</v>
      </c>
      <c r="F23" s="60">
        <v>42060</v>
      </c>
      <c r="G23" s="69">
        <f t="shared" si="21"/>
        <v>0.25102880658436216</v>
      </c>
      <c r="H23" s="61">
        <v>38000</v>
      </c>
      <c r="I23" s="61">
        <f t="shared" si="22"/>
        <v>50853.5</v>
      </c>
      <c r="J23" s="61">
        <f t="shared" si="23"/>
        <v>7625</v>
      </c>
      <c r="K23" s="61">
        <f t="shared" si="23"/>
        <v>8793.5</v>
      </c>
      <c r="L23" s="39"/>
      <c r="M23" s="61">
        <v>45000</v>
      </c>
      <c r="N23" s="61">
        <v>30375</v>
      </c>
      <c r="O23" s="17" t="str">
        <f t="shared" si="24"/>
        <v>1.00 Months</v>
      </c>
      <c r="P23" s="17" t="str">
        <f t="shared" si="25"/>
        <v>100.00 %</v>
      </c>
      <c r="Q23" s="61">
        <f t="shared" si="26"/>
        <v>-14625</v>
      </c>
      <c r="R23" s="61">
        <v>30375</v>
      </c>
      <c r="S23" s="17" t="str">
        <f t="shared" si="27"/>
        <v>1.00 Months</v>
      </c>
      <c r="T23" s="77" t="str">
        <f t="shared" si="28"/>
        <v>100.00 %</v>
      </c>
      <c r="U23" s="139">
        <f t="shared" si="29"/>
        <v>60750</v>
      </c>
      <c r="V23" s="126" t="str">
        <f t="shared" si="30"/>
        <v>2.00 Months</v>
      </c>
      <c r="W23" s="126" t="str">
        <f t="shared" si="31"/>
        <v>200.00 %</v>
      </c>
      <c r="X23" s="140">
        <f t="shared" si="32"/>
        <v>15750</v>
      </c>
      <c r="Y23" s="43"/>
    </row>
    <row r="24" spans="1:25" s="1" customFormat="1" ht="35.1" customHeight="1">
      <c r="A24" s="13">
        <v>3</v>
      </c>
      <c r="B24" s="20" t="s">
        <v>153</v>
      </c>
      <c r="C24" s="15" t="s">
        <v>50</v>
      </c>
      <c r="D24" s="16">
        <v>43009</v>
      </c>
      <c r="E24" s="60">
        <v>30000</v>
      </c>
      <c r="F24" s="60">
        <v>41657</v>
      </c>
      <c r="G24" s="69">
        <f t="shared" si="21"/>
        <v>0.5</v>
      </c>
      <c r="H24" s="61">
        <v>45000</v>
      </c>
      <c r="I24" s="61">
        <f t="shared" si="22"/>
        <v>57822.7</v>
      </c>
      <c r="J24" s="61">
        <f t="shared" si="23"/>
        <v>15000</v>
      </c>
      <c r="K24" s="61">
        <f t="shared" si="23"/>
        <v>16165.699999999997</v>
      </c>
      <c r="L24" s="39"/>
      <c r="M24" s="61">
        <v>50000</v>
      </c>
      <c r="N24" s="61">
        <v>30000</v>
      </c>
      <c r="O24" s="17" t="str">
        <f t="shared" si="24"/>
        <v>1.00 Months</v>
      </c>
      <c r="P24" s="17" t="str">
        <f t="shared" si="25"/>
        <v>100.00 %</v>
      </c>
      <c r="Q24" s="61">
        <f t="shared" si="26"/>
        <v>-20000</v>
      </c>
      <c r="R24" s="61">
        <v>45000</v>
      </c>
      <c r="S24" s="17" t="str">
        <f t="shared" si="27"/>
        <v>1.50 Months</v>
      </c>
      <c r="T24" s="77" t="str">
        <f t="shared" si="28"/>
        <v>150.00 %</v>
      </c>
      <c r="U24" s="139">
        <f t="shared" si="29"/>
        <v>75000</v>
      </c>
      <c r="V24" s="126" t="str">
        <f t="shared" si="30"/>
        <v>2.50 Months</v>
      </c>
      <c r="W24" s="126" t="str">
        <f t="shared" si="31"/>
        <v>250.00 %</v>
      </c>
      <c r="X24" s="140">
        <f t="shared" si="32"/>
        <v>25000</v>
      </c>
      <c r="Y24" s="43"/>
    </row>
    <row r="25" spans="1:25" s="1" customFormat="1" ht="35.1" customHeight="1">
      <c r="A25" s="13">
        <v>4</v>
      </c>
      <c r="B25" s="20" t="s">
        <v>158</v>
      </c>
      <c r="C25" s="15" t="s">
        <v>52</v>
      </c>
      <c r="D25" s="16">
        <v>43223</v>
      </c>
      <c r="E25" s="60">
        <v>22400</v>
      </c>
      <c r="F25" s="60">
        <v>32276</v>
      </c>
      <c r="G25" s="69">
        <f t="shared" si="21"/>
        <v>0.3392857142857143</v>
      </c>
      <c r="H25" s="61">
        <v>30000</v>
      </c>
      <c r="I25" s="61">
        <f t="shared" si="22"/>
        <v>40863.599999999999</v>
      </c>
      <c r="J25" s="61">
        <f t="shared" si="23"/>
        <v>7600</v>
      </c>
      <c r="K25" s="61">
        <f t="shared" si="23"/>
        <v>8587.5999999999985</v>
      </c>
      <c r="L25" s="39"/>
      <c r="M25" s="61">
        <v>40000</v>
      </c>
      <c r="N25" s="61">
        <v>22400</v>
      </c>
      <c r="O25" s="17" t="str">
        <f t="shared" si="24"/>
        <v>1.00 Months</v>
      </c>
      <c r="P25" s="17" t="str">
        <f t="shared" si="25"/>
        <v>100.00 %</v>
      </c>
      <c r="Q25" s="61">
        <f t="shared" si="26"/>
        <v>-17600</v>
      </c>
      <c r="R25" s="61">
        <v>33600</v>
      </c>
      <c r="S25" s="17" t="str">
        <f t="shared" si="27"/>
        <v>1.50 Months</v>
      </c>
      <c r="T25" s="77" t="str">
        <f t="shared" si="28"/>
        <v>150.00 %</v>
      </c>
      <c r="U25" s="139">
        <f t="shared" si="29"/>
        <v>56000</v>
      </c>
      <c r="V25" s="126" t="str">
        <f t="shared" si="30"/>
        <v>2.50 Months</v>
      </c>
      <c r="W25" s="126" t="str">
        <f t="shared" si="31"/>
        <v>250.00 %</v>
      </c>
      <c r="X25" s="140">
        <f t="shared" si="32"/>
        <v>16000</v>
      </c>
      <c r="Y25" s="43"/>
    </row>
    <row r="26" spans="1:25" s="1" customFormat="1" ht="35.1" customHeight="1">
      <c r="A26" s="13">
        <v>5</v>
      </c>
      <c r="B26" s="20" t="s">
        <v>157</v>
      </c>
      <c r="C26" s="15" t="s">
        <v>54</v>
      </c>
      <c r="D26" s="16">
        <v>43534</v>
      </c>
      <c r="E26" s="60">
        <v>32000</v>
      </c>
      <c r="F26" s="60">
        <v>44621</v>
      </c>
      <c r="G26" s="69">
        <f t="shared" si="21"/>
        <v>0.25</v>
      </c>
      <c r="H26" s="61">
        <v>40000</v>
      </c>
      <c r="I26" s="61">
        <f t="shared" si="22"/>
        <v>53883.1</v>
      </c>
      <c r="J26" s="61">
        <f t="shared" si="23"/>
        <v>8000</v>
      </c>
      <c r="K26" s="61">
        <f t="shared" si="23"/>
        <v>9262.0999999999985</v>
      </c>
      <c r="L26" s="39"/>
      <c r="M26" s="61">
        <v>62500</v>
      </c>
      <c r="N26" s="61">
        <v>32000</v>
      </c>
      <c r="O26" s="17" t="str">
        <f t="shared" si="24"/>
        <v>1.00 Months</v>
      </c>
      <c r="P26" s="17" t="str">
        <f t="shared" si="25"/>
        <v>100.00 %</v>
      </c>
      <c r="Q26" s="61">
        <f t="shared" si="26"/>
        <v>-30500</v>
      </c>
      <c r="R26" s="61">
        <v>48000</v>
      </c>
      <c r="S26" s="17" t="str">
        <f t="shared" si="27"/>
        <v>1.50 Months</v>
      </c>
      <c r="T26" s="77" t="str">
        <f t="shared" si="28"/>
        <v>150.00 %</v>
      </c>
      <c r="U26" s="139">
        <f t="shared" si="29"/>
        <v>80000</v>
      </c>
      <c r="V26" s="126" t="str">
        <f t="shared" si="30"/>
        <v>2.50 Months</v>
      </c>
      <c r="W26" s="126" t="str">
        <f t="shared" si="31"/>
        <v>250.00 %</v>
      </c>
      <c r="X26" s="140">
        <f t="shared" si="32"/>
        <v>17500</v>
      </c>
      <c r="Y26" s="43"/>
    </row>
    <row r="27" spans="1:25" s="1" customFormat="1" ht="35.1" customHeight="1">
      <c r="A27" s="13">
        <v>6</v>
      </c>
      <c r="B27" s="20" t="s">
        <v>159</v>
      </c>
      <c r="C27" s="15" t="s">
        <v>56</v>
      </c>
      <c r="D27" s="16">
        <v>44409</v>
      </c>
      <c r="E27" s="60">
        <v>12000</v>
      </c>
      <c r="F27" s="60">
        <v>18240</v>
      </c>
      <c r="G27" s="69">
        <f t="shared" si="21"/>
        <v>0.25</v>
      </c>
      <c r="H27" s="61">
        <v>15000</v>
      </c>
      <c r="I27" s="61">
        <f t="shared" si="22"/>
        <v>21864</v>
      </c>
      <c r="J27" s="61">
        <f t="shared" si="23"/>
        <v>3000</v>
      </c>
      <c r="K27" s="61">
        <f t="shared" si="23"/>
        <v>3624</v>
      </c>
      <c r="L27" s="39"/>
      <c r="M27" s="61">
        <v>20000</v>
      </c>
      <c r="N27" s="61">
        <v>12000</v>
      </c>
      <c r="O27" s="17" t="str">
        <f t="shared" si="24"/>
        <v>1.00 Months</v>
      </c>
      <c r="P27" s="17" t="str">
        <f t="shared" si="25"/>
        <v>100.00 %</v>
      </c>
      <c r="Q27" s="61">
        <f t="shared" si="26"/>
        <v>-8000</v>
      </c>
      <c r="R27" s="61">
        <v>6000</v>
      </c>
      <c r="S27" s="17" t="str">
        <f t="shared" si="27"/>
        <v>0.50 Months</v>
      </c>
      <c r="T27" s="77" t="str">
        <f t="shared" si="28"/>
        <v>50.00 %</v>
      </c>
      <c r="U27" s="139">
        <f t="shared" si="29"/>
        <v>18000</v>
      </c>
      <c r="V27" s="126" t="str">
        <f t="shared" si="30"/>
        <v>1.50 Months</v>
      </c>
      <c r="W27" s="126" t="str">
        <f t="shared" si="31"/>
        <v>150.00 %</v>
      </c>
      <c r="X27" s="140">
        <f t="shared" si="32"/>
        <v>-2000</v>
      </c>
      <c r="Y27" s="43"/>
    </row>
    <row r="28" spans="1:25" s="1" customFormat="1" ht="35.1" customHeight="1">
      <c r="A28" s="13">
        <v>7</v>
      </c>
      <c r="B28" s="20" t="s">
        <v>155</v>
      </c>
      <c r="C28" s="15" t="s">
        <v>58</v>
      </c>
      <c r="D28" s="16">
        <v>42297</v>
      </c>
      <c r="E28" s="60">
        <v>18600</v>
      </c>
      <c r="F28" s="60">
        <v>24497</v>
      </c>
      <c r="G28" s="69">
        <f t="shared" si="21"/>
        <v>0.18279569892473119</v>
      </c>
      <c r="H28" s="61">
        <v>22000</v>
      </c>
      <c r="I28" s="61">
        <f t="shared" si="22"/>
        <v>28486.7</v>
      </c>
      <c r="J28" s="61">
        <f t="shared" si="23"/>
        <v>3400</v>
      </c>
      <c r="K28" s="61">
        <f t="shared" si="23"/>
        <v>3989.7000000000007</v>
      </c>
      <c r="L28" s="39"/>
      <c r="M28" s="61">
        <v>31000</v>
      </c>
      <c r="N28" s="61">
        <v>18600</v>
      </c>
      <c r="O28" s="17" t="str">
        <f t="shared" si="24"/>
        <v>1.00 Months</v>
      </c>
      <c r="P28" s="17" t="str">
        <f t="shared" si="25"/>
        <v>100.00 %</v>
      </c>
      <c r="Q28" s="61">
        <f t="shared" si="26"/>
        <v>-12400</v>
      </c>
      <c r="R28" s="61">
        <v>12400</v>
      </c>
      <c r="S28" s="17" t="str">
        <f t="shared" si="27"/>
        <v>0.67 Months</v>
      </c>
      <c r="T28" s="77" t="str">
        <f t="shared" si="28"/>
        <v>66.67 %</v>
      </c>
      <c r="U28" s="139">
        <f t="shared" si="29"/>
        <v>31000</v>
      </c>
      <c r="V28" s="126" t="str">
        <f t="shared" si="30"/>
        <v>1.67 Months</v>
      </c>
      <c r="W28" s="126" t="str">
        <f t="shared" si="31"/>
        <v>166.67 %</v>
      </c>
      <c r="X28" s="140">
        <f t="shared" si="32"/>
        <v>0</v>
      </c>
      <c r="Y28" s="43"/>
    </row>
    <row r="29" spans="1:25" s="1" customFormat="1" ht="35.1" customHeight="1">
      <c r="A29" s="13">
        <v>8</v>
      </c>
      <c r="B29" s="20" t="s">
        <v>163</v>
      </c>
      <c r="C29" s="15" t="s">
        <v>60</v>
      </c>
      <c r="D29" s="16">
        <v>42397</v>
      </c>
      <c r="E29" s="60">
        <v>18600</v>
      </c>
      <c r="F29" s="60">
        <v>27665</v>
      </c>
      <c r="G29" s="69">
        <f t="shared" si="21"/>
        <v>0.18279569892473119</v>
      </c>
      <c r="H29" s="61">
        <v>22000</v>
      </c>
      <c r="I29" s="61">
        <f t="shared" si="22"/>
        <v>31971.5</v>
      </c>
      <c r="J29" s="61">
        <f t="shared" si="23"/>
        <v>3400</v>
      </c>
      <c r="K29" s="61">
        <f t="shared" si="23"/>
        <v>4306.5</v>
      </c>
      <c r="L29" s="39"/>
      <c r="M29" s="61">
        <v>25000</v>
      </c>
      <c r="N29" s="61">
        <v>18600</v>
      </c>
      <c r="O29" s="17" t="str">
        <f t="shared" si="24"/>
        <v>1.00 Months</v>
      </c>
      <c r="P29" s="17" t="str">
        <f t="shared" si="25"/>
        <v>100.00 %</v>
      </c>
      <c r="Q29" s="61">
        <f t="shared" si="26"/>
        <v>-6400</v>
      </c>
      <c r="R29" s="61">
        <v>9300</v>
      </c>
      <c r="S29" s="17" t="str">
        <f t="shared" si="27"/>
        <v>0.50 Months</v>
      </c>
      <c r="T29" s="77" t="str">
        <f t="shared" si="28"/>
        <v>50.00 %</v>
      </c>
      <c r="U29" s="139">
        <f t="shared" si="29"/>
        <v>27900</v>
      </c>
      <c r="V29" s="126" t="str">
        <f t="shared" si="30"/>
        <v>1.50 Months</v>
      </c>
      <c r="W29" s="126" t="str">
        <f t="shared" si="31"/>
        <v>150.00 %</v>
      </c>
      <c r="X29" s="140">
        <f t="shared" si="32"/>
        <v>2900</v>
      </c>
      <c r="Y29" s="43"/>
    </row>
    <row r="30" spans="1:25" s="1" customFormat="1" ht="35.1" customHeight="1">
      <c r="A30" s="13">
        <v>9</v>
      </c>
      <c r="B30" s="20" t="s">
        <v>167</v>
      </c>
      <c r="C30" s="15" t="s">
        <v>62</v>
      </c>
      <c r="D30" s="16">
        <v>45095</v>
      </c>
      <c r="E30" s="60">
        <v>11500</v>
      </c>
      <c r="F30" s="60">
        <v>17204</v>
      </c>
      <c r="G30" s="69">
        <f t="shared" si="21"/>
        <v>0.30434782608695654</v>
      </c>
      <c r="H30" s="61">
        <v>15000</v>
      </c>
      <c r="I30" s="61">
        <f t="shared" si="22"/>
        <v>21274.400000000001</v>
      </c>
      <c r="J30" s="61">
        <f t="shared" si="23"/>
        <v>3500</v>
      </c>
      <c r="K30" s="61">
        <f t="shared" si="23"/>
        <v>4070.4000000000015</v>
      </c>
      <c r="L30" s="39"/>
      <c r="M30" s="61">
        <v>5748</v>
      </c>
      <c r="N30" s="61">
        <v>11500</v>
      </c>
      <c r="O30" s="17" t="str">
        <f t="shared" si="24"/>
        <v>1.00 Months</v>
      </c>
      <c r="P30" s="17" t="str">
        <f t="shared" si="25"/>
        <v>100.00 %</v>
      </c>
      <c r="Q30" s="61">
        <f t="shared" si="26"/>
        <v>5752</v>
      </c>
      <c r="R30" s="61">
        <v>8500</v>
      </c>
      <c r="S30" s="17" t="str">
        <f t="shared" si="27"/>
        <v>0.74 Months</v>
      </c>
      <c r="T30" s="77" t="str">
        <f t="shared" si="28"/>
        <v>73.91 %</v>
      </c>
      <c r="U30" s="139">
        <f t="shared" si="29"/>
        <v>20000</v>
      </c>
      <c r="V30" s="126" t="str">
        <f t="shared" si="30"/>
        <v>1.74 Months</v>
      </c>
      <c r="W30" s="126" t="str">
        <f t="shared" si="31"/>
        <v>173.91 %</v>
      </c>
      <c r="X30" s="140">
        <f t="shared" si="32"/>
        <v>14252</v>
      </c>
      <c r="Y30" s="43"/>
    </row>
    <row r="31" spans="1:25" s="1" customFormat="1" ht="34.950000000000003" customHeight="1">
      <c r="A31" s="13">
        <v>10</v>
      </c>
      <c r="B31" s="20" t="s">
        <v>162</v>
      </c>
      <c r="C31" s="15" t="s">
        <v>64</v>
      </c>
      <c r="D31" s="16">
        <v>39827</v>
      </c>
      <c r="E31" s="60">
        <v>12000</v>
      </c>
      <c r="F31" s="60">
        <v>18274</v>
      </c>
      <c r="G31" s="69">
        <f t="shared" si="21"/>
        <v>0.25</v>
      </c>
      <c r="H31" s="61">
        <v>15000</v>
      </c>
      <c r="I31" s="61">
        <f t="shared" si="22"/>
        <v>21901.4</v>
      </c>
      <c r="J31" s="61">
        <f t="shared" si="23"/>
        <v>3000</v>
      </c>
      <c r="K31" s="61">
        <f t="shared" si="23"/>
        <v>3627.4000000000015</v>
      </c>
      <c r="L31" s="39"/>
      <c r="M31" s="61">
        <v>15750</v>
      </c>
      <c r="N31" s="61">
        <v>12000</v>
      </c>
      <c r="O31" s="17" t="str">
        <f t="shared" si="24"/>
        <v>1.00 Months</v>
      </c>
      <c r="P31" s="17" t="str">
        <f t="shared" si="25"/>
        <v>100.00 %</v>
      </c>
      <c r="Q31" s="61">
        <f t="shared" si="26"/>
        <v>-3750</v>
      </c>
      <c r="R31" s="61">
        <v>6000</v>
      </c>
      <c r="S31" s="17" t="str">
        <f t="shared" si="27"/>
        <v>0.50 Months</v>
      </c>
      <c r="T31" s="77" t="str">
        <f t="shared" si="28"/>
        <v>50.00 %</v>
      </c>
      <c r="U31" s="139">
        <f t="shared" si="29"/>
        <v>18000</v>
      </c>
      <c r="V31" s="126" t="str">
        <f t="shared" si="30"/>
        <v>1.50 Months</v>
      </c>
      <c r="W31" s="126" t="str">
        <f t="shared" si="31"/>
        <v>150.00 %</v>
      </c>
      <c r="X31" s="140">
        <f t="shared" si="32"/>
        <v>2250</v>
      </c>
      <c r="Y31" s="43"/>
    </row>
    <row r="32" spans="1:25" s="1" customFormat="1" ht="35.1" customHeight="1">
      <c r="A32" s="13">
        <v>11</v>
      </c>
      <c r="B32" s="20" t="s">
        <v>156</v>
      </c>
      <c r="C32" s="15" t="s">
        <v>66</v>
      </c>
      <c r="D32" s="16">
        <v>42186</v>
      </c>
      <c r="E32" s="60">
        <v>11284</v>
      </c>
      <c r="F32" s="60">
        <v>17303</v>
      </c>
      <c r="G32" s="69">
        <f t="shared" si="21"/>
        <v>0.24069478908188585</v>
      </c>
      <c r="H32" s="61">
        <v>14000</v>
      </c>
      <c r="I32" s="61">
        <f t="shared" si="22"/>
        <v>20620.900000000001</v>
      </c>
      <c r="J32" s="61">
        <f t="shared" si="23"/>
        <v>2716</v>
      </c>
      <c r="K32" s="61">
        <f t="shared" si="23"/>
        <v>3317.9000000000015</v>
      </c>
      <c r="L32" s="39"/>
      <c r="M32" s="61">
        <v>18200</v>
      </c>
      <c r="N32" s="61">
        <v>11284</v>
      </c>
      <c r="O32" s="17" t="str">
        <f t="shared" si="24"/>
        <v>1.00 Months</v>
      </c>
      <c r="P32" s="17" t="str">
        <f t="shared" si="25"/>
        <v>100.00 %</v>
      </c>
      <c r="Q32" s="61">
        <f t="shared" si="26"/>
        <v>-6916</v>
      </c>
      <c r="R32" s="61">
        <v>8000</v>
      </c>
      <c r="S32" s="17" t="str">
        <f t="shared" si="27"/>
        <v>0.71 Months</v>
      </c>
      <c r="T32" s="77" t="str">
        <f t="shared" si="28"/>
        <v>70.90 %</v>
      </c>
      <c r="U32" s="139">
        <f t="shared" si="29"/>
        <v>19284</v>
      </c>
      <c r="V32" s="126" t="str">
        <f t="shared" si="30"/>
        <v>1.71 Months</v>
      </c>
      <c r="W32" s="126" t="str">
        <f t="shared" si="31"/>
        <v>170.90 %</v>
      </c>
      <c r="X32" s="140">
        <f t="shared" si="32"/>
        <v>1084</v>
      </c>
      <c r="Y32" s="43"/>
    </row>
    <row r="33" spans="1:25" s="1" customFormat="1" ht="35.1" customHeight="1">
      <c r="A33" s="13">
        <v>12</v>
      </c>
      <c r="B33" s="20" t="s">
        <v>166</v>
      </c>
      <c r="C33" s="15" t="s">
        <v>68</v>
      </c>
      <c r="D33" s="16">
        <v>41105</v>
      </c>
      <c r="E33" s="60">
        <v>11160</v>
      </c>
      <c r="F33" s="60">
        <v>17442</v>
      </c>
      <c r="G33" s="69">
        <f t="shared" si="21"/>
        <v>0.20967741935483872</v>
      </c>
      <c r="H33" s="61">
        <v>13500</v>
      </c>
      <c r="I33" s="61">
        <f t="shared" si="22"/>
        <v>20410.2</v>
      </c>
      <c r="J33" s="61">
        <f t="shared" si="23"/>
        <v>2340</v>
      </c>
      <c r="K33" s="61">
        <f t="shared" si="23"/>
        <v>2968.2000000000007</v>
      </c>
      <c r="L33" s="39"/>
      <c r="M33" s="61">
        <v>16000</v>
      </c>
      <c r="N33" s="61">
        <v>11160</v>
      </c>
      <c r="O33" s="17" t="str">
        <f t="shared" si="24"/>
        <v>1.00 Months</v>
      </c>
      <c r="P33" s="17" t="str">
        <f t="shared" si="25"/>
        <v>100.00 %</v>
      </c>
      <c r="Q33" s="61">
        <f t="shared" si="26"/>
        <v>-4840</v>
      </c>
      <c r="R33" s="61">
        <v>7000</v>
      </c>
      <c r="S33" s="17" t="str">
        <f t="shared" si="27"/>
        <v>0.63 Months</v>
      </c>
      <c r="T33" s="77" t="str">
        <f t="shared" si="28"/>
        <v>62.72 %</v>
      </c>
      <c r="U33" s="139">
        <f t="shared" si="29"/>
        <v>18160</v>
      </c>
      <c r="V33" s="126" t="str">
        <f t="shared" si="30"/>
        <v>1.63 Months</v>
      </c>
      <c r="W33" s="126" t="str">
        <f t="shared" si="31"/>
        <v>162.72 %</v>
      </c>
      <c r="X33" s="140">
        <f t="shared" si="32"/>
        <v>2160</v>
      </c>
      <c r="Y33" s="43"/>
    </row>
    <row r="34" spans="1:25" s="1" customFormat="1" ht="35.1" customHeight="1">
      <c r="A34" s="13">
        <v>13</v>
      </c>
      <c r="B34" s="20" t="s">
        <v>169</v>
      </c>
      <c r="C34" s="15" t="s">
        <v>70</v>
      </c>
      <c r="D34" s="16">
        <v>39583</v>
      </c>
      <c r="E34" s="60">
        <v>10000</v>
      </c>
      <c r="F34" s="60">
        <v>15208</v>
      </c>
      <c r="G34" s="69">
        <f t="shared" si="21"/>
        <v>0.2</v>
      </c>
      <c r="H34" s="61">
        <v>12000</v>
      </c>
      <c r="I34" s="61">
        <f t="shared" si="22"/>
        <v>17728.8</v>
      </c>
      <c r="J34" s="61">
        <f t="shared" si="23"/>
        <v>2000</v>
      </c>
      <c r="K34" s="61">
        <f t="shared" si="23"/>
        <v>2520.7999999999993</v>
      </c>
      <c r="L34" s="39"/>
      <c r="M34" s="61">
        <v>12000</v>
      </c>
      <c r="N34" s="61">
        <v>10000</v>
      </c>
      <c r="O34" s="17" t="str">
        <f t="shared" si="24"/>
        <v>1.00 Months</v>
      </c>
      <c r="P34" s="17" t="str">
        <f t="shared" si="25"/>
        <v>100.00 %</v>
      </c>
      <c r="Q34" s="61">
        <f t="shared" si="26"/>
        <v>-2000</v>
      </c>
      <c r="R34" s="61">
        <v>5000</v>
      </c>
      <c r="S34" s="17" t="str">
        <f t="shared" si="27"/>
        <v>0.50 Months</v>
      </c>
      <c r="T34" s="77" t="str">
        <f t="shared" si="28"/>
        <v>50.00 %</v>
      </c>
      <c r="U34" s="139">
        <f t="shared" si="29"/>
        <v>15000</v>
      </c>
      <c r="V34" s="126" t="str">
        <f t="shared" si="30"/>
        <v>1.50 Months</v>
      </c>
      <c r="W34" s="126" t="str">
        <f t="shared" si="31"/>
        <v>150.00 %</v>
      </c>
      <c r="X34" s="140">
        <f t="shared" si="32"/>
        <v>3000</v>
      </c>
      <c r="Y34" s="43"/>
    </row>
    <row r="35" spans="1:25" s="1" customFormat="1" ht="35.1" customHeight="1">
      <c r="A35" s="13">
        <v>14</v>
      </c>
      <c r="B35" s="20" t="s">
        <v>164</v>
      </c>
      <c r="C35" s="15" t="s">
        <v>72</v>
      </c>
      <c r="D35" s="16">
        <v>40724</v>
      </c>
      <c r="E35" s="60">
        <v>9000</v>
      </c>
      <c r="F35" s="60">
        <v>14580</v>
      </c>
      <c r="G35" s="69">
        <f t="shared" si="21"/>
        <v>0.22222222222222221</v>
      </c>
      <c r="H35" s="61">
        <v>11000</v>
      </c>
      <c r="I35" s="61">
        <f t="shared" si="22"/>
        <v>17138</v>
      </c>
      <c r="J35" s="61">
        <f t="shared" si="23"/>
        <v>2000</v>
      </c>
      <c r="K35" s="61">
        <f t="shared" si="23"/>
        <v>2558</v>
      </c>
      <c r="L35" s="39"/>
      <c r="M35" s="61">
        <v>13000</v>
      </c>
      <c r="N35" s="61">
        <v>9000</v>
      </c>
      <c r="O35" s="17" t="str">
        <f t="shared" si="24"/>
        <v>1.00 Months</v>
      </c>
      <c r="P35" s="17" t="str">
        <f t="shared" si="25"/>
        <v>100.00 %</v>
      </c>
      <c r="Q35" s="61">
        <f t="shared" si="26"/>
        <v>-4000</v>
      </c>
      <c r="R35" s="61">
        <v>6000</v>
      </c>
      <c r="S35" s="17" t="str">
        <f t="shared" si="27"/>
        <v>0.67 Months</v>
      </c>
      <c r="T35" s="77" t="str">
        <f t="shared" si="28"/>
        <v>66.67 %</v>
      </c>
      <c r="U35" s="139">
        <f t="shared" si="29"/>
        <v>15000</v>
      </c>
      <c r="V35" s="126" t="str">
        <f t="shared" si="30"/>
        <v>1.67 Months</v>
      </c>
      <c r="W35" s="126" t="str">
        <f t="shared" si="31"/>
        <v>166.67 %</v>
      </c>
      <c r="X35" s="140">
        <f t="shared" si="32"/>
        <v>2000</v>
      </c>
      <c r="Y35" s="43"/>
    </row>
    <row r="36" spans="1:25" s="1" customFormat="1" ht="35.1" customHeight="1">
      <c r="A36" s="13">
        <v>15</v>
      </c>
      <c r="B36" s="20" t="s">
        <v>154</v>
      </c>
      <c r="C36" s="15" t="s">
        <v>72</v>
      </c>
      <c r="D36" s="16">
        <v>43240</v>
      </c>
      <c r="E36" s="60">
        <v>8750</v>
      </c>
      <c r="F36" s="60">
        <v>13588</v>
      </c>
      <c r="G36" s="69">
        <f t="shared" si="21"/>
        <v>0.25714285714285712</v>
      </c>
      <c r="H36" s="61">
        <v>11000</v>
      </c>
      <c r="I36" s="61">
        <f t="shared" si="22"/>
        <v>16321.8</v>
      </c>
      <c r="J36" s="61">
        <f t="shared" si="23"/>
        <v>2250</v>
      </c>
      <c r="K36" s="61">
        <f t="shared" si="23"/>
        <v>2733.7999999999993</v>
      </c>
      <c r="L36" s="39"/>
      <c r="M36" s="61">
        <v>15000</v>
      </c>
      <c r="N36" s="61">
        <v>8750</v>
      </c>
      <c r="O36" s="17" t="str">
        <f t="shared" si="24"/>
        <v>1.00 Months</v>
      </c>
      <c r="P36" s="17" t="str">
        <f t="shared" si="25"/>
        <v>100.00 %</v>
      </c>
      <c r="Q36" s="61">
        <f t="shared" si="26"/>
        <v>-6250</v>
      </c>
      <c r="R36" s="61">
        <v>6250</v>
      </c>
      <c r="S36" s="17" t="str">
        <f t="shared" si="27"/>
        <v>0.71 Months</v>
      </c>
      <c r="T36" s="77" t="str">
        <f t="shared" si="28"/>
        <v>71.43 %</v>
      </c>
      <c r="U36" s="139">
        <f t="shared" si="29"/>
        <v>15000</v>
      </c>
      <c r="V36" s="126" t="str">
        <f t="shared" si="30"/>
        <v>1.71 Months</v>
      </c>
      <c r="W36" s="126" t="str">
        <f t="shared" si="31"/>
        <v>171.43 %</v>
      </c>
      <c r="X36" s="140">
        <f t="shared" si="32"/>
        <v>0</v>
      </c>
      <c r="Y36" s="43"/>
    </row>
    <row r="37" spans="1:25" s="1" customFormat="1" ht="35.1" customHeight="1">
      <c r="A37" s="13">
        <v>16</v>
      </c>
      <c r="B37" s="20" t="s">
        <v>171</v>
      </c>
      <c r="C37" s="15" t="s">
        <v>75</v>
      </c>
      <c r="D37" s="16">
        <v>39264</v>
      </c>
      <c r="E37" s="60">
        <v>26000</v>
      </c>
      <c r="F37" s="60">
        <v>26500</v>
      </c>
      <c r="G37" s="69">
        <f t="shared" si="21"/>
        <v>0.23076923076923078</v>
      </c>
      <c r="H37" s="61">
        <v>32000</v>
      </c>
      <c r="I37" s="61">
        <f t="shared" si="22"/>
        <v>32550</v>
      </c>
      <c r="J37" s="61">
        <f t="shared" si="23"/>
        <v>6000</v>
      </c>
      <c r="K37" s="61">
        <f t="shared" si="23"/>
        <v>6050</v>
      </c>
      <c r="L37" s="39"/>
      <c r="M37" s="61">
        <v>40000</v>
      </c>
      <c r="N37" s="61">
        <v>0</v>
      </c>
      <c r="O37" s="17" t="str">
        <f t="shared" si="24"/>
        <v>No Bonus</v>
      </c>
      <c r="P37" s="17" t="str">
        <f t="shared" si="25"/>
        <v>No Bonus</v>
      </c>
      <c r="Q37" s="61">
        <f t="shared" si="26"/>
        <v>-40000</v>
      </c>
      <c r="R37" s="61"/>
      <c r="S37" s="17" t="str">
        <f t="shared" si="27"/>
        <v>No Bonus</v>
      </c>
      <c r="T37" s="77" t="str">
        <f t="shared" si="28"/>
        <v>No Bonus</v>
      </c>
      <c r="U37" s="139">
        <f t="shared" si="29"/>
        <v>0</v>
      </c>
      <c r="V37" s="126" t="str">
        <f t="shared" si="30"/>
        <v>No Bonus</v>
      </c>
      <c r="W37" s="126" t="str">
        <f t="shared" si="31"/>
        <v>No Bonus</v>
      </c>
      <c r="X37" s="140">
        <f t="shared" si="32"/>
        <v>-40000</v>
      </c>
      <c r="Y37" s="90" t="s">
        <v>106</v>
      </c>
    </row>
    <row r="38" spans="1:25" s="1" customFormat="1" ht="35.1" customHeight="1">
      <c r="A38" s="13">
        <v>17</v>
      </c>
      <c r="B38" s="20" t="s">
        <v>168</v>
      </c>
      <c r="C38" s="15" t="s">
        <v>77</v>
      </c>
      <c r="D38" s="16">
        <v>43273</v>
      </c>
      <c r="E38" s="60">
        <v>12600</v>
      </c>
      <c r="F38" s="60">
        <v>19410</v>
      </c>
      <c r="G38" s="69">
        <f t="shared" si="21"/>
        <v>0.26984126984126983</v>
      </c>
      <c r="H38" s="61">
        <v>16000</v>
      </c>
      <c r="I38" s="61">
        <f t="shared" si="22"/>
        <v>23491</v>
      </c>
      <c r="J38" s="61">
        <f t="shared" si="23"/>
        <v>3400</v>
      </c>
      <c r="K38" s="61">
        <f t="shared" si="23"/>
        <v>4081</v>
      </c>
      <c r="L38" s="39"/>
      <c r="M38" s="61">
        <v>30000</v>
      </c>
      <c r="N38" s="61">
        <v>12600</v>
      </c>
      <c r="O38" s="17" t="str">
        <f t="shared" si="24"/>
        <v>1.00 Months</v>
      </c>
      <c r="P38" s="17" t="str">
        <f t="shared" si="25"/>
        <v>100.00 %</v>
      </c>
      <c r="Q38" s="61">
        <f t="shared" si="26"/>
        <v>-17400</v>
      </c>
      <c r="R38" s="61">
        <v>12600</v>
      </c>
      <c r="S38" s="17" t="str">
        <f t="shared" si="27"/>
        <v>1.00 Months</v>
      </c>
      <c r="T38" s="77" t="str">
        <f t="shared" si="28"/>
        <v>100.00 %</v>
      </c>
      <c r="U38" s="139">
        <f t="shared" si="29"/>
        <v>25200</v>
      </c>
      <c r="V38" s="126" t="str">
        <f t="shared" si="30"/>
        <v>2.00 Months</v>
      </c>
      <c r="W38" s="126" t="str">
        <f t="shared" si="31"/>
        <v>200.00 %</v>
      </c>
      <c r="X38" s="140">
        <f t="shared" si="32"/>
        <v>-4800</v>
      </c>
      <c r="Y38" s="95"/>
    </row>
    <row r="39" spans="1:25" s="1" customFormat="1" ht="35.1" customHeight="1">
      <c r="A39" s="13">
        <v>18</v>
      </c>
      <c r="B39" s="20" t="s">
        <v>170</v>
      </c>
      <c r="C39" s="15" t="s">
        <v>79</v>
      </c>
      <c r="D39" s="16">
        <v>45173</v>
      </c>
      <c r="E39" s="60">
        <v>6500</v>
      </c>
      <c r="F39" s="60">
        <v>9987</v>
      </c>
      <c r="G39" s="69">
        <f t="shared" si="21"/>
        <v>0.53846153846153844</v>
      </c>
      <c r="H39" s="61">
        <v>10000</v>
      </c>
      <c r="I39" s="61">
        <f t="shared" si="22"/>
        <v>13835.7</v>
      </c>
      <c r="J39" s="61">
        <f t="shared" si="23"/>
        <v>3500</v>
      </c>
      <c r="K39" s="61">
        <f t="shared" si="23"/>
        <v>3848.7000000000007</v>
      </c>
      <c r="L39" s="39"/>
      <c r="M39" s="61">
        <v>2166</v>
      </c>
      <c r="N39" s="61">
        <v>6000</v>
      </c>
      <c r="O39" s="17" t="str">
        <f t="shared" si="24"/>
        <v>0.92 Months</v>
      </c>
      <c r="P39" s="17" t="str">
        <f t="shared" si="25"/>
        <v>92.31 %</v>
      </c>
      <c r="Q39" s="61">
        <f t="shared" si="26"/>
        <v>3834</v>
      </c>
      <c r="R39" s="61">
        <v>4000</v>
      </c>
      <c r="S39" s="17" t="str">
        <f t="shared" si="27"/>
        <v>0.62 Months</v>
      </c>
      <c r="T39" s="77" t="str">
        <f t="shared" si="28"/>
        <v>61.54 %</v>
      </c>
      <c r="U39" s="139">
        <f t="shared" si="29"/>
        <v>10000</v>
      </c>
      <c r="V39" s="126" t="str">
        <f t="shared" si="30"/>
        <v>1.54 Months</v>
      </c>
      <c r="W39" s="126" t="str">
        <f t="shared" si="31"/>
        <v>153.85 %</v>
      </c>
      <c r="X39" s="140">
        <f t="shared" si="32"/>
        <v>7834</v>
      </c>
      <c r="Y39" s="17"/>
    </row>
    <row r="40" spans="1:25" s="1" customFormat="1" ht="35.1" customHeight="1">
      <c r="A40" s="13">
        <v>19</v>
      </c>
      <c r="B40" s="20" t="s">
        <v>160</v>
      </c>
      <c r="C40" s="15" t="s">
        <v>56</v>
      </c>
      <c r="D40" s="16">
        <v>45438</v>
      </c>
      <c r="E40" s="60">
        <v>18000</v>
      </c>
      <c r="F40" s="60">
        <v>24300</v>
      </c>
      <c r="G40" s="69">
        <f t="shared" si="21"/>
        <v>0</v>
      </c>
      <c r="H40" s="61">
        <v>18000</v>
      </c>
      <c r="I40" s="61">
        <f t="shared" si="22"/>
        <v>24930</v>
      </c>
      <c r="J40" s="61">
        <f t="shared" si="23"/>
        <v>0</v>
      </c>
      <c r="K40" s="61">
        <f t="shared" si="23"/>
        <v>630</v>
      </c>
      <c r="L40" s="39"/>
      <c r="M40" s="61">
        <v>0</v>
      </c>
      <c r="N40" s="61">
        <v>10500</v>
      </c>
      <c r="O40" s="17" t="str">
        <f t="shared" si="24"/>
        <v>0.58 Months</v>
      </c>
      <c r="P40" s="17" t="str">
        <f t="shared" si="25"/>
        <v>58.33 %</v>
      </c>
      <c r="Q40" s="61">
        <f t="shared" si="26"/>
        <v>10500</v>
      </c>
      <c r="R40" s="61"/>
      <c r="S40" s="17" t="str">
        <f t="shared" si="27"/>
        <v>No Bonus</v>
      </c>
      <c r="T40" s="77" t="str">
        <f t="shared" si="28"/>
        <v>No Bonus</v>
      </c>
      <c r="U40" s="139">
        <f t="shared" si="29"/>
        <v>10500</v>
      </c>
      <c r="V40" s="126" t="str">
        <f t="shared" si="30"/>
        <v>0.58 Months</v>
      </c>
      <c r="W40" s="126" t="str">
        <f t="shared" si="31"/>
        <v>58.33 %</v>
      </c>
      <c r="X40" s="140">
        <f t="shared" si="32"/>
        <v>10500</v>
      </c>
      <c r="Y40" s="77" t="s">
        <v>109</v>
      </c>
    </row>
    <row r="41" spans="1:25" s="1" customFormat="1" ht="35.1" customHeight="1">
      <c r="A41" s="13">
        <v>20</v>
      </c>
      <c r="B41" s="20" t="s">
        <v>165</v>
      </c>
      <c r="C41" s="15" t="s">
        <v>82</v>
      </c>
      <c r="D41" s="16">
        <v>45505</v>
      </c>
      <c r="E41" s="60">
        <v>7000</v>
      </c>
      <c r="F41" s="60">
        <v>10700</v>
      </c>
      <c r="G41" s="69">
        <f t="shared" si="21"/>
        <v>0</v>
      </c>
      <c r="H41" s="61">
        <v>7000</v>
      </c>
      <c r="I41" s="61">
        <f t="shared" si="22"/>
        <v>11070</v>
      </c>
      <c r="J41" s="61">
        <f t="shared" si="23"/>
        <v>0</v>
      </c>
      <c r="K41" s="61">
        <f t="shared" si="23"/>
        <v>370</v>
      </c>
      <c r="L41" s="39"/>
      <c r="M41" s="61">
        <v>0</v>
      </c>
      <c r="N41" s="61">
        <v>2915</v>
      </c>
      <c r="O41" s="17" t="str">
        <f t="shared" si="24"/>
        <v>0.42 Months</v>
      </c>
      <c r="P41" s="17" t="str">
        <f t="shared" si="25"/>
        <v>41.64 %</v>
      </c>
      <c r="Q41" s="61">
        <f t="shared" si="26"/>
        <v>2915</v>
      </c>
      <c r="R41" s="61">
        <v>1550</v>
      </c>
      <c r="S41" s="17" t="str">
        <f t="shared" si="27"/>
        <v>0.22 Months</v>
      </c>
      <c r="T41" s="77" t="str">
        <f t="shared" si="28"/>
        <v>22.14 %</v>
      </c>
      <c r="U41" s="139">
        <f t="shared" si="29"/>
        <v>4465</v>
      </c>
      <c r="V41" s="126" t="str">
        <f t="shared" si="30"/>
        <v>0.64 Months</v>
      </c>
      <c r="W41" s="126" t="str">
        <f t="shared" si="31"/>
        <v>63.79 %</v>
      </c>
      <c r="X41" s="140">
        <f t="shared" si="32"/>
        <v>4465</v>
      </c>
      <c r="Y41" s="77" t="s">
        <v>110</v>
      </c>
    </row>
    <row r="42" spans="1:25" s="1" customFormat="1" ht="35.1" customHeight="1" thickBot="1">
      <c r="A42" s="162" t="s">
        <v>83</v>
      </c>
      <c r="B42" s="163"/>
      <c r="C42" s="163"/>
      <c r="D42" s="25"/>
      <c r="E42" s="68">
        <f t="shared" ref="E42:I42" si="33">SUM(E22:E41)</f>
        <v>392769</v>
      </c>
      <c r="F42" s="68">
        <f t="shared" si="33"/>
        <v>553827</v>
      </c>
      <c r="G42" s="106">
        <f t="shared" si="21"/>
        <v>0.30993026435385684</v>
      </c>
      <c r="H42" s="68">
        <f t="shared" si="33"/>
        <v>514500</v>
      </c>
      <c r="I42" s="68">
        <f t="shared" si="33"/>
        <v>691663.8</v>
      </c>
      <c r="J42" s="68">
        <f t="shared" ref="J42:N42" si="34">SUM(J22:J41)</f>
        <v>121731</v>
      </c>
      <c r="K42" s="68">
        <f t="shared" si="34"/>
        <v>137836.79999999999</v>
      </c>
      <c r="L42" s="26"/>
      <c r="M42" s="68">
        <f t="shared" si="34"/>
        <v>741364</v>
      </c>
      <c r="N42" s="68">
        <f t="shared" si="34"/>
        <v>269684</v>
      </c>
      <c r="O42" s="104"/>
      <c r="P42" s="104"/>
      <c r="Q42" s="146">
        <f>SUM(Q22:Q41)</f>
        <v>-471680</v>
      </c>
      <c r="R42" s="146">
        <f>SUM(R22:R41)</f>
        <v>649575</v>
      </c>
      <c r="S42" s="142"/>
      <c r="T42" s="143"/>
      <c r="U42" s="147">
        <f>SUM(U22:U41)</f>
        <v>919259</v>
      </c>
      <c r="V42" s="145"/>
      <c r="W42" s="145"/>
      <c r="X42" s="140">
        <f>SUM(X22:X41)</f>
        <v>177895</v>
      </c>
      <c r="Y42" s="96"/>
    </row>
    <row r="43" spans="1:25" s="1" customFormat="1" ht="35.1" customHeight="1">
      <c r="A43" s="7">
        <v>1</v>
      </c>
      <c r="B43" s="27" t="s">
        <v>172</v>
      </c>
      <c r="C43" s="28" t="s">
        <v>85</v>
      </c>
      <c r="D43" s="29" t="s">
        <v>86</v>
      </c>
      <c r="E43" s="66">
        <v>45000</v>
      </c>
      <c r="F43" s="66">
        <v>45000</v>
      </c>
      <c r="G43" s="73">
        <f t="shared" si="21"/>
        <v>0</v>
      </c>
      <c r="H43" s="66">
        <v>45000</v>
      </c>
      <c r="I43" s="67">
        <f t="shared" ref="I43:I47" si="35">((F43-E43)+H43)+($H$1*(F43-E43))</f>
        <v>45000</v>
      </c>
      <c r="J43" s="11">
        <f t="shared" ref="J43:K47" si="36">H43-E43</f>
        <v>0</v>
      </c>
      <c r="K43" s="11">
        <f t="shared" si="36"/>
        <v>0</v>
      </c>
      <c r="L43" s="38"/>
      <c r="M43" s="67">
        <v>52500</v>
      </c>
      <c r="N43" s="67">
        <v>0</v>
      </c>
      <c r="O43" s="11" t="str">
        <f t="shared" ref="O43:O47" si="37">IF(N43=0,"No Bonus",TEXT(N43/E43,"0.00")&amp;" Months")</f>
        <v>No Bonus</v>
      </c>
      <c r="P43" s="11" t="str">
        <f>IF(N43=0,"No Bonus",TEXT((N43/E43)*100,"0.00")&amp;" %")</f>
        <v>No Bonus</v>
      </c>
      <c r="Q43" s="61">
        <f>N43-M43</f>
        <v>-52500</v>
      </c>
      <c r="R43" s="61"/>
      <c r="S43" s="17" t="str">
        <f t="shared" ref="S43:S47" si="38">IF(R43=0,"No Bonus",TEXT(R43/E43,"0.00")&amp;" Months")</f>
        <v>No Bonus</v>
      </c>
      <c r="T43" s="77" t="str">
        <f t="shared" ref="T43:T47" si="39">IF(R43=0,"No Bonus",TEXT((R43/E43)*100,"0.00")&amp;" %")</f>
        <v>No Bonus</v>
      </c>
      <c r="U43" s="139">
        <f t="shared" ref="U43:U47" si="40">N43+R43</f>
        <v>0</v>
      </c>
      <c r="V43" s="126" t="str">
        <f t="shared" ref="V43:V47" si="41">IF(U43=0,"No Bonus",TEXT(U43/E43,"0.00")&amp;" Months")</f>
        <v>No Bonus</v>
      </c>
      <c r="W43" s="126" t="str">
        <f t="shared" ref="W43:W47" si="42">IF(U43=0,"No Bonus",TEXT((U43/E43)*100,"0.00")&amp;" %")</f>
        <v>No Bonus</v>
      </c>
      <c r="X43" s="140">
        <f>(N43+R43)-M43</f>
        <v>-52500</v>
      </c>
      <c r="Y43" s="91"/>
    </row>
    <row r="44" spans="1:25" s="1" customFormat="1" ht="35.1" customHeight="1">
      <c r="A44" s="13">
        <v>2</v>
      </c>
      <c r="B44" s="30" t="s">
        <v>174</v>
      </c>
      <c r="C44" s="31" t="s">
        <v>88</v>
      </c>
      <c r="D44" s="32" t="s">
        <v>89</v>
      </c>
      <c r="E44" s="60">
        <v>20000</v>
      </c>
      <c r="F44" s="60">
        <v>20000</v>
      </c>
      <c r="G44" s="69">
        <f t="shared" si="21"/>
        <v>0</v>
      </c>
      <c r="H44" s="60">
        <v>20000</v>
      </c>
      <c r="I44" s="61">
        <f t="shared" si="35"/>
        <v>20000</v>
      </c>
      <c r="J44" s="17">
        <f t="shared" si="36"/>
        <v>0</v>
      </c>
      <c r="K44" s="17">
        <f t="shared" si="36"/>
        <v>0</v>
      </c>
      <c r="L44" s="39"/>
      <c r="M44" s="61"/>
      <c r="N44" s="61"/>
      <c r="O44" s="17" t="str">
        <f t="shared" si="37"/>
        <v>No Bonus</v>
      </c>
      <c r="P44" s="17" t="str">
        <f>IF(N44=0,"No Bonus",TEXT((N44/E44)*100,"0.00")&amp;" %")</f>
        <v>No Bonus</v>
      </c>
      <c r="Q44" s="61">
        <f>N44-M44</f>
        <v>0</v>
      </c>
      <c r="R44" s="61"/>
      <c r="S44" s="17" t="str">
        <f t="shared" si="38"/>
        <v>No Bonus</v>
      </c>
      <c r="T44" s="77" t="str">
        <f t="shared" si="39"/>
        <v>No Bonus</v>
      </c>
      <c r="U44" s="139">
        <f t="shared" si="40"/>
        <v>0</v>
      </c>
      <c r="V44" s="126" t="str">
        <f t="shared" si="41"/>
        <v>No Bonus</v>
      </c>
      <c r="W44" s="126" t="str">
        <f t="shared" si="42"/>
        <v>No Bonus</v>
      </c>
      <c r="X44" s="140">
        <f>(N44+R44)-M44</f>
        <v>0</v>
      </c>
      <c r="Y44" s="90"/>
    </row>
    <row r="45" spans="1:25" s="1" customFormat="1" ht="35.1" customHeight="1">
      <c r="A45" s="13">
        <v>3</v>
      </c>
      <c r="B45" s="30" t="s">
        <v>173</v>
      </c>
      <c r="C45" s="31" t="s">
        <v>88</v>
      </c>
      <c r="D45" s="32" t="s">
        <v>91</v>
      </c>
      <c r="E45" s="60">
        <v>30000</v>
      </c>
      <c r="F45" s="60">
        <v>30000</v>
      </c>
      <c r="G45" s="69">
        <f t="shared" si="21"/>
        <v>0</v>
      </c>
      <c r="H45" s="60">
        <v>30000</v>
      </c>
      <c r="I45" s="61">
        <f t="shared" si="35"/>
        <v>30000</v>
      </c>
      <c r="J45" s="17">
        <f t="shared" si="36"/>
        <v>0</v>
      </c>
      <c r="K45" s="17">
        <f t="shared" si="36"/>
        <v>0</v>
      </c>
      <c r="L45" s="39"/>
      <c r="M45" s="61"/>
      <c r="N45" s="61"/>
      <c r="O45" s="17" t="str">
        <f t="shared" si="37"/>
        <v>No Bonus</v>
      </c>
      <c r="P45" s="17" t="str">
        <f>IF(N45=0,"No Bonus",TEXT((N45/E45)*100,"0.00")&amp;" %")</f>
        <v>No Bonus</v>
      </c>
      <c r="Q45" s="61">
        <f>N45-M45</f>
        <v>0</v>
      </c>
      <c r="R45" s="61"/>
      <c r="S45" s="17" t="str">
        <f t="shared" si="38"/>
        <v>No Bonus</v>
      </c>
      <c r="T45" s="77" t="str">
        <f t="shared" si="39"/>
        <v>No Bonus</v>
      </c>
      <c r="U45" s="139">
        <f t="shared" si="40"/>
        <v>0</v>
      </c>
      <c r="V45" s="126" t="str">
        <f t="shared" si="41"/>
        <v>No Bonus</v>
      </c>
      <c r="W45" s="126" t="str">
        <f t="shared" si="42"/>
        <v>No Bonus</v>
      </c>
      <c r="X45" s="140">
        <f>(N45+R45)-M45</f>
        <v>0</v>
      </c>
      <c r="Y45" s="90"/>
    </row>
    <row r="46" spans="1:25" s="1" customFormat="1" ht="35.1" customHeight="1">
      <c r="A46" s="13">
        <v>4</v>
      </c>
      <c r="B46" s="30" t="s">
        <v>175</v>
      </c>
      <c r="C46" s="31" t="s">
        <v>88</v>
      </c>
      <c r="D46" s="32" t="s">
        <v>91</v>
      </c>
      <c r="E46" s="60">
        <v>35000</v>
      </c>
      <c r="F46" s="60">
        <v>35000</v>
      </c>
      <c r="G46" s="69">
        <f t="shared" si="21"/>
        <v>0</v>
      </c>
      <c r="H46" s="60">
        <v>35000</v>
      </c>
      <c r="I46" s="61">
        <f t="shared" si="35"/>
        <v>35000</v>
      </c>
      <c r="J46" s="17">
        <f t="shared" si="36"/>
        <v>0</v>
      </c>
      <c r="K46" s="17">
        <f t="shared" si="36"/>
        <v>0</v>
      </c>
      <c r="L46" s="39"/>
      <c r="M46" s="61"/>
      <c r="N46" s="61"/>
      <c r="O46" s="17" t="str">
        <f t="shared" si="37"/>
        <v>No Bonus</v>
      </c>
      <c r="P46" s="17" t="str">
        <f>IF(N46=0,"No Bonus",TEXT((N46/E46)*100,"0.00")&amp;" %")</f>
        <v>No Bonus</v>
      </c>
      <c r="Q46" s="61">
        <f>N46-M46</f>
        <v>0</v>
      </c>
      <c r="R46" s="61"/>
      <c r="S46" s="17" t="str">
        <f t="shared" si="38"/>
        <v>No Bonus</v>
      </c>
      <c r="T46" s="77" t="str">
        <f t="shared" si="39"/>
        <v>No Bonus</v>
      </c>
      <c r="U46" s="139">
        <f t="shared" si="40"/>
        <v>0</v>
      </c>
      <c r="V46" s="126" t="str">
        <f t="shared" si="41"/>
        <v>No Bonus</v>
      </c>
      <c r="W46" s="126" t="str">
        <f t="shared" si="42"/>
        <v>No Bonus</v>
      </c>
      <c r="X46" s="140">
        <f>(N46+R46)-M46</f>
        <v>0</v>
      </c>
      <c r="Y46" s="90"/>
    </row>
    <row r="47" spans="1:25" s="1" customFormat="1" ht="35.1" customHeight="1">
      <c r="A47" s="13">
        <v>5</v>
      </c>
      <c r="B47" s="30" t="s">
        <v>176</v>
      </c>
      <c r="C47" s="31" t="s">
        <v>93</v>
      </c>
      <c r="D47" s="32" t="s">
        <v>102</v>
      </c>
      <c r="E47" s="17">
        <v>0</v>
      </c>
      <c r="F47" s="17"/>
      <c r="G47" s="69" t="str">
        <f t="shared" si="21"/>
        <v>No Ratio</v>
      </c>
      <c r="H47" s="17">
        <v>25000</v>
      </c>
      <c r="I47" s="61">
        <f t="shared" si="35"/>
        <v>25000</v>
      </c>
      <c r="J47" s="17">
        <f t="shared" si="36"/>
        <v>25000</v>
      </c>
      <c r="K47" s="17">
        <f t="shared" si="36"/>
        <v>25000</v>
      </c>
      <c r="L47" s="39"/>
      <c r="M47" s="61"/>
      <c r="N47" s="61"/>
      <c r="O47" s="17" t="str">
        <f t="shared" si="37"/>
        <v>No Bonus</v>
      </c>
      <c r="P47" s="17" t="str">
        <f>IF(N47=0,"No Bonus",TEXT((N47/E47)*100,"0.00")&amp;" %")</f>
        <v>No Bonus</v>
      </c>
      <c r="Q47" s="61">
        <f>N47-M47</f>
        <v>0</v>
      </c>
      <c r="R47" s="61"/>
      <c r="S47" s="17" t="str">
        <f t="shared" si="38"/>
        <v>No Bonus</v>
      </c>
      <c r="T47" s="77" t="str">
        <f t="shared" si="39"/>
        <v>No Bonus</v>
      </c>
      <c r="U47" s="139">
        <f t="shared" si="40"/>
        <v>0</v>
      </c>
      <c r="V47" s="126" t="str">
        <f t="shared" si="41"/>
        <v>No Bonus</v>
      </c>
      <c r="W47" s="126" t="str">
        <f t="shared" si="42"/>
        <v>No Bonus</v>
      </c>
      <c r="X47" s="140">
        <f>(N47+R47)-M47</f>
        <v>0</v>
      </c>
      <c r="Y47" s="90"/>
    </row>
    <row r="48" spans="1:25" s="1" customFormat="1" ht="35.1" customHeight="1" thickBot="1">
      <c r="A48" s="162" t="s">
        <v>94</v>
      </c>
      <c r="B48" s="163"/>
      <c r="C48" s="163"/>
      <c r="D48" s="25"/>
      <c r="E48" s="68">
        <f t="shared" ref="E48:I48" si="43">SUM(E43:E47)</f>
        <v>130000</v>
      </c>
      <c r="F48" s="68">
        <f t="shared" si="43"/>
        <v>130000</v>
      </c>
      <c r="G48" s="48">
        <f>IFERROR((H48-E48)/E48,"No Ratio")</f>
        <v>0.19230769230769232</v>
      </c>
      <c r="H48" s="68">
        <f t="shared" si="43"/>
        <v>155000</v>
      </c>
      <c r="I48" s="68">
        <f t="shared" si="43"/>
        <v>155000</v>
      </c>
      <c r="J48" s="26">
        <f t="shared" ref="J48:N48" si="44">SUM(J43:J47)</f>
        <v>25000</v>
      </c>
      <c r="K48" s="26">
        <f t="shared" si="44"/>
        <v>25000</v>
      </c>
      <c r="L48" s="26"/>
      <c r="M48" s="68">
        <f t="shared" si="44"/>
        <v>52500</v>
      </c>
      <c r="N48" s="68">
        <f t="shared" si="44"/>
        <v>0</v>
      </c>
      <c r="O48" s="104"/>
      <c r="P48" s="104"/>
      <c r="Q48" s="146">
        <f>SUM(Q43:Q47)</f>
        <v>-52500</v>
      </c>
      <c r="R48" s="146">
        <f t="shared" ref="R48:X48" si="45">SUM(R43:R47)</f>
        <v>0</v>
      </c>
      <c r="S48" s="142"/>
      <c r="T48" s="143"/>
      <c r="U48" s="147">
        <f t="shared" si="45"/>
        <v>0</v>
      </c>
      <c r="V48" s="145"/>
      <c r="W48" s="145"/>
      <c r="X48" s="140">
        <f t="shared" si="45"/>
        <v>-52500</v>
      </c>
      <c r="Y48" s="110"/>
    </row>
    <row r="49" spans="1:25" s="1" customFormat="1" ht="35.1" customHeight="1" thickBot="1">
      <c r="A49" s="172" t="s">
        <v>95</v>
      </c>
      <c r="B49" s="173"/>
      <c r="C49" s="173"/>
      <c r="D49" s="33"/>
      <c r="E49" s="71">
        <f>SUM(E48,E42,E21,E6)</f>
        <v>1268119</v>
      </c>
      <c r="F49" s="71">
        <f>SUM(F48,F42,F21,F6)</f>
        <v>1605493</v>
      </c>
      <c r="G49" s="49">
        <f>IFERROR((H49-E49)/E49,"No average")</f>
        <v>0.33449621052913803</v>
      </c>
      <c r="H49" s="71">
        <f>SUM(H48,H42,H21,H6)</f>
        <v>1692300</v>
      </c>
      <c r="I49" s="71">
        <f>SUM(I48,I42,I21,I6)</f>
        <v>2063411.4</v>
      </c>
      <c r="J49" s="71">
        <f>SUM(J48,J42,J21,J6)</f>
        <v>424181</v>
      </c>
      <c r="K49" s="71">
        <f>SUM(K48,K42,K21,K6)</f>
        <v>457918.39999999991</v>
      </c>
      <c r="L49" s="34"/>
      <c r="M49" s="71">
        <f>SUM(M48,M42,M21,M6)</f>
        <v>2979197</v>
      </c>
      <c r="N49" s="71">
        <f>SUM(N48,N42,N21,N6)</f>
        <v>1010034</v>
      </c>
      <c r="O49" s="34"/>
      <c r="P49" s="34"/>
      <c r="Q49" s="133">
        <f>SUM(Q48,Q42,Q21,Q6)</f>
        <v>-1969163</v>
      </c>
      <c r="R49" s="133">
        <f>SUM(R48,R42,R21,R6)</f>
        <v>2500000</v>
      </c>
      <c r="S49" s="134"/>
      <c r="T49" s="135"/>
      <c r="U49" s="136">
        <f>SUM(U48,U42,U21,U6)</f>
        <v>3510034</v>
      </c>
      <c r="V49" s="137"/>
      <c r="W49" s="137"/>
      <c r="X49" s="138">
        <f>SUM(X48,X42,X21,X6)</f>
        <v>530837</v>
      </c>
      <c r="Y49" s="112"/>
    </row>
    <row r="50" spans="1:25" ht="35.1" customHeight="1" thickBot="1">
      <c r="A50" s="172" t="s">
        <v>97</v>
      </c>
      <c r="B50" s="173"/>
      <c r="C50" s="173"/>
      <c r="D50" s="33"/>
      <c r="E50" s="71">
        <f>SUM(E42,E21,E6)</f>
        <v>1138119</v>
      </c>
      <c r="F50" s="71">
        <f>SUM(F42,F21,F6)</f>
        <v>1475493</v>
      </c>
      <c r="G50" s="49">
        <f>IFERROR((H50-E50)/E50,"No average")</f>
        <v>0.35073748878632199</v>
      </c>
      <c r="H50" s="71">
        <f>SUM(H42,H21,H6)</f>
        <v>1537300</v>
      </c>
      <c r="I50" s="71">
        <f>SUM(I42,I21,I6)</f>
        <v>1908411.4</v>
      </c>
      <c r="J50" s="71">
        <f>SUM(J42,J21,J6)</f>
        <v>399181</v>
      </c>
      <c r="K50" s="71">
        <f>SUM(K42,K21,K6)</f>
        <v>432918.39999999991</v>
      </c>
      <c r="L50" s="34"/>
      <c r="M50" s="71">
        <f>SUM(M42,M21,M6)</f>
        <v>2926697</v>
      </c>
      <c r="N50" s="71">
        <f>SUM(N42,N21,N6)</f>
        <v>1010034</v>
      </c>
      <c r="O50" s="34"/>
      <c r="P50" s="34"/>
      <c r="Q50" s="71">
        <f>SUM(Q42,Q21,Q6)</f>
        <v>-1916663</v>
      </c>
      <c r="R50" s="71">
        <f>SUM(R42,R21,R6)</f>
        <v>2500000</v>
      </c>
      <c r="S50" s="34"/>
      <c r="T50" s="80"/>
      <c r="U50" s="111">
        <f>SUM(U42,U21,U6)</f>
        <v>3510034</v>
      </c>
      <c r="V50" s="127"/>
      <c r="W50" s="127"/>
      <c r="X50" s="128">
        <f>SUM(X42,X21,X6)</f>
        <v>583337</v>
      </c>
      <c r="Y50" s="112"/>
    </row>
    <row r="52" spans="1:25" ht="35.1" customHeight="1" thickBot="1"/>
    <row r="53" spans="1:25" s="1" customFormat="1" ht="35.1" customHeight="1">
      <c r="A53" s="164" t="s">
        <v>96</v>
      </c>
      <c r="B53" s="165"/>
      <c r="C53" s="83" t="s">
        <v>4</v>
      </c>
      <c r="D53" s="88" t="s">
        <v>7</v>
      </c>
      <c r="E53" s="89" t="s">
        <v>5</v>
      </c>
      <c r="F53" s="88" t="s">
        <v>8</v>
      </c>
      <c r="G53" s="89" t="s">
        <v>11</v>
      </c>
      <c r="H53"/>
      <c r="I53"/>
      <c r="J53"/>
      <c r="K53"/>
      <c r="L53"/>
      <c r="M53"/>
      <c r="N53"/>
      <c r="O53" s="81"/>
      <c r="P53"/>
      <c r="Q53" s="81"/>
      <c r="R53"/>
      <c r="S53"/>
      <c r="T53" s="81"/>
      <c r="U53" s="74"/>
      <c r="V53" s="74"/>
      <c r="W53" s="74"/>
      <c r="X53" s="74"/>
      <c r="Y53" s="74"/>
    </row>
    <row r="54" spans="1:25" s="1" customFormat="1" ht="35.1" customHeight="1">
      <c r="A54" s="166"/>
      <c r="B54" s="167"/>
      <c r="C54" s="87">
        <f>E49</f>
        <v>1268119</v>
      </c>
      <c r="D54" s="86">
        <f>H49</f>
        <v>1692300</v>
      </c>
      <c r="E54" s="87">
        <f>F49</f>
        <v>1605493</v>
      </c>
      <c r="F54" s="86">
        <f>I49</f>
        <v>2063411.4</v>
      </c>
      <c r="G54" s="108"/>
      <c r="H54"/>
      <c r="I54"/>
      <c r="J54"/>
      <c r="K54"/>
      <c r="L54"/>
      <c r="M54"/>
      <c r="N54"/>
      <c r="O54" s="81"/>
      <c r="P54"/>
      <c r="Q54" s="81"/>
      <c r="R54"/>
      <c r="S54"/>
      <c r="T54" s="81"/>
      <c r="U54" s="74"/>
      <c r="V54" s="74"/>
      <c r="W54" s="74"/>
      <c r="X54" s="74"/>
      <c r="Y54" s="74"/>
    </row>
    <row r="55" spans="1:25" ht="35.1" customHeight="1" thickBot="1">
      <c r="A55" s="168"/>
      <c r="B55" s="169"/>
      <c r="C55" s="174">
        <f t="shared" ref="C55:E55" si="46">IFERROR(((D54-C54)/C54),0)</f>
        <v>0.33449621052913803</v>
      </c>
      <c r="D55" s="171"/>
      <c r="E55" s="174">
        <f t="shared" si="46"/>
        <v>0.28521980475779085</v>
      </c>
      <c r="F55" s="171"/>
      <c r="G55" s="50">
        <f>IFERROR(((#REF!-G54)/G54),0)</f>
        <v>0</v>
      </c>
    </row>
    <row r="56" spans="1:25" ht="35.1" customHeight="1" thickBot="1"/>
    <row r="57" spans="1:25" ht="35.1" customHeight="1">
      <c r="A57" s="164" t="s">
        <v>98</v>
      </c>
      <c r="B57" s="165"/>
      <c r="C57" s="83" t="s">
        <v>4</v>
      </c>
      <c r="D57" s="88" t="s">
        <v>7</v>
      </c>
      <c r="E57" s="89" t="s">
        <v>5</v>
      </c>
      <c r="F57" s="88" t="s">
        <v>8</v>
      </c>
      <c r="G57" s="89" t="s">
        <v>11</v>
      </c>
    </row>
    <row r="58" spans="1:25" ht="35.1" customHeight="1">
      <c r="A58" s="166"/>
      <c r="B58" s="167"/>
      <c r="C58" s="87">
        <f>E50</f>
        <v>1138119</v>
      </c>
      <c r="D58" s="86">
        <f>H50</f>
        <v>1537300</v>
      </c>
      <c r="E58" s="87">
        <f>F50</f>
        <v>1475493</v>
      </c>
      <c r="F58" s="86">
        <f>I50</f>
        <v>1908411.4</v>
      </c>
      <c r="G58" s="108"/>
    </row>
    <row r="59" spans="1:25" ht="35.1" customHeight="1" thickBot="1">
      <c r="A59" s="168"/>
      <c r="B59" s="169"/>
      <c r="C59" s="170">
        <f t="shared" ref="C59" si="47">IFERROR(((D58-C58)/C58),0)</f>
        <v>0.35073748878632199</v>
      </c>
      <c r="D59" s="171"/>
      <c r="E59" s="170">
        <f t="shared" ref="E59" si="48">IFERROR(((F58-E58)/E58),0)</f>
        <v>0.29340593279669908</v>
      </c>
      <c r="F59" s="171"/>
      <c r="G59" s="51">
        <f>IFERROR(((#REF!-G58)/G58),0)</f>
        <v>0</v>
      </c>
    </row>
  </sheetData>
  <mergeCells count="12">
    <mergeCell ref="A50:C50"/>
    <mergeCell ref="A6:D6"/>
    <mergeCell ref="A21:C21"/>
    <mergeCell ref="A42:C42"/>
    <mergeCell ref="A48:C48"/>
    <mergeCell ref="A49:C49"/>
    <mergeCell ref="A53:B55"/>
    <mergeCell ref="C55:D55"/>
    <mergeCell ref="E55:F55"/>
    <mergeCell ref="A57:B59"/>
    <mergeCell ref="C59:D59"/>
    <mergeCell ref="E59:F59"/>
  </mergeCells>
  <pageMargins left="0.7" right="0.7" top="0.75" bottom="0.75" header="0.3" footer="0.3"/>
  <pageSetup paperSize="9" scale="50" fitToHeight="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8D75-6537-41A1-8178-C545991F1252}">
  <sheetPr>
    <pageSetUpPr fitToPage="1"/>
  </sheetPr>
  <dimension ref="B1:E15"/>
  <sheetViews>
    <sheetView workbookViewId="0">
      <selection activeCell="B6" sqref="B6"/>
    </sheetView>
  </sheetViews>
  <sheetFormatPr defaultRowHeight="14.4"/>
  <cols>
    <col min="2" max="2" width="28.77734375" customWidth="1"/>
    <col min="3" max="3" width="34.109375" customWidth="1"/>
    <col min="4" max="4" width="20.88671875" customWidth="1"/>
    <col min="5" max="5" width="22.88671875" customWidth="1"/>
  </cols>
  <sheetData>
    <row r="1" spans="2:5" ht="73.349999999999994" customHeight="1" thickBot="1"/>
    <row r="2" spans="2:5" ht="18.600000000000001" thickBot="1">
      <c r="B2" s="175" t="s">
        <v>120</v>
      </c>
      <c r="C2" s="176"/>
      <c r="D2" s="176"/>
      <c r="E2" s="177"/>
    </row>
    <row r="3" spans="2:5" ht="18">
      <c r="B3" s="113" t="s">
        <v>123</v>
      </c>
      <c r="C3" s="178">
        <v>23</v>
      </c>
      <c r="D3" s="179"/>
      <c r="E3" s="180"/>
    </row>
    <row r="4" spans="2:5" ht="18.600000000000001" thickBot="1">
      <c r="B4" s="114" t="s">
        <v>1</v>
      </c>
      <c r="C4" s="181" t="str">
        <f>INDEX('Final 2025'!B1:B1069,C3,1)</f>
        <v>أ/خالد محمد حلمى</v>
      </c>
      <c r="D4" s="182"/>
      <c r="E4" s="183"/>
    </row>
    <row r="5" spans="2:5" ht="18.600000000000001" thickBot="1">
      <c r="B5" s="115" t="s">
        <v>121</v>
      </c>
      <c r="C5" s="116" t="s">
        <v>129</v>
      </c>
      <c r="D5" s="116" t="s">
        <v>124</v>
      </c>
      <c r="E5" s="117" t="s">
        <v>122</v>
      </c>
    </row>
    <row r="6" spans="2:5" ht="18.600000000000001" thickBot="1">
      <c r="B6" s="118">
        <f>INDEX('Final 2025'!I1:I1069,C3,1)</f>
        <v>50853.5</v>
      </c>
      <c r="C6" s="119">
        <f>B6*12</f>
        <v>610242</v>
      </c>
      <c r="D6" s="119">
        <f>INDEX('Final 2025'!U1:U1069,C3,1)</f>
        <v>60750</v>
      </c>
      <c r="E6" s="120"/>
    </row>
    <row r="7" spans="2:5" ht="18.600000000000001" thickBot="1">
      <c r="B7" s="184">
        <f>SUM(C6:E6)</f>
        <v>670992</v>
      </c>
      <c r="C7" s="185"/>
      <c r="D7" s="185"/>
      <c r="E7" s="186"/>
    </row>
    <row r="10" spans="2:5">
      <c r="B10" s="121"/>
    </row>
    <row r="11" spans="2:5">
      <c r="B11" s="121"/>
    </row>
    <row r="12" spans="2:5" ht="15" thickBot="1"/>
    <row r="13" spans="2:5" s="107" customFormat="1" ht="18.600000000000001" thickBot="1">
      <c r="B13" s="113" t="s">
        <v>125</v>
      </c>
      <c r="C13" s="123"/>
      <c r="D13" s="123"/>
      <c r="E13" s="123"/>
    </row>
    <row r="14" spans="2:5" ht="18.600000000000001" thickBot="1">
      <c r="B14" s="113" t="s">
        <v>126</v>
      </c>
      <c r="C14" s="125"/>
      <c r="D14" s="124"/>
      <c r="E14" s="122"/>
    </row>
    <row r="15" spans="2:5" ht="18">
      <c r="B15" s="113" t="s">
        <v>127</v>
      </c>
      <c r="C15" s="122"/>
      <c r="D15" s="122"/>
      <c r="E15" s="122"/>
    </row>
  </sheetData>
  <mergeCells count="4">
    <mergeCell ref="B2:E2"/>
    <mergeCell ref="C3:E3"/>
    <mergeCell ref="C4:E4"/>
    <mergeCell ref="B7:E7"/>
  </mergeCells>
  <pageMargins left="0.7" right="0.7" top="0.75" bottom="0.75" header="0.3" footer="0.3"/>
  <pageSetup paperSize="9" fitToHeight="0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E277-D166-413D-A2FF-22EC1F14792C}">
  <sheetPr>
    <pageSetUpPr fitToPage="1"/>
  </sheetPr>
  <dimension ref="A1:Y59"/>
  <sheetViews>
    <sheetView zoomScale="82" zoomScaleNormal="82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B23" sqref="B23"/>
    </sheetView>
  </sheetViews>
  <sheetFormatPr defaultColWidth="9" defaultRowHeight="35.1" customHeight="1"/>
  <cols>
    <col min="1" max="1" width="8" customWidth="1"/>
    <col min="2" max="2" width="41.33203125" customWidth="1"/>
    <col min="3" max="3" width="26.88671875" customWidth="1"/>
    <col min="4" max="4" width="29.44140625" hidden="1" customWidth="1"/>
    <col min="5" max="5" width="24.33203125" customWidth="1"/>
    <col min="6" max="6" width="35" customWidth="1"/>
    <col min="7" max="7" width="17.33203125" style="107" customWidth="1"/>
    <col min="8" max="11" width="20.6640625" customWidth="1"/>
    <col min="12" max="12" width="4.44140625" customWidth="1"/>
    <col min="13" max="13" width="20.6640625" customWidth="1"/>
    <col min="14" max="14" width="22.88671875" customWidth="1"/>
    <col min="15" max="15" width="20.6640625" style="81" customWidth="1"/>
    <col min="16" max="16" width="20.6640625" customWidth="1"/>
    <col min="17" max="17" width="20.5546875" style="81" customWidth="1"/>
    <col min="18" max="18" width="20.6640625" customWidth="1"/>
    <col min="19" max="19" width="20.6640625" hidden="1" customWidth="1"/>
    <col min="20" max="20" width="20.6640625" style="81" hidden="1" customWidth="1"/>
    <col min="21" max="24" width="20.6640625" style="81" customWidth="1"/>
    <col min="25" max="25" width="62.21875" style="81" customWidth="1"/>
  </cols>
  <sheetData>
    <row r="1" spans="1:25" s="1" customFormat="1" ht="36.75" customHeight="1" thickBot="1">
      <c r="A1" s="2"/>
      <c r="C1" s="2"/>
      <c r="G1" s="3" t="s">
        <v>99</v>
      </c>
      <c r="H1" s="52">
        <v>0.1</v>
      </c>
      <c r="L1" s="36"/>
      <c r="T1" s="74"/>
      <c r="U1" s="74"/>
      <c r="V1" s="74"/>
      <c r="W1" s="74"/>
      <c r="X1" s="74"/>
      <c r="Y1" s="74"/>
    </row>
    <row r="2" spans="1:25" s="1" customFormat="1" ht="126.3" customHeight="1" thickBot="1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119</v>
      </c>
      <c r="H2" s="5" t="s">
        <v>7</v>
      </c>
      <c r="I2" s="5" t="s">
        <v>8</v>
      </c>
      <c r="J2" s="6" t="s">
        <v>9</v>
      </c>
      <c r="K2" s="6" t="s">
        <v>10</v>
      </c>
      <c r="L2" s="37"/>
      <c r="M2" s="6" t="s">
        <v>11</v>
      </c>
      <c r="N2" s="5" t="s">
        <v>107</v>
      </c>
      <c r="O2" s="6" t="s">
        <v>111</v>
      </c>
      <c r="P2" s="6" t="s">
        <v>112</v>
      </c>
      <c r="Q2" s="129" t="s">
        <v>113</v>
      </c>
      <c r="R2" s="130" t="s">
        <v>114</v>
      </c>
      <c r="S2" s="129" t="s">
        <v>115</v>
      </c>
      <c r="T2" s="129" t="s">
        <v>116</v>
      </c>
      <c r="U2" s="130" t="s">
        <v>117</v>
      </c>
      <c r="V2" s="131" t="s">
        <v>12</v>
      </c>
      <c r="W2" s="131" t="s">
        <v>14</v>
      </c>
      <c r="X2" s="132" t="s">
        <v>118</v>
      </c>
      <c r="Y2" s="148" t="s">
        <v>16</v>
      </c>
    </row>
    <row r="3" spans="1:25" s="1" customFormat="1" ht="35.1" customHeight="1">
      <c r="A3" s="7">
        <v>1</v>
      </c>
      <c r="B3" s="8" t="s">
        <v>17</v>
      </c>
      <c r="C3" s="9" t="s">
        <v>18</v>
      </c>
      <c r="D3" s="10" t="s">
        <v>19</v>
      </c>
      <c r="E3" s="11"/>
      <c r="F3" s="11"/>
      <c r="G3" s="73" t="str">
        <f>IFERROR((H3-E3)/E3,"No Ratio")</f>
        <v>No Ratio</v>
      </c>
      <c r="H3" s="11">
        <v>0</v>
      </c>
      <c r="I3" s="11">
        <f>((F3-E3)+H3)+($H$1*(F3-E3))</f>
        <v>0</v>
      </c>
      <c r="J3" s="11">
        <f t="shared" ref="J3:K5" si="0">H3-E3</f>
        <v>0</v>
      </c>
      <c r="K3" s="11">
        <f t="shared" si="0"/>
        <v>0</v>
      </c>
      <c r="L3" s="38"/>
      <c r="M3" s="11">
        <v>0</v>
      </c>
      <c r="N3" s="11">
        <v>0</v>
      </c>
      <c r="O3" s="11" t="str">
        <f>IF(N3=0,"No Bonus",TEXT(N3/E3,"0.00")&amp;" Months")</f>
        <v>No Bonus</v>
      </c>
      <c r="P3" s="11" t="str">
        <f>IF(N3=0,"No Bonus",TEXT((N3/E3)*100,"0.00")&amp;" %")</f>
        <v>No Bonus</v>
      </c>
      <c r="Q3" s="17">
        <f>N3-M3</f>
        <v>0</v>
      </c>
      <c r="R3" s="61">
        <v>0</v>
      </c>
      <c r="S3" s="17" t="str">
        <f>IF(R3=0,"No Bonus",TEXT(R3/E3,"0.00")&amp;" Months")</f>
        <v>No Bonus</v>
      </c>
      <c r="T3" s="77" t="str">
        <f>IF(R3=0,"No Bonus",TEXT((R3/E3)*100,"0.00")&amp;" %")</f>
        <v>No Bonus</v>
      </c>
      <c r="U3" s="139">
        <f>N3+R3</f>
        <v>0</v>
      </c>
      <c r="V3" s="126" t="str">
        <f>IF(U3=0,"No Bonus",TEXT(U3/E3,"0.00")&amp;" Months")</f>
        <v>No Bonus</v>
      </c>
      <c r="W3" s="126" t="str">
        <f>IF(U3=0,"No Bonus",TEXT((U3/E3)*100,"0.00")&amp;" %")</f>
        <v>No Bonus</v>
      </c>
      <c r="X3" s="140">
        <f>(N3+R3)-M3</f>
        <v>0</v>
      </c>
      <c r="Y3" s="77"/>
    </row>
    <row r="4" spans="1:25" s="1" customFormat="1" ht="35.1" customHeight="1">
      <c r="A4" s="53">
        <v>2</v>
      </c>
      <c r="B4" s="20" t="s">
        <v>20</v>
      </c>
      <c r="C4" s="54" t="s">
        <v>21</v>
      </c>
      <c r="D4" s="55">
        <v>39630</v>
      </c>
      <c r="E4" s="60">
        <v>360000</v>
      </c>
      <c r="F4" s="60">
        <v>462772</v>
      </c>
      <c r="G4" s="105">
        <f>IFERROR((H4-E4)/E4,"No Ratio")</f>
        <v>0.3888888888888889</v>
      </c>
      <c r="H4" s="60">
        <v>500000</v>
      </c>
      <c r="I4" s="72">
        <f>((F4-E4)+H4)+($H$1*(F4-E4))</f>
        <v>613049.19999999995</v>
      </c>
      <c r="J4" s="72">
        <f t="shared" si="0"/>
        <v>140000</v>
      </c>
      <c r="K4" s="72">
        <f t="shared" si="0"/>
        <v>150277.19999999995</v>
      </c>
      <c r="L4" s="58"/>
      <c r="M4" s="72">
        <v>1600000</v>
      </c>
      <c r="N4" s="72">
        <v>360000</v>
      </c>
      <c r="O4" s="56" t="str">
        <f t="shared" ref="O4:O5" si="1">IF(N4=0,"No Bonus",TEXT(N4/E4,"0.00")&amp;" Months")</f>
        <v>1.00 Months</v>
      </c>
      <c r="P4" s="56" t="str">
        <f>IF(N4=0,"No Bonus",TEXT((N4/E4)*100,"0.00")&amp;" %")</f>
        <v>100.00 %</v>
      </c>
      <c r="Q4" s="61">
        <f>N4-M4</f>
        <v>-1240000</v>
      </c>
      <c r="R4" s="61">
        <v>1000000</v>
      </c>
      <c r="S4" s="17" t="str">
        <f t="shared" ref="S4:S5" si="2">IF(R4=0,"No Bonus",TEXT(R4/E4,"0.00")&amp;" Months")</f>
        <v>2.78 Months</v>
      </c>
      <c r="T4" s="77" t="str">
        <f t="shared" ref="T4:T5" si="3">IF(R4=0,"No Bonus",TEXT((R4/E4)*100,"0.00")&amp;" %")</f>
        <v>277.78 %</v>
      </c>
      <c r="U4" s="139">
        <f t="shared" ref="U4:U5" si="4">N4+R4</f>
        <v>1360000</v>
      </c>
      <c r="V4" s="126" t="str">
        <f t="shared" ref="V4:V5" si="5">IF(U4=0,"No Bonus",TEXT(U4/E4,"0.00")&amp;" Months")</f>
        <v>3.78 Months</v>
      </c>
      <c r="W4" s="126" t="str">
        <f t="shared" ref="W4:W5" si="6">IF(U4=0,"No Bonus",TEXT((U4/E4)*100,"0.00")&amp;" %")</f>
        <v>377.78 %</v>
      </c>
      <c r="X4" s="140">
        <f>(N4+R4)-M4</f>
        <v>-240000</v>
      </c>
      <c r="Y4" s="77"/>
    </row>
    <row r="5" spans="1:25" s="1" customFormat="1" ht="35.1" customHeight="1">
      <c r="A5" s="13">
        <v>3</v>
      </c>
      <c r="B5" s="14" t="s">
        <v>29</v>
      </c>
      <c r="C5" s="15" t="s">
        <v>100</v>
      </c>
      <c r="D5" s="16">
        <v>41609</v>
      </c>
      <c r="E5" s="62">
        <v>80000</v>
      </c>
      <c r="F5" s="62">
        <v>98239</v>
      </c>
      <c r="G5" s="69">
        <f>IFERROR((H5-E5)/E5,"No Ratio")</f>
        <v>0.5</v>
      </c>
      <c r="H5" s="62">
        <v>120000</v>
      </c>
      <c r="I5" s="61">
        <f>((F5-E5)+H5)+($H$1*(F5-E5))</f>
        <v>140062.9</v>
      </c>
      <c r="J5" s="61">
        <f t="shared" si="0"/>
        <v>40000</v>
      </c>
      <c r="K5" s="61">
        <f t="shared" si="0"/>
        <v>41823.899999999994</v>
      </c>
      <c r="L5" s="39"/>
      <c r="M5" s="61">
        <v>200000</v>
      </c>
      <c r="N5" s="61">
        <v>80000</v>
      </c>
      <c r="O5" s="17" t="str">
        <f t="shared" si="1"/>
        <v>1.00 Months</v>
      </c>
      <c r="P5" s="17" t="str">
        <f>IF(N5=0,"No Bonus",TEXT((N5/E5)*100,"0.00")&amp;" %")</f>
        <v>100.00 %</v>
      </c>
      <c r="Q5" s="61">
        <f>N5-M5</f>
        <v>-120000</v>
      </c>
      <c r="R5" s="61">
        <v>211000</v>
      </c>
      <c r="S5" s="17" t="str">
        <f t="shared" si="2"/>
        <v>2.64 Months</v>
      </c>
      <c r="T5" s="77" t="str">
        <f t="shared" si="3"/>
        <v>263.75 %</v>
      </c>
      <c r="U5" s="139">
        <f t="shared" si="4"/>
        <v>291000</v>
      </c>
      <c r="V5" s="126" t="str">
        <f t="shared" si="5"/>
        <v>3.64 Months</v>
      </c>
      <c r="W5" s="126" t="str">
        <f t="shared" si="6"/>
        <v>363.75 %</v>
      </c>
      <c r="X5" s="140">
        <f>(N5+R5)-M5</f>
        <v>91000</v>
      </c>
      <c r="Y5" s="77"/>
    </row>
    <row r="6" spans="1:25" s="1" customFormat="1" ht="35.1" customHeight="1" thickBot="1">
      <c r="A6" s="160" t="s">
        <v>22</v>
      </c>
      <c r="B6" s="161"/>
      <c r="C6" s="161"/>
      <c r="D6" s="161"/>
      <c r="E6" s="63">
        <f t="shared" ref="E6:I6" si="7">SUM(E3:E5)</f>
        <v>440000</v>
      </c>
      <c r="F6" s="63">
        <f t="shared" si="7"/>
        <v>561011</v>
      </c>
      <c r="G6" s="47">
        <f>IFERROR((H6-E6)/E6,"No Ratio")</f>
        <v>0.40909090909090912</v>
      </c>
      <c r="H6" s="63">
        <f t="shared" si="7"/>
        <v>620000</v>
      </c>
      <c r="I6" s="63">
        <f t="shared" si="7"/>
        <v>753112.1</v>
      </c>
      <c r="J6" s="63">
        <f t="shared" ref="J6:N6" si="8">SUM(J3:J5)</f>
        <v>180000</v>
      </c>
      <c r="K6" s="63">
        <f t="shared" si="8"/>
        <v>192101.09999999995</v>
      </c>
      <c r="L6" s="82"/>
      <c r="M6" s="63">
        <f t="shared" si="8"/>
        <v>1800000</v>
      </c>
      <c r="N6" s="63">
        <f t="shared" si="8"/>
        <v>440000</v>
      </c>
      <c r="O6" s="104"/>
      <c r="P6" s="104"/>
      <c r="Q6" s="141">
        <f>SUM(Q3:Q5)</f>
        <v>-1360000</v>
      </c>
      <c r="R6" s="141">
        <f>SUM(R3:R5)</f>
        <v>1211000</v>
      </c>
      <c r="S6" s="142"/>
      <c r="T6" s="143"/>
      <c r="U6" s="144">
        <f>SUM(U3:U5)</f>
        <v>1651000</v>
      </c>
      <c r="V6" s="109"/>
      <c r="W6" s="109"/>
      <c r="X6" s="156">
        <f>SUM(X3:X5)</f>
        <v>-149000</v>
      </c>
      <c r="Y6" s="109"/>
    </row>
    <row r="7" spans="1:25" s="1" customFormat="1" ht="35.1" customHeight="1" thickBot="1">
      <c r="A7" s="7">
        <v>1</v>
      </c>
      <c r="B7" s="19" t="s">
        <v>23</v>
      </c>
      <c r="C7" s="9" t="s">
        <v>24</v>
      </c>
      <c r="D7" s="10">
        <v>40199</v>
      </c>
      <c r="E7" s="64">
        <v>30000</v>
      </c>
      <c r="F7" s="66">
        <v>35307</v>
      </c>
      <c r="G7" s="73">
        <f t="shared" ref="G7:G20" si="9">IFERROR((H7-E7)/E7,"No Ratio")</f>
        <v>0.15</v>
      </c>
      <c r="H7" s="67">
        <v>34500</v>
      </c>
      <c r="I7" s="67">
        <f t="shared" ref="I7:I20" si="10">((F7-E7)+H7)+($H$1*(F7-E7))</f>
        <v>40337.699999999997</v>
      </c>
      <c r="J7" s="67">
        <f t="shared" ref="J7:K20" si="11">H7-E7</f>
        <v>4500</v>
      </c>
      <c r="K7" s="67">
        <f t="shared" si="11"/>
        <v>5030.6999999999971</v>
      </c>
      <c r="L7" s="38"/>
      <c r="M7" s="67">
        <v>40000</v>
      </c>
      <c r="N7" s="67">
        <v>30000</v>
      </c>
      <c r="O7" s="11" t="str">
        <f t="shared" ref="O7:O20" si="12">IF(N7=0,"No Bonus",TEXT(N7/E7,"0.00")&amp;" Months")</f>
        <v>1.00 Months</v>
      </c>
      <c r="P7" s="11" t="str">
        <f t="shared" ref="P7:P20" si="13">IF(N7=0,"No Bonus",TEXT((N7/E7)*100,"0.00")&amp;" %")</f>
        <v>100.00 %</v>
      </c>
      <c r="Q7" s="61">
        <f t="shared" ref="Q7:Q20" si="14">N7-M7</f>
        <v>-10000</v>
      </c>
      <c r="R7" s="61">
        <v>18000</v>
      </c>
      <c r="S7" s="17" t="str">
        <f t="shared" ref="S7:S20" si="15">IF(R7=0,"No Bonus",TEXT(R7/E7,"0.00")&amp;" Months")</f>
        <v>0.60 Months</v>
      </c>
      <c r="T7" s="77" t="str">
        <f t="shared" ref="T7:T20" si="16">IF(R7=0,"No Bonus",TEXT((R7/E7)*100,"0.00")&amp;" %")</f>
        <v>60.00 %</v>
      </c>
      <c r="U7" s="139">
        <f t="shared" ref="U7:U20" si="17">N7+R7</f>
        <v>48000</v>
      </c>
      <c r="V7" s="126" t="str">
        <f t="shared" ref="V7:V20" si="18">IF(U7=0,"No Bonus",TEXT(U7/E7,"0.00")&amp;" Months")</f>
        <v>1.60 Months</v>
      </c>
      <c r="W7" s="126" t="str">
        <f t="shared" ref="W7:W20" si="19">IF(U7=0,"No Bonus",TEXT((U7/E7)*100,"0.00")&amp;" %")</f>
        <v>160.00 %</v>
      </c>
      <c r="X7" s="140">
        <f t="shared" ref="X7:X20" si="20">(N7+R7)-M7</f>
        <v>8000</v>
      </c>
      <c r="Y7" s="91"/>
    </row>
    <row r="8" spans="1:25" s="1" customFormat="1" ht="35.1" customHeight="1">
      <c r="A8" s="13">
        <v>2</v>
      </c>
      <c r="B8" s="20" t="s">
        <v>25</v>
      </c>
      <c r="C8" s="15" t="s">
        <v>26</v>
      </c>
      <c r="D8" s="16">
        <v>40211</v>
      </c>
      <c r="E8" s="65">
        <v>30000</v>
      </c>
      <c r="F8" s="60">
        <v>35187</v>
      </c>
      <c r="G8" s="69">
        <f t="shared" si="9"/>
        <v>0.15</v>
      </c>
      <c r="H8" s="67">
        <v>34500</v>
      </c>
      <c r="I8" s="61">
        <f t="shared" si="10"/>
        <v>40205.699999999997</v>
      </c>
      <c r="J8" s="61">
        <f t="shared" si="11"/>
        <v>4500</v>
      </c>
      <c r="K8" s="61">
        <f t="shared" si="11"/>
        <v>5018.6999999999971</v>
      </c>
      <c r="L8" s="39"/>
      <c r="M8" s="61">
        <v>50000</v>
      </c>
      <c r="N8" s="61">
        <v>30000</v>
      </c>
      <c r="O8" s="17" t="str">
        <f t="shared" si="12"/>
        <v>1.00 Months</v>
      </c>
      <c r="P8" s="17" t="str">
        <f t="shared" si="13"/>
        <v>100.00 %</v>
      </c>
      <c r="Q8" s="61">
        <f t="shared" si="14"/>
        <v>-20000</v>
      </c>
      <c r="R8" s="61">
        <v>30000</v>
      </c>
      <c r="S8" s="17" t="str">
        <f t="shared" si="15"/>
        <v>1.00 Months</v>
      </c>
      <c r="T8" s="77" t="str">
        <f t="shared" si="16"/>
        <v>100.00 %</v>
      </c>
      <c r="U8" s="139">
        <f t="shared" si="17"/>
        <v>60000</v>
      </c>
      <c r="V8" s="126" t="str">
        <f t="shared" si="18"/>
        <v>2.00 Months</v>
      </c>
      <c r="W8" s="126" t="str">
        <f t="shared" si="19"/>
        <v>200.00 %</v>
      </c>
      <c r="X8" s="140">
        <f t="shared" si="20"/>
        <v>10000</v>
      </c>
      <c r="Y8" s="90"/>
    </row>
    <row r="9" spans="1:25" s="1" customFormat="1" ht="35.1" customHeight="1">
      <c r="A9" s="13">
        <v>3</v>
      </c>
      <c r="B9" s="20" t="s">
        <v>27</v>
      </c>
      <c r="C9" s="15" t="s">
        <v>28</v>
      </c>
      <c r="D9" s="16">
        <v>41420</v>
      </c>
      <c r="E9" s="65">
        <v>36000</v>
      </c>
      <c r="F9" s="60">
        <v>41816</v>
      </c>
      <c r="G9" s="69">
        <f t="shared" si="9"/>
        <v>0.91666666666666663</v>
      </c>
      <c r="H9" s="61">
        <v>69000</v>
      </c>
      <c r="I9" s="61">
        <f t="shared" si="10"/>
        <v>75397.600000000006</v>
      </c>
      <c r="J9" s="61">
        <f t="shared" si="11"/>
        <v>33000</v>
      </c>
      <c r="K9" s="61">
        <f t="shared" si="11"/>
        <v>33581.600000000006</v>
      </c>
      <c r="L9" s="39"/>
      <c r="M9" s="61">
        <v>30000</v>
      </c>
      <c r="N9" s="84">
        <v>36000</v>
      </c>
      <c r="O9" s="17" t="str">
        <f t="shared" si="12"/>
        <v>1.00 Months</v>
      </c>
      <c r="P9" s="17" t="str">
        <f t="shared" si="13"/>
        <v>100.00 %</v>
      </c>
      <c r="Q9" s="61">
        <f t="shared" si="14"/>
        <v>6000</v>
      </c>
      <c r="R9" s="84">
        <v>6750</v>
      </c>
      <c r="S9" s="17" t="str">
        <f t="shared" si="15"/>
        <v>0.19 Months</v>
      </c>
      <c r="T9" s="77" t="str">
        <f t="shared" si="16"/>
        <v>18.75 %</v>
      </c>
      <c r="U9" s="139">
        <f t="shared" si="17"/>
        <v>42750</v>
      </c>
      <c r="V9" s="126" t="str">
        <f t="shared" si="18"/>
        <v>1.19 Months</v>
      </c>
      <c r="W9" s="126" t="str">
        <f t="shared" si="19"/>
        <v>118.75 %</v>
      </c>
      <c r="X9" s="140">
        <f t="shared" si="20"/>
        <v>12750</v>
      </c>
      <c r="Y9" s="90" t="s">
        <v>134</v>
      </c>
    </row>
    <row r="10" spans="1:25" s="1" customFormat="1" ht="35.1" customHeight="1">
      <c r="A10" s="13">
        <v>4</v>
      </c>
      <c r="B10" s="20" t="s">
        <v>30</v>
      </c>
      <c r="C10" s="15" t="s">
        <v>28</v>
      </c>
      <c r="D10" s="16">
        <v>41854</v>
      </c>
      <c r="E10" s="65">
        <v>40000</v>
      </c>
      <c r="F10" s="60">
        <v>47060</v>
      </c>
      <c r="G10" s="69">
        <f t="shared" si="9"/>
        <v>0.375</v>
      </c>
      <c r="H10" s="61">
        <v>55000</v>
      </c>
      <c r="I10" s="61">
        <f t="shared" si="10"/>
        <v>62766</v>
      </c>
      <c r="J10" s="61">
        <f t="shared" si="11"/>
        <v>15000</v>
      </c>
      <c r="K10" s="61">
        <f t="shared" si="11"/>
        <v>15706</v>
      </c>
      <c r="L10" s="39"/>
      <c r="M10" s="61">
        <v>75000</v>
      </c>
      <c r="N10" s="61">
        <v>40000</v>
      </c>
      <c r="O10" s="17" t="str">
        <f t="shared" si="12"/>
        <v>1.00 Months</v>
      </c>
      <c r="P10" s="17" t="str">
        <f t="shared" si="13"/>
        <v>100.00 %</v>
      </c>
      <c r="Q10" s="61">
        <f t="shared" si="14"/>
        <v>-35000</v>
      </c>
      <c r="R10" s="61">
        <v>60000</v>
      </c>
      <c r="S10" s="17" t="str">
        <f t="shared" si="15"/>
        <v>1.50 Months</v>
      </c>
      <c r="T10" s="77" t="str">
        <f t="shared" si="16"/>
        <v>150.00 %</v>
      </c>
      <c r="U10" s="139">
        <f t="shared" si="17"/>
        <v>100000</v>
      </c>
      <c r="V10" s="126" t="str">
        <f t="shared" si="18"/>
        <v>2.50 Months</v>
      </c>
      <c r="W10" s="126" t="str">
        <f t="shared" si="19"/>
        <v>250.00 %</v>
      </c>
      <c r="X10" s="140">
        <f t="shared" si="20"/>
        <v>25000</v>
      </c>
      <c r="Y10" s="43"/>
    </row>
    <row r="11" spans="1:25" s="1" customFormat="1" ht="35.1" customHeight="1">
      <c r="A11" s="13">
        <v>5</v>
      </c>
      <c r="B11" s="20" t="s">
        <v>31</v>
      </c>
      <c r="C11" s="15" t="s">
        <v>24</v>
      </c>
      <c r="D11" s="16">
        <v>42043</v>
      </c>
      <c r="E11" s="65">
        <v>40250</v>
      </c>
      <c r="F11" s="60">
        <v>47601</v>
      </c>
      <c r="G11" s="69">
        <f t="shared" si="9"/>
        <v>0.15031055900621118</v>
      </c>
      <c r="H11" s="61">
        <v>46300</v>
      </c>
      <c r="I11" s="61">
        <f t="shared" si="10"/>
        <v>54386.1</v>
      </c>
      <c r="J11" s="61">
        <f t="shared" si="11"/>
        <v>6050</v>
      </c>
      <c r="K11" s="61">
        <f t="shared" si="11"/>
        <v>6785.0999999999985</v>
      </c>
      <c r="L11" s="39"/>
      <c r="M11" s="61">
        <v>50000</v>
      </c>
      <c r="N11" s="61">
        <v>40250</v>
      </c>
      <c r="O11" s="17" t="str">
        <f t="shared" si="12"/>
        <v>1.00 Months</v>
      </c>
      <c r="P11" s="17" t="str">
        <f t="shared" si="13"/>
        <v>100.00 %</v>
      </c>
      <c r="Q11" s="61">
        <f t="shared" si="14"/>
        <v>-9750</v>
      </c>
      <c r="R11" s="61">
        <v>17000</v>
      </c>
      <c r="S11" s="17" t="str">
        <f t="shared" si="15"/>
        <v>0.42 Months</v>
      </c>
      <c r="T11" s="77" t="str">
        <f t="shared" si="16"/>
        <v>42.24 %</v>
      </c>
      <c r="U11" s="139">
        <f t="shared" si="17"/>
        <v>57250</v>
      </c>
      <c r="V11" s="126" t="str">
        <f t="shared" si="18"/>
        <v>1.42 Months</v>
      </c>
      <c r="W11" s="126" t="str">
        <f t="shared" si="19"/>
        <v>142.24 %</v>
      </c>
      <c r="X11" s="140">
        <f t="shared" si="20"/>
        <v>7250</v>
      </c>
      <c r="Y11" s="43"/>
    </row>
    <row r="12" spans="1:25" s="1" customFormat="1" ht="35.1" customHeight="1">
      <c r="A12" s="13">
        <v>6</v>
      </c>
      <c r="B12" s="20" t="s">
        <v>32</v>
      </c>
      <c r="C12" s="15" t="s">
        <v>33</v>
      </c>
      <c r="D12" s="16">
        <v>42644</v>
      </c>
      <c r="E12" s="65">
        <v>12600</v>
      </c>
      <c r="F12" s="60">
        <v>14360</v>
      </c>
      <c r="G12" s="69">
        <f t="shared" si="9"/>
        <v>0.15079365079365079</v>
      </c>
      <c r="H12" s="61">
        <v>14500</v>
      </c>
      <c r="I12" s="61">
        <f t="shared" si="10"/>
        <v>16436</v>
      </c>
      <c r="J12" s="61">
        <f t="shared" si="11"/>
        <v>1900</v>
      </c>
      <c r="K12" s="61">
        <f t="shared" si="11"/>
        <v>2076</v>
      </c>
      <c r="L12" s="39"/>
      <c r="M12" s="61">
        <v>11000</v>
      </c>
      <c r="N12" s="61">
        <v>12600</v>
      </c>
      <c r="O12" s="17" t="str">
        <f t="shared" si="12"/>
        <v>1.00 Months</v>
      </c>
      <c r="P12" s="17" t="str">
        <f t="shared" si="13"/>
        <v>100.00 %</v>
      </c>
      <c r="Q12" s="61">
        <f t="shared" si="14"/>
        <v>1600</v>
      </c>
      <c r="R12" s="61">
        <v>6300</v>
      </c>
      <c r="S12" s="17" t="str">
        <f t="shared" si="15"/>
        <v>0.50 Months</v>
      </c>
      <c r="T12" s="77" t="str">
        <f t="shared" si="16"/>
        <v>50.00 %</v>
      </c>
      <c r="U12" s="139">
        <f t="shared" si="17"/>
        <v>18900</v>
      </c>
      <c r="V12" s="126" t="str">
        <f t="shared" si="18"/>
        <v>1.50 Months</v>
      </c>
      <c r="W12" s="126" t="str">
        <f t="shared" si="19"/>
        <v>150.00 %</v>
      </c>
      <c r="X12" s="140">
        <f t="shared" si="20"/>
        <v>7900</v>
      </c>
      <c r="Y12" s="43"/>
    </row>
    <row r="13" spans="1:25" s="1" customFormat="1" ht="35.1" customHeight="1">
      <c r="A13" s="13">
        <v>7</v>
      </c>
      <c r="B13" s="20" t="s">
        <v>34</v>
      </c>
      <c r="C13" s="15" t="s">
        <v>35</v>
      </c>
      <c r="D13" s="16">
        <v>43345</v>
      </c>
      <c r="E13" s="65">
        <v>35000</v>
      </c>
      <c r="F13" s="60">
        <v>44000</v>
      </c>
      <c r="G13" s="69">
        <f t="shared" si="9"/>
        <v>0.15</v>
      </c>
      <c r="H13" s="61">
        <v>40250</v>
      </c>
      <c r="I13" s="61">
        <f t="shared" si="10"/>
        <v>50150</v>
      </c>
      <c r="J13" s="61">
        <f t="shared" si="11"/>
        <v>5250</v>
      </c>
      <c r="K13" s="61">
        <f t="shared" si="11"/>
        <v>6150</v>
      </c>
      <c r="L13" s="39"/>
      <c r="M13" s="61">
        <v>50000</v>
      </c>
      <c r="N13" s="61">
        <v>35000</v>
      </c>
      <c r="O13" s="17" t="str">
        <f t="shared" si="12"/>
        <v>1.00 Months</v>
      </c>
      <c r="P13" s="17" t="str">
        <f t="shared" si="13"/>
        <v>100.00 %</v>
      </c>
      <c r="Q13" s="61">
        <f t="shared" si="14"/>
        <v>-15000</v>
      </c>
      <c r="R13" s="61">
        <v>27000</v>
      </c>
      <c r="S13" s="17" t="str">
        <f t="shared" si="15"/>
        <v>0.77 Months</v>
      </c>
      <c r="T13" s="77" t="str">
        <f t="shared" si="16"/>
        <v>77.14 %</v>
      </c>
      <c r="U13" s="139">
        <f t="shared" si="17"/>
        <v>62000</v>
      </c>
      <c r="V13" s="126" t="str">
        <f t="shared" si="18"/>
        <v>1.77 Months</v>
      </c>
      <c r="W13" s="126" t="str">
        <f t="shared" si="19"/>
        <v>177.14 %</v>
      </c>
      <c r="X13" s="140">
        <f t="shared" si="20"/>
        <v>12000</v>
      </c>
      <c r="Y13" s="43"/>
    </row>
    <row r="14" spans="1:25" s="1" customFormat="1" ht="35.1" customHeight="1">
      <c r="A14" s="13">
        <v>8</v>
      </c>
      <c r="B14" s="20" t="s">
        <v>36</v>
      </c>
      <c r="C14" s="15" t="s">
        <v>24</v>
      </c>
      <c r="D14" s="16">
        <v>43534</v>
      </c>
      <c r="E14" s="65">
        <v>45000</v>
      </c>
      <c r="F14" s="60">
        <v>55471</v>
      </c>
      <c r="G14" s="69">
        <f t="shared" si="9"/>
        <v>0.15</v>
      </c>
      <c r="H14" s="61">
        <v>51750</v>
      </c>
      <c r="I14" s="61">
        <f t="shared" si="10"/>
        <v>63268.1</v>
      </c>
      <c r="J14" s="61">
        <f t="shared" si="11"/>
        <v>6750</v>
      </c>
      <c r="K14" s="61">
        <f t="shared" si="11"/>
        <v>7797.0999999999985</v>
      </c>
      <c r="L14" s="39"/>
      <c r="M14" s="61">
        <v>70000</v>
      </c>
      <c r="N14" s="92">
        <v>45000</v>
      </c>
      <c r="O14" s="17" t="str">
        <f t="shared" si="12"/>
        <v>1.00 Months</v>
      </c>
      <c r="P14" s="17" t="str">
        <f t="shared" si="13"/>
        <v>100.00 %</v>
      </c>
      <c r="Q14" s="61">
        <f t="shared" si="14"/>
        <v>-25000</v>
      </c>
      <c r="R14" s="61">
        <v>45000</v>
      </c>
      <c r="S14" s="17" t="str">
        <f t="shared" si="15"/>
        <v>1.00 Months</v>
      </c>
      <c r="T14" s="77" t="str">
        <f t="shared" si="16"/>
        <v>100.00 %</v>
      </c>
      <c r="U14" s="139">
        <f t="shared" si="17"/>
        <v>90000</v>
      </c>
      <c r="V14" s="126" t="str">
        <f t="shared" si="18"/>
        <v>2.00 Months</v>
      </c>
      <c r="W14" s="126" t="str">
        <f t="shared" si="19"/>
        <v>200.00 %</v>
      </c>
      <c r="X14" s="140">
        <f t="shared" si="20"/>
        <v>20000</v>
      </c>
      <c r="Y14" s="43"/>
    </row>
    <row r="15" spans="1:25" s="1" customFormat="1" ht="35.1" customHeight="1">
      <c r="A15" s="13">
        <v>9</v>
      </c>
      <c r="B15" s="20" t="s">
        <v>37</v>
      </c>
      <c r="C15" s="15" t="s">
        <v>38</v>
      </c>
      <c r="D15" s="16">
        <v>44983</v>
      </c>
      <c r="E15" s="65">
        <v>7000</v>
      </c>
      <c r="F15" s="60">
        <v>7600</v>
      </c>
      <c r="G15" s="69">
        <f t="shared" si="9"/>
        <v>0.5714285714285714</v>
      </c>
      <c r="H15" s="61">
        <v>11000</v>
      </c>
      <c r="I15" s="61">
        <f t="shared" si="10"/>
        <v>11660</v>
      </c>
      <c r="J15" s="61">
        <f t="shared" si="11"/>
        <v>4000</v>
      </c>
      <c r="K15" s="61">
        <f t="shared" si="11"/>
        <v>4060</v>
      </c>
      <c r="L15" s="39"/>
      <c r="M15" s="61">
        <v>6000</v>
      </c>
      <c r="N15" s="61">
        <v>7000</v>
      </c>
      <c r="O15" s="17" t="str">
        <f t="shared" si="12"/>
        <v>1.00 Months</v>
      </c>
      <c r="P15" s="17" t="str">
        <f t="shared" si="13"/>
        <v>100.00 %</v>
      </c>
      <c r="Q15" s="61">
        <f t="shared" si="14"/>
        <v>1000</v>
      </c>
      <c r="R15" s="92">
        <v>3500</v>
      </c>
      <c r="S15" s="17" t="str">
        <f t="shared" si="15"/>
        <v>0.50 Months</v>
      </c>
      <c r="T15" s="77" t="str">
        <f t="shared" si="16"/>
        <v>50.00 %</v>
      </c>
      <c r="U15" s="139">
        <f t="shared" si="17"/>
        <v>10500</v>
      </c>
      <c r="V15" s="126" t="str">
        <f t="shared" si="18"/>
        <v>1.50 Months</v>
      </c>
      <c r="W15" s="126" t="str">
        <f t="shared" si="19"/>
        <v>150.00 %</v>
      </c>
      <c r="X15" s="140">
        <f t="shared" si="20"/>
        <v>4500</v>
      </c>
      <c r="Y15" s="43"/>
    </row>
    <row r="16" spans="1:25" s="1" customFormat="1" ht="35.1" customHeight="1">
      <c r="A16" s="13">
        <v>10</v>
      </c>
      <c r="B16" s="20" t="s">
        <v>39</v>
      </c>
      <c r="C16" s="15" t="s">
        <v>33</v>
      </c>
      <c r="D16" s="16">
        <v>45125</v>
      </c>
      <c r="E16" s="65">
        <v>8000</v>
      </c>
      <c r="F16" s="60">
        <v>9453</v>
      </c>
      <c r="G16" s="69">
        <f t="shared" si="9"/>
        <v>0.75</v>
      </c>
      <c r="H16" s="61">
        <v>14000</v>
      </c>
      <c r="I16" s="61">
        <f t="shared" si="10"/>
        <v>15598.3</v>
      </c>
      <c r="J16" s="61">
        <f t="shared" si="11"/>
        <v>6000</v>
      </c>
      <c r="K16" s="61">
        <f t="shared" si="11"/>
        <v>6145.2999999999993</v>
      </c>
      <c r="L16" s="39"/>
      <c r="M16" s="61">
        <v>3333</v>
      </c>
      <c r="N16" s="61">
        <v>8000</v>
      </c>
      <c r="O16" s="17" t="str">
        <f t="shared" si="12"/>
        <v>1.00 Months</v>
      </c>
      <c r="P16" s="17" t="str">
        <f t="shared" si="13"/>
        <v>100.00 %</v>
      </c>
      <c r="Q16" s="61">
        <f t="shared" si="14"/>
        <v>4667</v>
      </c>
      <c r="R16" s="92">
        <v>4000</v>
      </c>
      <c r="S16" s="17" t="str">
        <f t="shared" si="15"/>
        <v>0.50 Months</v>
      </c>
      <c r="T16" s="77" t="str">
        <f t="shared" si="16"/>
        <v>50.00 %</v>
      </c>
      <c r="U16" s="139">
        <f t="shared" si="17"/>
        <v>12000</v>
      </c>
      <c r="V16" s="126" t="str">
        <f t="shared" si="18"/>
        <v>1.50 Months</v>
      </c>
      <c r="W16" s="126" t="str">
        <f t="shared" si="19"/>
        <v>150.00 %</v>
      </c>
      <c r="X16" s="140">
        <f t="shared" si="20"/>
        <v>8667</v>
      </c>
      <c r="Y16" s="43"/>
    </row>
    <row r="17" spans="1:25" s="1" customFormat="1" ht="35.1" customHeight="1">
      <c r="A17" s="13">
        <v>11</v>
      </c>
      <c r="B17" s="20" t="s">
        <v>40</v>
      </c>
      <c r="C17" s="15" t="s">
        <v>38</v>
      </c>
      <c r="D17" s="16">
        <v>45323</v>
      </c>
      <c r="E17" s="65">
        <v>7000</v>
      </c>
      <c r="F17" s="60">
        <v>7600</v>
      </c>
      <c r="G17" s="69">
        <f t="shared" si="9"/>
        <v>0.42857142857142855</v>
      </c>
      <c r="H17" s="61">
        <v>10000</v>
      </c>
      <c r="I17" s="61">
        <f t="shared" si="10"/>
        <v>10660</v>
      </c>
      <c r="J17" s="61">
        <f t="shared" si="11"/>
        <v>3000</v>
      </c>
      <c r="K17" s="61">
        <f t="shared" si="11"/>
        <v>3060</v>
      </c>
      <c r="L17" s="39"/>
      <c r="M17" s="61">
        <v>0</v>
      </c>
      <c r="N17" s="61">
        <v>7000</v>
      </c>
      <c r="O17" s="17" t="str">
        <f t="shared" si="12"/>
        <v>1.00 Months</v>
      </c>
      <c r="P17" s="17" t="str">
        <f t="shared" si="13"/>
        <v>100.00 %</v>
      </c>
      <c r="Q17" s="61">
        <f t="shared" si="14"/>
        <v>7000</v>
      </c>
      <c r="R17" s="159">
        <v>2625</v>
      </c>
      <c r="S17" s="17" t="str">
        <f t="shared" si="15"/>
        <v>0.38 Months</v>
      </c>
      <c r="T17" s="77" t="str">
        <f t="shared" si="16"/>
        <v>37.50 %</v>
      </c>
      <c r="U17" s="139">
        <f t="shared" si="17"/>
        <v>9625</v>
      </c>
      <c r="V17" s="126" t="str">
        <f t="shared" si="18"/>
        <v>1.38 Months</v>
      </c>
      <c r="W17" s="126" t="str">
        <f t="shared" si="19"/>
        <v>137.50 %</v>
      </c>
      <c r="X17" s="140">
        <f t="shared" si="20"/>
        <v>9625</v>
      </c>
      <c r="Y17" s="90" t="s">
        <v>133</v>
      </c>
    </row>
    <row r="18" spans="1:25" s="1" customFormat="1" ht="35.1" customHeight="1">
      <c r="A18" s="13">
        <v>12</v>
      </c>
      <c r="B18" s="20" t="s">
        <v>41</v>
      </c>
      <c r="C18" s="15" t="s">
        <v>38</v>
      </c>
      <c r="D18" s="16">
        <v>45354</v>
      </c>
      <c r="E18" s="65">
        <v>7000</v>
      </c>
      <c r="F18" s="60">
        <v>7600</v>
      </c>
      <c r="G18" s="69">
        <f t="shared" si="9"/>
        <v>0.42857142857142855</v>
      </c>
      <c r="H18" s="61">
        <v>10000</v>
      </c>
      <c r="I18" s="61">
        <f t="shared" si="10"/>
        <v>10660</v>
      </c>
      <c r="J18" s="61">
        <f t="shared" si="11"/>
        <v>3000</v>
      </c>
      <c r="K18" s="61">
        <f t="shared" si="11"/>
        <v>3060</v>
      </c>
      <c r="L18" s="39"/>
      <c r="M18" s="61">
        <v>0</v>
      </c>
      <c r="N18" s="61">
        <v>7000</v>
      </c>
      <c r="O18" s="17" t="str">
        <f t="shared" si="12"/>
        <v>1.00 Months</v>
      </c>
      <c r="P18" s="17" t="str">
        <f t="shared" si="13"/>
        <v>100.00 %</v>
      </c>
      <c r="Q18" s="61">
        <f t="shared" si="14"/>
        <v>7000</v>
      </c>
      <c r="R18" s="159">
        <v>1750</v>
      </c>
      <c r="S18" s="17" t="str">
        <f t="shared" si="15"/>
        <v>0.25 Months</v>
      </c>
      <c r="T18" s="77" t="str">
        <f t="shared" si="16"/>
        <v>25.00 %</v>
      </c>
      <c r="U18" s="139">
        <f t="shared" si="17"/>
        <v>8750</v>
      </c>
      <c r="V18" s="126" t="str">
        <f t="shared" si="18"/>
        <v>1.25 Months</v>
      </c>
      <c r="W18" s="126" t="str">
        <f t="shared" si="19"/>
        <v>125.00 %</v>
      </c>
      <c r="X18" s="140">
        <f t="shared" si="20"/>
        <v>8750</v>
      </c>
      <c r="Y18" s="90" t="s">
        <v>132</v>
      </c>
    </row>
    <row r="19" spans="1:25" s="1" customFormat="1" ht="35.1" customHeight="1">
      <c r="A19" s="13">
        <v>13</v>
      </c>
      <c r="B19" s="20" t="s">
        <v>42</v>
      </c>
      <c r="C19" s="15" t="s">
        <v>38</v>
      </c>
      <c r="D19" s="16">
        <v>45536</v>
      </c>
      <c r="E19" s="65">
        <v>7500</v>
      </c>
      <c r="F19" s="60">
        <v>7600</v>
      </c>
      <c r="G19" s="69">
        <f t="shared" si="9"/>
        <v>0.6</v>
      </c>
      <c r="H19" s="61">
        <v>12000</v>
      </c>
      <c r="I19" s="61">
        <f t="shared" si="10"/>
        <v>12110</v>
      </c>
      <c r="J19" s="61">
        <f t="shared" si="11"/>
        <v>4500</v>
      </c>
      <c r="K19" s="61">
        <f t="shared" si="11"/>
        <v>4510</v>
      </c>
      <c r="L19" s="39"/>
      <c r="M19" s="61">
        <v>0</v>
      </c>
      <c r="N19" s="61">
        <v>2500</v>
      </c>
      <c r="O19" s="17" t="str">
        <f t="shared" si="12"/>
        <v>0.33 Months</v>
      </c>
      <c r="P19" s="17" t="str">
        <f t="shared" si="13"/>
        <v>33.33 %</v>
      </c>
      <c r="Q19" s="61">
        <f t="shared" si="14"/>
        <v>2500</v>
      </c>
      <c r="R19" s="159">
        <v>1250</v>
      </c>
      <c r="S19" s="17" t="str">
        <f t="shared" si="15"/>
        <v>0.17 Months</v>
      </c>
      <c r="T19" s="77" t="str">
        <f t="shared" si="16"/>
        <v>16.67 %</v>
      </c>
      <c r="U19" s="139">
        <f t="shared" si="17"/>
        <v>3750</v>
      </c>
      <c r="V19" s="126" t="str">
        <f t="shared" si="18"/>
        <v>0.50 Months</v>
      </c>
      <c r="W19" s="126" t="str">
        <f t="shared" si="19"/>
        <v>50.00 %</v>
      </c>
      <c r="X19" s="140">
        <f t="shared" si="20"/>
        <v>3750</v>
      </c>
      <c r="Y19" s="90" t="s">
        <v>130</v>
      </c>
    </row>
    <row r="20" spans="1:25" s="1" customFormat="1" ht="35.1" customHeight="1">
      <c r="A20" s="21">
        <v>14</v>
      </c>
      <c r="B20" s="22" t="s">
        <v>43</v>
      </c>
      <c r="C20" s="23" t="s">
        <v>26</v>
      </c>
      <c r="D20" s="24">
        <v>45690</v>
      </c>
      <c r="E20" s="65">
        <v>0</v>
      </c>
      <c r="F20" s="60">
        <v>0</v>
      </c>
      <c r="G20" s="69" t="str">
        <f t="shared" si="9"/>
        <v>No Ratio</v>
      </c>
      <c r="H20" s="61">
        <v>0</v>
      </c>
      <c r="I20" s="61">
        <f t="shared" si="10"/>
        <v>0</v>
      </c>
      <c r="J20" s="61">
        <f t="shared" si="11"/>
        <v>0</v>
      </c>
      <c r="K20" s="61">
        <f t="shared" si="11"/>
        <v>0</v>
      </c>
      <c r="L20" s="39"/>
      <c r="M20" s="61">
        <v>0</v>
      </c>
      <c r="N20" s="84"/>
      <c r="O20" s="17" t="str">
        <f t="shared" si="12"/>
        <v>No Bonus</v>
      </c>
      <c r="P20" s="17" t="str">
        <f t="shared" si="13"/>
        <v>No Bonus</v>
      </c>
      <c r="Q20" s="61">
        <f t="shared" si="14"/>
        <v>0</v>
      </c>
      <c r="R20" s="158"/>
      <c r="S20" s="17" t="str">
        <f t="shared" si="15"/>
        <v>No Bonus</v>
      </c>
      <c r="T20" s="77" t="str">
        <f t="shared" si="16"/>
        <v>No Bonus</v>
      </c>
      <c r="U20" s="139">
        <f t="shared" si="17"/>
        <v>0</v>
      </c>
      <c r="V20" s="126" t="str">
        <f t="shared" si="18"/>
        <v>No Bonus</v>
      </c>
      <c r="W20" s="126" t="str">
        <f t="shared" si="19"/>
        <v>No Bonus</v>
      </c>
      <c r="X20" s="140">
        <f t="shared" si="20"/>
        <v>0</v>
      </c>
      <c r="Y20" s="90" t="s">
        <v>104</v>
      </c>
    </row>
    <row r="21" spans="1:25" s="1" customFormat="1" ht="35.1" customHeight="1" thickBot="1">
      <c r="A21" s="162" t="s">
        <v>44</v>
      </c>
      <c r="B21" s="163"/>
      <c r="C21" s="163"/>
      <c r="D21" s="25"/>
      <c r="E21" s="68">
        <f>SUM(E7:E20)</f>
        <v>305350</v>
      </c>
      <c r="F21" s="68">
        <f>SUM(F7:F20)</f>
        <v>360655</v>
      </c>
      <c r="G21" s="48">
        <f>IFERROR((H21-E21)/E21,"No Ratio")</f>
        <v>0.31914196823317503</v>
      </c>
      <c r="H21" s="68">
        <f>SUM(H7:H20)</f>
        <v>402800</v>
      </c>
      <c r="I21" s="68">
        <f>SUM(I7:I20)</f>
        <v>463635.49999999994</v>
      </c>
      <c r="J21" s="68">
        <f>SUM(J7:J20)</f>
        <v>97450</v>
      </c>
      <c r="K21" s="68">
        <f>SUM(K7:K20)</f>
        <v>102980.50000000001</v>
      </c>
      <c r="L21" s="26"/>
      <c r="M21" s="68">
        <f>SUM(M7:M20)</f>
        <v>385333</v>
      </c>
      <c r="N21" s="68">
        <f>SUM(N7:N20)</f>
        <v>300350</v>
      </c>
      <c r="O21" s="104"/>
      <c r="P21" s="104"/>
      <c r="Q21" s="146">
        <f>SUM(Q7:Q20)</f>
        <v>-84983</v>
      </c>
      <c r="R21" s="146">
        <f>SUM(R7:R20)</f>
        <v>223175</v>
      </c>
      <c r="S21" s="142"/>
      <c r="T21" s="143"/>
      <c r="U21" s="147">
        <f>SUM(U7:U20)</f>
        <v>523525</v>
      </c>
      <c r="V21" s="110"/>
      <c r="W21" s="110"/>
      <c r="X21" s="157">
        <f>SUM(X7:X20)</f>
        <v>138192</v>
      </c>
      <c r="Y21" s="45"/>
    </row>
    <row r="22" spans="1:25" s="1" customFormat="1" ht="45.75" customHeight="1">
      <c r="A22" s="7">
        <v>1</v>
      </c>
      <c r="B22" s="19" t="s">
        <v>45</v>
      </c>
      <c r="C22" s="9" t="s">
        <v>46</v>
      </c>
      <c r="D22" s="10">
        <v>41107</v>
      </c>
      <c r="E22" s="66">
        <v>85000</v>
      </c>
      <c r="F22" s="66">
        <v>118315</v>
      </c>
      <c r="G22" s="73">
        <f t="shared" ref="G22:G47" si="21">IFERROR((H22-E22)/E22,"No Ratio")</f>
        <v>0.50588235294117645</v>
      </c>
      <c r="H22" s="67">
        <v>128000</v>
      </c>
      <c r="I22" s="67">
        <f t="shared" ref="I22:I41" si="22">((F22-E22)+H22)+($H$1*(F22-E22))</f>
        <v>164646.5</v>
      </c>
      <c r="J22" s="67">
        <f t="shared" ref="J22:K41" si="23">H22-E22</f>
        <v>43000</v>
      </c>
      <c r="K22" s="67">
        <f t="shared" si="23"/>
        <v>46331.5</v>
      </c>
      <c r="L22" s="38"/>
      <c r="M22" s="67">
        <v>300000</v>
      </c>
      <c r="N22" s="85">
        <v>0</v>
      </c>
      <c r="O22" s="11" t="str">
        <f t="shared" ref="O22:O41" si="24">IF(N22=0,"No Bonus",TEXT(N22/E22,"0.00")&amp;" Months")</f>
        <v>No Bonus</v>
      </c>
      <c r="P22" s="11" t="str">
        <f t="shared" ref="P22:P41" si="25">IF(N22=0,"No Bonus",TEXT((N22/E22)*100,"0.00")&amp;" %")</f>
        <v>No Bonus</v>
      </c>
      <c r="Q22" s="61">
        <f t="shared" ref="Q22:Q41" si="26">N22-M22</f>
        <v>-300000</v>
      </c>
      <c r="R22" s="61">
        <v>425000</v>
      </c>
      <c r="S22" s="17" t="str">
        <f t="shared" ref="S22:S41" si="27">IF(R22=0,"No Bonus",TEXT(R22/E22,"0.00")&amp;" Months")</f>
        <v>5.00 Months</v>
      </c>
      <c r="T22" s="77" t="str">
        <f t="shared" ref="T22:T41" si="28">IF(R22=0,"No Bonus",TEXT((R22/E22)*100,"0.00")&amp;" %")</f>
        <v>500.00 %</v>
      </c>
      <c r="U22" s="139">
        <v>425000</v>
      </c>
      <c r="V22" s="126" t="str">
        <f t="shared" ref="V22:V41" si="29">IF(U22=0,"No Bonus",TEXT(U22/E22,"0.00")&amp;" Months")</f>
        <v>5.00 Months</v>
      </c>
      <c r="W22" s="126" t="str">
        <f t="shared" ref="W22:W41" si="30">IF(U22=0,"No Bonus",TEXT((U22/E22)*100,"0.00")&amp;" %")</f>
        <v>500.00 %</v>
      </c>
      <c r="X22" s="140">
        <f t="shared" ref="X22:X41" si="31">(N22+R22)-M22</f>
        <v>125000</v>
      </c>
      <c r="Y22" s="91" t="s">
        <v>105</v>
      </c>
    </row>
    <row r="23" spans="1:25" s="1" customFormat="1" ht="35.1" customHeight="1">
      <c r="A23" s="13">
        <v>2</v>
      </c>
      <c r="B23" s="20" t="s">
        <v>135</v>
      </c>
      <c r="C23" s="15" t="s">
        <v>48</v>
      </c>
      <c r="D23" s="16">
        <v>41660</v>
      </c>
      <c r="E23" s="60">
        <v>30375</v>
      </c>
      <c r="F23" s="60">
        <v>42060</v>
      </c>
      <c r="G23" s="69">
        <f t="shared" si="21"/>
        <v>0.25102880658436216</v>
      </c>
      <c r="H23" s="61">
        <v>38000</v>
      </c>
      <c r="I23" s="61">
        <f t="shared" si="22"/>
        <v>50853.5</v>
      </c>
      <c r="J23" s="61">
        <f t="shared" si="23"/>
        <v>7625</v>
      </c>
      <c r="K23" s="61">
        <f t="shared" si="23"/>
        <v>8793.5</v>
      </c>
      <c r="L23" s="39"/>
      <c r="M23" s="61">
        <v>45000</v>
      </c>
      <c r="N23" s="61">
        <v>30375</v>
      </c>
      <c r="O23" s="17" t="str">
        <f t="shared" si="24"/>
        <v>1.00 Months</v>
      </c>
      <c r="P23" s="17" t="str">
        <f t="shared" si="25"/>
        <v>100.00 %</v>
      </c>
      <c r="Q23" s="61">
        <f t="shared" si="26"/>
        <v>-14625</v>
      </c>
      <c r="R23" s="61">
        <v>30375</v>
      </c>
      <c r="S23" s="17" t="str">
        <f t="shared" si="27"/>
        <v>1.00 Months</v>
      </c>
      <c r="T23" s="77" t="str">
        <f t="shared" si="28"/>
        <v>100.00 %</v>
      </c>
      <c r="U23" s="139">
        <f t="shared" ref="U23:U41" si="32">N23+R23</f>
        <v>60750</v>
      </c>
      <c r="V23" s="126" t="str">
        <f t="shared" si="29"/>
        <v>2.00 Months</v>
      </c>
      <c r="W23" s="126" t="str">
        <f t="shared" si="30"/>
        <v>200.00 %</v>
      </c>
      <c r="X23" s="140">
        <f t="shared" si="31"/>
        <v>15750</v>
      </c>
      <c r="Y23" s="43"/>
    </row>
    <row r="24" spans="1:25" s="1" customFormat="1" ht="35.1" customHeight="1">
      <c r="A24" s="13">
        <v>3</v>
      </c>
      <c r="B24" s="20" t="s">
        <v>49</v>
      </c>
      <c r="C24" s="15" t="s">
        <v>50</v>
      </c>
      <c r="D24" s="16">
        <v>43009</v>
      </c>
      <c r="E24" s="60">
        <v>30000</v>
      </c>
      <c r="F24" s="60">
        <v>41657</v>
      </c>
      <c r="G24" s="69">
        <f t="shared" si="21"/>
        <v>0.5</v>
      </c>
      <c r="H24" s="61">
        <v>45000</v>
      </c>
      <c r="I24" s="61">
        <f t="shared" si="22"/>
        <v>57822.7</v>
      </c>
      <c r="J24" s="61">
        <f t="shared" si="23"/>
        <v>15000</v>
      </c>
      <c r="K24" s="61">
        <f t="shared" si="23"/>
        <v>16165.699999999997</v>
      </c>
      <c r="L24" s="39"/>
      <c r="M24" s="61">
        <v>50000</v>
      </c>
      <c r="N24" s="61">
        <v>30000</v>
      </c>
      <c r="O24" s="17" t="str">
        <f t="shared" si="24"/>
        <v>1.00 Months</v>
      </c>
      <c r="P24" s="17" t="str">
        <f t="shared" si="25"/>
        <v>100.00 %</v>
      </c>
      <c r="Q24" s="61">
        <f t="shared" si="26"/>
        <v>-20000</v>
      </c>
      <c r="R24" s="61">
        <v>45000</v>
      </c>
      <c r="S24" s="17" t="str">
        <f t="shared" si="27"/>
        <v>1.50 Months</v>
      </c>
      <c r="T24" s="77" t="str">
        <f t="shared" si="28"/>
        <v>150.00 %</v>
      </c>
      <c r="U24" s="139">
        <f t="shared" si="32"/>
        <v>75000</v>
      </c>
      <c r="V24" s="126" t="str">
        <f t="shared" si="29"/>
        <v>2.50 Months</v>
      </c>
      <c r="W24" s="126" t="str">
        <f t="shared" si="30"/>
        <v>250.00 %</v>
      </c>
      <c r="X24" s="140">
        <f t="shared" si="31"/>
        <v>25000</v>
      </c>
      <c r="Y24" s="43"/>
    </row>
    <row r="25" spans="1:25" s="1" customFormat="1" ht="35.1" customHeight="1">
      <c r="A25" s="13">
        <v>4</v>
      </c>
      <c r="B25" s="20" t="s">
        <v>51</v>
      </c>
      <c r="C25" s="15" t="s">
        <v>52</v>
      </c>
      <c r="D25" s="16">
        <v>43223</v>
      </c>
      <c r="E25" s="60">
        <v>22400</v>
      </c>
      <c r="F25" s="60">
        <v>32276</v>
      </c>
      <c r="G25" s="69">
        <f t="shared" si="21"/>
        <v>0.3392857142857143</v>
      </c>
      <c r="H25" s="61">
        <v>30000</v>
      </c>
      <c r="I25" s="61">
        <f t="shared" si="22"/>
        <v>40863.599999999999</v>
      </c>
      <c r="J25" s="61">
        <f t="shared" si="23"/>
        <v>7600</v>
      </c>
      <c r="K25" s="61">
        <f t="shared" si="23"/>
        <v>8587.5999999999985</v>
      </c>
      <c r="L25" s="39"/>
      <c r="M25" s="61">
        <v>40000</v>
      </c>
      <c r="N25" s="61">
        <v>22400</v>
      </c>
      <c r="O25" s="17" t="str">
        <f t="shared" si="24"/>
        <v>1.00 Months</v>
      </c>
      <c r="P25" s="17" t="str">
        <f t="shared" si="25"/>
        <v>100.00 %</v>
      </c>
      <c r="Q25" s="61">
        <f t="shared" si="26"/>
        <v>-17600</v>
      </c>
      <c r="R25" s="61">
        <v>33600</v>
      </c>
      <c r="S25" s="17" t="str">
        <f t="shared" si="27"/>
        <v>1.50 Months</v>
      </c>
      <c r="T25" s="77" t="str">
        <f t="shared" si="28"/>
        <v>150.00 %</v>
      </c>
      <c r="U25" s="139">
        <f t="shared" si="32"/>
        <v>56000</v>
      </c>
      <c r="V25" s="126" t="str">
        <f t="shared" si="29"/>
        <v>2.50 Months</v>
      </c>
      <c r="W25" s="126" t="str">
        <f t="shared" si="30"/>
        <v>250.00 %</v>
      </c>
      <c r="X25" s="140">
        <f t="shared" si="31"/>
        <v>16000</v>
      </c>
      <c r="Y25" s="43"/>
    </row>
    <row r="26" spans="1:25" s="1" customFormat="1" ht="35.1" customHeight="1">
      <c r="A26" s="13">
        <v>5</v>
      </c>
      <c r="B26" s="20" t="s">
        <v>53</v>
      </c>
      <c r="C26" s="15" t="s">
        <v>54</v>
      </c>
      <c r="D26" s="16">
        <v>43534</v>
      </c>
      <c r="E26" s="60">
        <v>32000</v>
      </c>
      <c r="F26" s="60">
        <v>44621</v>
      </c>
      <c r="G26" s="69">
        <f t="shared" si="21"/>
        <v>0.25</v>
      </c>
      <c r="H26" s="61">
        <v>40000</v>
      </c>
      <c r="I26" s="61">
        <f t="shared" si="22"/>
        <v>53883.1</v>
      </c>
      <c r="J26" s="61">
        <f t="shared" si="23"/>
        <v>8000</v>
      </c>
      <c r="K26" s="61">
        <f t="shared" si="23"/>
        <v>9262.0999999999985</v>
      </c>
      <c r="L26" s="39"/>
      <c r="M26" s="61">
        <v>62500</v>
      </c>
      <c r="N26" s="61">
        <v>32000</v>
      </c>
      <c r="O26" s="17" t="str">
        <f t="shared" si="24"/>
        <v>1.00 Months</v>
      </c>
      <c r="P26" s="17" t="str">
        <f t="shared" si="25"/>
        <v>100.00 %</v>
      </c>
      <c r="Q26" s="61">
        <f t="shared" si="26"/>
        <v>-30500</v>
      </c>
      <c r="R26" s="61">
        <v>48000</v>
      </c>
      <c r="S26" s="17" t="str">
        <f t="shared" si="27"/>
        <v>1.50 Months</v>
      </c>
      <c r="T26" s="77" t="str">
        <f t="shared" si="28"/>
        <v>150.00 %</v>
      </c>
      <c r="U26" s="139">
        <f t="shared" si="32"/>
        <v>80000</v>
      </c>
      <c r="V26" s="126" t="str">
        <f t="shared" si="29"/>
        <v>2.50 Months</v>
      </c>
      <c r="W26" s="126" t="str">
        <f t="shared" si="30"/>
        <v>250.00 %</v>
      </c>
      <c r="X26" s="140">
        <f t="shared" si="31"/>
        <v>17500</v>
      </c>
      <c r="Y26" s="43"/>
    </row>
    <row r="27" spans="1:25" s="1" customFormat="1" ht="35.1" customHeight="1">
      <c r="A27" s="13">
        <v>6</v>
      </c>
      <c r="B27" s="20" t="s">
        <v>55</v>
      </c>
      <c r="C27" s="15" t="s">
        <v>56</v>
      </c>
      <c r="D27" s="16">
        <v>44409</v>
      </c>
      <c r="E27" s="60">
        <v>12000</v>
      </c>
      <c r="F27" s="60">
        <v>18240</v>
      </c>
      <c r="G27" s="69">
        <f t="shared" si="21"/>
        <v>0.25</v>
      </c>
      <c r="H27" s="61">
        <v>15000</v>
      </c>
      <c r="I27" s="61">
        <f t="shared" si="22"/>
        <v>21864</v>
      </c>
      <c r="J27" s="61">
        <f t="shared" si="23"/>
        <v>3000</v>
      </c>
      <c r="K27" s="61">
        <f t="shared" si="23"/>
        <v>3624</v>
      </c>
      <c r="L27" s="39"/>
      <c r="M27" s="61">
        <v>20000</v>
      </c>
      <c r="N27" s="61">
        <v>12000</v>
      </c>
      <c r="O27" s="17" t="str">
        <f t="shared" si="24"/>
        <v>1.00 Months</v>
      </c>
      <c r="P27" s="17" t="str">
        <f t="shared" si="25"/>
        <v>100.00 %</v>
      </c>
      <c r="Q27" s="61">
        <f t="shared" si="26"/>
        <v>-8000</v>
      </c>
      <c r="R27" s="61">
        <v>12000</v>
      </c>
      <c r="S27" s="17" t="str">
        <f t="shared" si="27"/>
        <v>1.00 Months</v>
      </c>
      <c r="T27" s="77" t="str">
        <f t="shared" si="28"/>
        <v>100.00 %</v>
      </c>
      <c r="U27" s="139">
        <f t="shared" si="32"/>
        <v>24000</v>
      </c>
      <c r="V27" s="126" t="str">
        <f t="shared" si="29"/>
        <v>2.00 Months</v>
      </c>
      <c r="W27" s="126" t="str">
        <f t="shared" si="30"/>
        <v>200.00 %</v>
      </c>
      <c r="X27" s="140">
        <f t="shared" si="31"/>
        <v>4000</v>
      </c>
      <c r="Y27" s="43"/>
    </row>
    <row r="28" spans="1:25" s="1" customFormat="1" ht="35.1" customHeight="1">
      <c r="A28" s="13">
        <v>7</v>
      </c>
      <c r="B28" s="20" t="s">
        <v>57</v>
      </c>
      <c r="C28" s="15" t="s">
        <v>58</v>
      </c>
      <c r="D28" s="16">
        <v>42297</v>
      </c>
      <c r="E28" s="60">
        <v>18600</v>
      </c>
      <c r="F28" s="60">
        <v>24497</v>
      </c>
      <c r="G28" s="69">
        <f t="shared" si="21"/>
        <v>0.18279569892473119</v>
      </c>
      <c r="H28" s="61">
        <v>22000</v>
      </c>
      <c r="I28" s="61">
        <f t="shared" si="22"/>
        <v>28486.7</v>
      </c>
      <c r="J28" s="61">
        <f t="shared" si="23"/>
        <v>3400</v>
      </c>
      <c r="K28" s="61">
        <f t="shared" si="23"/>
        <v>3989.7000000000007</v>
      </c>
      <c r="L28" s="39"/>
      <c r="M28" s="61">
        <v>31000</v>
      </c>
      <c r="N28" s="61">
        <v>18600</v>
      </c>
      <c r="O28" s="17" t="str">
        <f t="shared" si="24"/>
        <v>1.00 Months</v>
      </c>
      <c r="P28" s="17" t="str">
        <f t="shared" si="25"/>
        <v>100.00 %</v>
      </c>
      <c r="Q28" s="61">
        <f t="shared" si="26"/>
        <v>-12400</v>
      </c>
      <c r="R28" s="61">
        <v>18600</v>
      </c>
      <c r="S28" s="17" t="str">
        <f t="shared" si="27"/>
        <v>1.00 Months</v>
      </c>
      <c r="T28" s="77" t="str">
        <f t="shared" si="28"/>
        <v>100.00 %</v>
      </c>
      <c r="U28" s="139">
        <f t="shared" si="32"/>
        <v>37200</v>
      </c>
      <c r="V28" s="126" t="str">
        <f t="shared" si="29"/>
        <v>2.00 Months</v>
      </c>
      <c r="W28" s="126" t="str">
        <f t="shared" si="30"/>
        <v>200.00 %</v>
      </c>
      <c r="X28" s="140">
        <f t="shared" si="31"/>
        <v>6200</v>
      </c>
      <c r="Y28" s="43"/>
    </row>
    <row r="29" spans="1:25" s="1" customFormat="1" ht="35.1" customHeight="1">
      <c r="A29" s="13">
        <v>8</v>
      </c>
      <c r="B29" s="20" t="s">
        <v>59</v>
      </c>
      <c r="C29" s="15" t="s">
        <v>60</v>
      </c>
      <c r="D29" s="16">
        <v>42397</v>
      </c>
      <c r="E29" s="60">
        <v>18600</v>
      </c>
      <c r="F29" s="60">
        <v>27665</v>
      </c>
      <c r="G29" s="69">
        <f t="shared" si="21"/>
        <v>0.18279569892473119</v>
      </c>
      <c r="H29" s="61">
        <v>22000</v>
      </c>
      <c r="I29" s="61">
        <f t="shared" si="22"/>
        <v>31971.5</v>
      </c>
      <c r="J29" s="61">
        <f t="shared" si="23"/>
        <v>3400</v>
      </c>
      <c r="K29" s="61">
        <f t="shared" si="23"/>
        <v>4306.5</v>
      </c>
      <c r="L29" s="39"/>
      <c r="M29" s="61">
        <v>25000</v>
      </c>
      <c r="N29" s="61">
        <v>18600</v>
      </c>
      <c r="O29" s="17" t="str">
        <f t="shared" si="24"/>
        <v>1.00 Months</v>
      </c>
      <c r="P29" s="17" t="str">
        <f t="shared" si="25"/>
        <v>100.00 %</v>
      </c>
      <c r="Q29" s="61">
        <f t="shared" si="26"/>
        <v>-6400</v>
      </c>
      <c r="R29" s="61">
        <v>11346</v>
      </c>
      <c r="S29" s="17" t="str">
        <f t="shared" si="27"/>
        <v>0.61 Months</v>
      </c>
      <c r="T29" s="77" t="str">
        <f t="shared" si="28"/>
        <v>61.00 %</v>
      </c>
      <c r="U29" s="139">
        <f t="shared" si="32"/>
        <v>29946</v>
      </c>
      <c r="V29" s="126" t="str">
        <f t="shared" si="29"/>
        <v>1.61 Months</v>
      </c>
      <c r="W29" s="126" t="str">
        <f t="shared" si="30"/>
        <v>161.00 %</v>
      </c>
      <c r="X29" s="140">
        <f t="shared" si="31"/>
        <v>4946</v>
      </c>
      <c r="Y29" s="43"/>
    </row>
    <row r="30" spans="1:25" s="1" customFormat="1" ht="35.1" customHeight="1">
      <c r="A30" s="13">
        <v>9</v>
      </c>
      <c r="B30" s="20" t="s">
        <v>61</v>
      </c>
      <c r="C30" s="15" t="s">
        <v>62</v>
      </c>
      <c r="D30" s="16">
        <v>45095</v>
      </c>
      <c r="E30" s="60">
        <v>11500</v>
      </c>
      <c r="F30" s="60">
        <v>17204</v>
      </c>
      <c r="G30" s="69">
        <f t="shared" si="21"/>
        <v>0.30434782608695654</v>
      </c>
      <c r="H30" s="61">
        <v>15000</v>
      </c>
      <c r="I30" s="61">
        <f t="shared" si="22"/>
        <v>21274.400000000001</v>
      </c>
      <c r="J30" s="61">
        <f t="shared" si="23"/>
        <v>3500</v>
      </c>
      <c r="K30" s="61">
        <f t="shared" si="23"/>
        <v>4070.4000000000015</v>
      </c>
      <c r="L30" s="39"/>
      <c r="M30" s="61">
        <v>5748</v>
      </c>
      <c r="N30" s="61">
        <v>11500</v>
      </c>
      <c r="O30" s="17" t="str">
        <f t="shared" si="24"/>
        <v>1.00 Months</v>
      </c>
      <c r="P30" s="17" t="str">
        <f t="shared" si="25"/>
        <v>100.00 %</v>
      </c>
      <c r="Q30" s="61">
        <f t="shared" si="26"/>
        <v>5752</v>
      </c>
      <c r="R30" s="61">
        <v>5750</v>
      </c>
      <c r="S30" s="17" t="str">
        <f t="shared" si="27"/>
        <v>0.50 Months</v>
      </c>
      <c r="T30" s="77" t="str">
        <f t="shared" si="28"/>
        <v>50.00 %</v>
      </c>
      <c r="U30" s="139">
        <f t="shared" si="32"/>
        <v>17250</v>
      </c>
      <c r="V30" s="126" t="str">
        <f t="shared" si="29"/>
        <v>1.50 Months</v>
      </c>
      <c r="W30" s="126" t="str">
        <f t="shared" si="30"/>
        <v>150.00 %</v>
      </c>
      <c r="X30" s="140">
        <f t="shared" si="31"/>
        <v>11502</v>
      </c>
      <c r="Y30" s="43"/>
    </row>
    <row r="31" spans="1:25" s="1" customFormat="1" ht="34.950000000000003" customHeight="1">
      <c r="A31" s="13">
        <v>10</v>
      </c>
      <c r="B31" s="20" t="s">
        <v>63</v>
      </c>
      <c r="C31" s="15" t="s">
        <v>64</v>
      </c>
      <c r="D31" s="16">
        <v>39827</v>
      </c>
      <c r="E31" s="60">
        <v>12000</v>
      </c>
      <c r="F31" s="60">
        <v>18274</v>
      </c>
      <c r="G31" s="69">
        <f t="shared" si="21"/>
        <v>0.25</v>
      </c>
      <c r="H31" s="61">
        <v>15000</v>
      </c>
      <c r="I31" s="61">
        <f t="shared" si="22"/>
        <v>21901.4</v>
      </c>
      <c r="J31" s="61">
        <f t="shared" si="23"/>
        <v>3000</v>
      </c>
      <c r="K31" s="61">
        <f t="shared" si="23"/>
        <v>3627.4000000000015</v>
      </c>
      <c r="L31" s="39"/>
      <c r="M31" s="61">
        <v>15750</v>
      </c>
      <c r="N31" s="61">
        <v>12000</v>
      </c>
      <c r="O31" s="17" t="str">
        <f t="shared" si="24"/>
        <v>1.00 Months</v>
      </c>
      <c r="P31" s="17" t="str">
        <f t="shared" si="25"/>
        <v>100.00 %</v>
      </c>
      <c r="Q31" s="61">
        <f t="shared" si="26"/>
        <v>-3750</v>
      </c>
      <c r="R31" s="61">
        <v>6000</v>
      </c>
      <c r="S31" s="17" t="str">
        <f t="shared" si="27"/>
        <v>0.50 Months</v>
      </c>
      <c r="T31" s="77" t="str">
        <f t="shared" si="28"/>
        <v>50.00 %</v>
      </c>
      <c r="U31" s="139">
        <f t="shared" si="32"/>
        <v>18000</v>
      </c>
      <c r="V31" s="126" t="str">
        <f t="shared" si="29"/>
        <v>1.50 Months</v>
      </c>
      <c r="W31" s="126" t="str">
        <f t="shared" si="30"/>
        <v>150.00 %</v>
      </c>
      <c r="X31" s="140">
        <f t="shared" si="31"/>
        <v>2250</v>
      </c>
      <c r="Y31" s="43"/>
    </row>
    <row r="32" spans="1:25" s="1" customFormat="1" ht="35.1" customHeight="1">
      <c r="A32" s="13">
        <v>11</v>
      </c>
      <c r="B32" s="20" t="s">
        <v>65</v>
      </c>
      <c r="C32" s="15" t="s">
        <v>66</v>
      </c>
      <c r="D32" s="16">
        <v>42186</v>
      </c>
      <c r="E32" s="60">
        <v>11284</v>
      </c>
      <c r="F32" s="60">
        <v>17303</v>
      </c>
      <c r="G32" s="69">
        <f t="shared" si="21"/>
        <v>0.24069478908188585</v>
      </c>
      <c r="H32" s="61">
        <v>14000</v>
      </c>
      <c r="I32" s="61">
        <f t="shared" si="22"/>
        <v>20620.900000000001</v>
      </c>
      <c r="J32" s="61">
        <f t="shared" si="23"/>
        <v>2716</v>
      </c>
      <c r="K32" s="61">
        <f t="shared" si="23"/>
        <v>3317.9000000000015</v>
      </c>
      <c r="L32" s="39"/>
      <c r="M32" s="61">
        <v>18200</v>
      </c>
      <c r="N32" s="61">
        <v>11284</v>
      </c>
      <c r="O32" s="17" t="str">
        <f t="shared" si="24"/>
        <v>1.00 Months</v>
      </c>
      <c r="P32" s="17" t="str">
        <f t="shared" si="25"/>
        <v>100.00 %</v>
      </c>
      <c r="Q32" s="61">
        <f t="shared" si="26"/>
        <v>-6916</v>
      </c>
      <c r="R32" s="61">
        <v>8916</v>
      </c>
      <c r="S32" s="17" t="str">
        <f t="shared" si="27"/>
        <v>0.79 Months</v>
      </c>
      <c r="T32" s="77" t="str">
        <f t="shared" si="28"/>
        <v>79.01 %</v>
      </c>
      <c r="U32" s="139">
        <f t="shared" si="32"/>
        <v>20200</v>
      </c>
      <c r="V32" s="126" t="str">
        <f t="shared" si="29"/>
        <v>1.79 Months</v>
      </c>
      <c r="W32" s="126" t="str">
        <f t="shared" si="30"/>
        <v>179.01 %</v>
      </c>
      <c r="X32" s="140">
        <f t="shared" si="31"/>
        <v>2000</v>
      </c>
      <c r="Y32" s="43"/>
    </row>
    <row r="33" spans="1:25" s="1" customFormat="1" ht="35.1" customHeight="1">
      <c r="A33" s="13">
        <v>12</v>
      </c>
      <c r="B33" s="20" t="s">
        <v>67</v>
      </c>
      <c r="C33" s="15" t="s">
        <v>68</v>
      </c>
      <c r="D33" s="16">
        <v>41105</v>
      </c>
      <c r="E33" s="60">
        <v>11160</v>
      </c>
      <c r="F33" s="60">
        <v>17442</v>
      </c>
      <c r="G33" s="69">
        <f t="shared" si="21"/>
        <v>0.20967741935483872</v>
      </c>
      <c r="H33" s="61">
        <v>13500</v>
      </c>
      <c r="I33" s="61">
        <f t="shared" si="22"/>
        <v>20410.2</v>
      </c>
      <c r="J33" s="61">
        <f t="shared" si="23"/>
        <v>2340</v>
      </c>
      <c r="K33" s="61">
        <f t="shared" si="23"/>
        <v>2968.2000000000007</v>
      </c>
      <c r="L33" s="39"/>
      <c r="M33" s="61">
        <v>16000</v>
      </c>
      <c r="N33" s="61">
        <v>11160</v>
      </c>
      <c r="O33" s="17" t="str">
        <f t="shared" si="24"/>
        <v>1.00 Months</v>
      </c>
      <c r="P33" s="17" t="str">
        <f t="shared" si="25"/>
        <v>100.00 %</v>
      </c>
      <c r="Q33" s="61">
        <f t="shared" si="26"/>
        <v>-4840</v>
      </c>
      <c r="R33" s="61">
        <v>6840</v>
      </c>
      <c r="S33" s="17" t="str">
        <f t="shared" si="27"/>
        <v>0.61 Months</v>
      </c>
      <c r="T33" s="77" t="str">
        <f t="shared" si="28"/>
        <v>61.29 %</v>
      </c>
      <c r="U33" s="139">
        <f t="shared" si="32"/>
        <v>18000</v>
      </c>
      <c r="V33" s="126" t="str">
        <f t="shared" si="29"/>
        <v>1.61 Months</v>
      </c>
      <c r="W33" s="126" t="str">
        <f t="shared" si="30"/>
        <v>161.29 %</v>
      </c>
      <c r="X33" s="140">
        <f t="shared" si="31"/>
        <v>2000</v>
      </c>
      <c r="Y33" s="43"/>
    </row>
    <row r="34" spans="1:25" s="1" customFormat="1" ht="35.1" customHeight="1">
      <c r="A34" s="13">
        <v>13</v>
      </c>
      <c r="B34" s="20" t="s">
        <v>69</v>
      </c>
      <c r="C34" s="15" t="s">
        <v>70</v>
      </c>
      <c r="D34" s="16">
        <v>39583</v>
      </c>
      <c r="E34" s="60">
        <v>10000</v>
      </c>
      <c r="F34" s="60">
        <v>15208</v>
      </c>
      <c r="G34" s="69">
        <f t="shared" si="21"/>
        <v>0.2</v>
      </c>
      <c r="H34" s="61">
        <v>12000</v>
      </c>
      <c r="I34" s="61">
        <f t="shared" si="22"/>
        <v>17728.8</v>
      </c>
      <c r="J34" s="61">
        <f t="shared" si="23"/>
        <v>2000</v>
      </c>
      <c r="K34" s="61">
        <f t="shared" si="23"/>
        <v>2520.7999999999993</v>
      </c>
      <c r="L34" s="39"/>
      <c r="M34" s="61">
        <v>12000</v>
      </c>
      <c r="N34" s="61">
        <v>10000</v>
      </c>
      <c r="O34" s="17" t="str">
        <f t="shared" si="24"/>
        <v>1.00 Months</v>
      </c>
      <c r="P34" s="17" t="str">
        <f t="shared" si="25"/>
        <v>100.00 %</v>
      </c>
      <c r="Q34" s="61">
        <f t="shared" si="26"/>
        <v>-2000</v>
      </c>
      <c r="R34" s="61">
        <v>5000</v>
      </c>
      <c r="S34" s="17" t="str">
        <f t="shared" si="27"/>
        <v>0.50 Months</v>
      </c>
      <c r="T34" s="77" t="str">
        <f t="shared" si="28"/>
        <v>50.00 %</v>
      </c>
      <c r="U34" s="139">
        <f t="shared" si="32"/>
        <v>15000</v>
      </c>
      <c r="V34" s="126" t="str">
        <f t="shared" si="29"/>
        <v>1.50 Months</v>
      </c>
      <c r="W34" s="126" t="str">
        <f t="shared" si="30"/>
        <v>150.00 %</v>
      </c>
      <c r="X34" s="140">
        <f t="shared" si="31"/>
        <v>3000</v>
      </c>
      <c r="Y34" s="43"/>
    </row>
    <row r="35" spans="1:25" s="1" customFormat="1" ht="35.1" customHeight="1">
      <c r="A35" s="13">
        <v>14</v>
      </c>
      <c r="B35" s="20" t="s">
        <v>71</v>
      </c>
      <c r="C35" s="15" t="s">
        <v>72</v>
      </c>
      <c r="D35" s="16">
        <v>40724</v>
      </c>
      <c r="E35" s="60">
        <v>9000</v>
      </c>
      <c r="F35" s="60">
        <v>14580</v>
      </c>
      <c r="G35" s="69">
        <f t="shared" si="21"/>
        <v>0.22222222222222221</v>
      </c>
      <c r="H35" s="61">
        <v>11000</v>
      </c>
      <c r="I35" s="61">
        <f t="shared" si="22"/>
        <v>17138</v>
      </c>
      <c r="J35" s="61">
        <f t="shared" si="23"/>
        <v>2000</v>
      </c>
      <c r="K35" s="61">
        <f t="shared" si="23"/>
        <v>2558</v>
      </c>
      <c r="L35" s="39"/>
      <c r="M35" s="61">
        <v>13000</v>
      </c>
      <c r="N35" s="61">
        <v>9000</v>
      </c>
      <c r="O35" s="17" t="str">
        <f t="shared" si="24"/>
        <v>1.00 Months</v>
      </c>
      <c r="P35" s="17" t="str">
        <f t="shared" si="25"/>
        <v>100.00 %</v>
      </c>
      <c r="Q35" s="61">
        <f t="shared" si="26"/>
        <v>-4000</v>
      </c>
      <c r="R35" s="61">
        <v>6000</v>
      </c>
      <c r="S35" s="17" t="str">
        <f t="shared" si="27"/>
        <v>0.67 Months</v>
      </c>
      <c r="T35" s="77" t="str">
        <f t="shared" si="28"/>
        <v>66.67 %</v>
      </c>
      <c r="U35" s="139">
        <f t="shared" si="32"/>
        <v>15000</v>
      </c>
      <c r="V35" s="126" t="str">
        <f t="shared" si="29"/>
        <v>1.67 Months</v>
      </c>
      <c r="W35" s="126" t="str">
        <f t="shared" si="30"/>
        <v>166.67 %</v>
      </c>
      <c r="X35" s="140">
        <f t="shared" si="31"/>
        <v>2000</v>
      </c>
      <c r="Y35" s="43"/>
    </row>
    <row r="36" spans="1:25" s="1" customFormat="1" ht="35.1" customHeight="1">
      <c r="A36" s="13">
        <v>15</v>
      </c>
      <c r="B36" s="20" t="s">
        <v>73</v>
      </c>
      <c r="C36" s="15" t="s">
        <v>72</v>
      </c>
      <c r="D36" s="16">
        <v>43240</v>
      </c>
      <c r="E36" s="60">
        <v>8750</v>
      </c>
      <c r="F36" s="60">
        <v>13588</v>
      </c>
      <c r="G36" s="69">
        <f t="shared" si="21"/>
        <v>0.25714285714285712</v>
      </c>
      <c r="H36" s="61">
        <v>11000</v>
      </c>
      <c r="I36" s="61">
        <f t="shared" si="22"/>
        <v>16321.8</v>
      </c>
      <c r="J36" s="61">
        <f t="shared" si="23"/>
        <v>2250</v>
      </c>
      <c r="K36" s="61">
        <f t="shared" si="23"/>
        <v>2733.7999999999993</v>
      </c>
      <c r="L36" s="39"/>
      <c r="M36" s="61">
        <v>15000</v>
      </c>
      <c r="N36" s="61">
        <v>8750</v>
      </c>
      <c r="O36" s="17" t="str">
        <f t="shared" si="24"/>
        <v>1.00 Months</v>
      </c>
      <c r="P36" s="17" t="str">
        <f t="shared" si="25"/>
        <v>100.00 %</v>
      </c>
      <c r="Q36" s="61">
        <f t="shared" si="26"/>
        <v>-6250</v>
      </c>
      <c r="R36" s="61">
        <v>6250</v>
      </c>
      <c r="S36" s="17" t="str">
        <f t="shared" si="27"/>
        <v>0.71 Months</v>
      </c>
      <c r="T36" s="77" t="str">
        <f t="shared" si="28"/>
        <v>71.43 %</v>
      </c>
      <c r="U36" s="139">
        <f t="shared" si="32"/>
        <v>15000</v>
      </c>
      <c r="V36" s="126" t="str">
        <f t="shared" si="29"/>
        <v>1.71 Months</v>
      </c>
      <c r="W36" s="126" t="str">
        <f t="shared" si="30"/>
        <v>171.43 %</v>
      </c>
      <c r="X36" s="140">
        <f t="shared" si="31"/>
        <v>0</v>
      </c>
      <c r="Y36" s="43"/>
    </row>
    <row r="37" spans="1:25" s="1" customFormat="1" ht="35.1" customHeight="1">
      <c r="A37" s="13">
        <v>16</v>
      </c>
      <c r="B37" s="20" t="s">
        <v>74</v>
      </c>
      <c r="C37" s="15" t="s">
        <v>75</v>
      </c>
      <c r="D37" s="16">
        <v>39264</v>
      </c>
      <c r="E37" s="60">
        <v>26000</v>
      </c>
      <c r="F37" s="60">
        <v>26500</v>
      </c>
      <c r="G37" s="69">
        <f t="shared" si="21"/>
        <v>0.23076923076923078</v>
      </c>
      <c r="H37" s="61">
        <v>32000</v>
      </c>
      <c r="I37" s="61">
        <f t="shared" si="22"/>
        <v>32550</v>
      </c>
      <c r="J37" s="61">
        <f t="shared" si="23"/>
        <v>6000</v>
      </c>
      <c r="K37" s="61">
        <f t="shared" si="23"/>
        <v>6050</v>
      </c>
      <c r="L37" s="39"/>
      <c r="M37" s="61">
        <v>40000</v>
      </c>
      <c r="N37" s="61">
        <v>0</v>
      </c>
      <c r="O37" s="17" t="str">
        <f t="shared" si="24"/>
        <v>No Bonus</v>
      </c>
      <c r="P37" s="17" t="str">
        <f t="shared" si="25"/>
        <v>No Bonus</v>
      </c>
      <c r="Q37" s="61">
        <f t="shared" si="26"/>
        <v>-40000</v>
      </c>
      <c r="R37" s="149"/>
      <c r="S37" s="150" t="str">
        <f t="shared" si="27"/>
        <v>No Bonus</v>
      </c>
      <c r="T37" s="151" t="str">
        <f t="shared" si="28"/>
        <v>No Bonus</v>
      </c>
      <c r="U37" s="152">
        <f t="shared" si="32"/>
        <v>0</v>
      </c>
      <c r="V37" s="126" t="str">
        <f t="shared" si="29"/>
        <v>No Bonus</v>
      </c>
      <c r="W37" s="126" t="str">
        <f t="shared" si="30"/>
        <v>No Bonus</v>
      </c>
      <c r="X37" s="140">
        <f t="shared" si="31"/>
        <v>-40000</v>
      </c>
      <c r="Y37" s="90" t="s">
        <v>106</v>
      </c>
    </row>
    <row r="38" spans="1:25" s="1" customFormat="1" ht="35.1" customHeight="1">
      <c r="A38" s="13">
        <v>17</v>
      </c>
      <c r="B38" s="20" t="s">
        <v>76</v>
      </c>
      <c r="C38" s="15" t="s">
        <v>77</v>
      </c>
      <c r="D38" s="16">
        <v>43273</v>
      </c>
      <c r="E38" s="60">
        <v>12600</v>
      </c>
      <c r="F38" s="60">
        <v>19410</v>
      </c>
      <c r="G38" s="69">
        <f t="shared" si="21"/>
        <v>0.26984126984126983</v>
      </c>
      <c r="H38" s="61">
        <v>16000</v>
      </c>
      <c r="I38" s="61">
        <f t="shared" si="22"/>
        <v>23491</v>
      </c>
      <c r="J38" s="61">
        <f t="shared" si="23"/>
        <v>3400</v>
      </c>
      <c r="K38" s="61">
        <f t="shared" si="23"/>
        <v>4081</v>
      </c>
      <c r="L38" s="39"/>
      <c r="M38" s="61">
        <v>30000</v>
      </c>
      <c r="N38" s="61">
        <v>12600</v>
      </c>
      <c r="O38" s="17" t="str">
        <f t="shared" si="24"/>
        <v>1.00 Months</v>
      </c>
      <c r="P38" s="17" t="str">
        <f t="shared" si="25"/>
        <v>100.00 %</v>
      </c>
      <c r="Q38" s="61">
        <f t="shared" si="26"/>
        <v>-17400</v>
      </c>
      <c r="R38" s="61">
        <v>21400</v>
      </c>
      <c r="S38" s="17" t="str">
        <f t="shared" si="27"/>
        <v>1.70 Months</v>
      </c>
      <c r="T38" s="77" t="str">
        <f t="shared" si="28"/>
        <v>169.84 %</v>
      </c>
      <c r="U38" s="139">
        <f t="shared" si="32"/>
        <v>34000</v>
      </c>
      <c r="V38" s="126" t="str">
        <f t="shared" si="29"/>
        <v>2.70 Months</v>
      </c>
      <c r="W38" s="126" t="str">
        <f t="shared" si="30"/>
        <v>269.84 %</v>
      </c>
      <c r="X38" s="140">
        <f t="shared" si="31"/>
        <v>4000</v>
      </c>
      <c r="Y38" s="95"/>
    </row>
    <row r="39" spans="1:25" s="1" customFormat="1" ht="35.1" customHeight="1">
      <c r="A39" s="13">
        <v>18</v>
      </c>
      <c r="B39" s="20" t="s">
        <v>78</v>
      </c>
      <c r="C39" s="15" t="s">
        <v>79</v>
      </c>
      <c r="D39" s="16">
        <v>45173</v>
      </c>
      <c r="E39" s="60">
        <v>6500</v>
      </c>
      <c r="F39" s="60">
        <v>9987</v>
      </c>
      <c r="G39" s="69">
        <f t="shared" si="21"/>
        <v>0.53846153846153844</v>
      </c>
      <c r="H39" s="61">
        <v>10000</v>
      </c>
      <c r="I39" s="61">
        <f t="shared" si="22"/>
        <v>13835.7</v>
      </c>
      <c r="J39" s="61">
        <f t="shared" si="23"/>
        <v>3500</v>
      </c>
      <c r="K39" s="61">
        <f t="shared" si="23"/>
        <v>3848.7000000000007</v>
      </c>
      <c r="L39" s="39"/>
      <c r="M39" s="61">
        <v>2166</v>
      </c>
      <c r="N39" s="61">
        <v>6500</v>
      </c>
      <c r="O39" s="17" t="str">
        <f t="shared" si="24"/>
        <v>1.00 Months</v>
      </c>
      <c r="P39" s="17" t="str">
        <f t="shared" si="25"/>
        <v>100.00 %</v>
      </c>
      <c r="Q39" s="61">
        <f t="shared" si="26"/>
        <v>4334</v>
      </c>
      <c r="R39" s="61">
        <v>3250</v>
      </c>
      <c r="S39" s="17" t="str">
        <f t="shared" si="27"/>
        <v>0.50 Months</v>
      </c>
      <c r="T39" s="77" t="str">
        <f t="shared" si="28"/>
        <v>50.00 %</v>
      </c>
      <c r="U39" s="139">
        <f t="shared" si="32"/>
        <v>9750</v>
      </c>
      <c r="V39" s="126" t="str">
        <f t="shared" si="29"/>
        <v>1.50 Months</v>
      </c>
      <c r="W39" s="126" t="str">
        <f t="shared" si="30"/>
        <v>150.00 %</v>
      </c>
      <c r="X39" s="140">
        <f t="shared" si="31"/>
        <v>7584</v>
      </c>
      <c r="Y39" s="17"/>
    </row>
    <row r="40" spans="1:25" s="1" customFormat="1" ht="35.1" customHeight="1">
      <c r="A40" s="13">
        <v>19</v>
      </c>
      <c r="B40" s="20" t="s">
        <v>80</v>
      </c>
      <c r="C40" s="15" t="s">
        <v>56</v>
      </c>
      <c r="D40" s="16">
        <v>45438</v>
      </c>
      <c r="E40" s="60">
        <v>18000</v>
      </c>
      <c r="F40" s="60">
        <v>24300</v>
      </c>
      <c r="G40" s="69">
        <f t="shared" si="21"/>
        <v>0</v>
      </c>
      <c r="H40" s="61">
        <v>18000</v>
      </c>
      <c r="I40" s="61">
        <f t="shared" si="22"/>
        <v>24930</v>
      </c>
      <c r="J40" s="61">
        <f t="shared" si="23"/>
        <v>0</v>
      </c>
      <c r="K40" s="61">
        <f t="shared" si="23"/>
        <v>630</v>
      </c>
      <c r="L40" s="39"/>
      <c r="M40" s="61">
        <v>0</v>
      </c>
      <c r="N40" s="61">
        <v>10500</v>
      </c>
      <c r="O40" s="17" t="str">
        <f t="shared" si="24"/>
        <v>0.58 Months</v>
      </c>
      <c r="P40" s="17" t="str">
        <f t="shared" si="25"/>
        <v>58.33 %</v>
      </c>
      <c r="Q40" s="61">
        <f t="shared" si="26"/>
        <v>10500</v>
      </c>
      <c r="R40" s="149"/>
      <c r="S40" s="17" t="str">
        <f t="shared" si="27"/>
        <v>No Bonus</v>
      </c>
      <c r="T40" s="77" t="str">
        <f t="shared" si="28"/>
        <v>No Bonus</v>
      </c>
      <c r="U40" s="139">
        <f t="shared" si="32"/>
        <v>10500</v>
      </c>
      <c r="V40" s="126" t="str">
        <f t="shared" si="29"/>
        <v>0.58 Months</v>
      </c>
      <c r="W40" s="126" t="str">
        <f t="shared" si="30"/>
        <v>58.33 %</v>
      </c>
      <c r="X40" s="140">
        <f t="shared" si="31"/>
        <v>10500</v>
      </c>
      <c r="Y40" s="77" t="s">
        <v>131</v>
      </c>
    </row>
    <row r="41" spans="1:25" s="1" customFormat="1" ht="35.1" customHeight="1">
      <c r="A41" s="13">
        <v>20</v>
      </c>
      <c r="B41" s="20" t="s">
        <v>81</v>
      </c>
      <c r="C41" s="15" t="s">
        <v>82</v>
      </c>
      <c r="D41" s="16">
        <v>45505</v>
      </c>
      <c r="E41" s="60">
        <v>7000</v>
      </c>
      <c r="F41" s="60">
        <v>10700</v>
      </c>
      <c r="G41" s="69">
        <f t="shared" si="21"/>
        <v>0</v>
      </c>
      <c r="H41" s="61">
        <v>7000</v>
      </c>
      <c r="I41" s="61">
        <f t="shared" si="22"/>
        <v>11070</v>
      </c>
      <c r="J41" s="61">
        <f t="shared" si="23"/>
        <v>0</v>
      </c>
      <c r="K41" s="61">
        <f t="shared" si="23"/>
        <v>370</v>
      </c>
      <c r="L41" s="39"/>
      <c r="M41" s="61">
        <v>0</v>
      </c>
      <c r="N41" s="61">
        <v>2915</v>
      </c>
      <c r="O41" s="17" t="str">
        <f t="shared" si="24"/>
        <v>0.42 Months</v>
      </c>
      <c r="P41" s="17" t="str">
        <f t="shared" si="25"/>
        <v>41.64 %</v>
      </c>
      <c r="Q41" s="61">
        <f t="shared" si="26"/>
        <v>2915</v>
      </c>
      <c r="R41" s="61">
        <v>1500</v>
      </c>
      <c r="S41" s="17" t="str">
        <f t="shared" si="27"/>
        <v>0.21 Months</v>
      </c>
      <c r="T41" s="77" t="str">
        <f t="shared" si="28"/>
        <v>21.43 %</v>
      </c>
      <c r="U41" s="139">
        <f t="shared" si="32"/>
        <v>4415</v>
      </c>
      <c r="V41" s="126" t="str">
        <f t="shared" si="29"/>
        <v>0.63 Months</v>
      </c>
      <c r="W41" s="126" t="str">
        <f t="shared" si="30"/>
        <v>63.07 %</v>
      </c>
      <c r="X41" s="140">
        <f t="shared" si="31"/>
        <v>4415</v>
      </c>
      <c r="Y41" s="77" t="s">
        <v>128</v>
      </c>
    </row>
    <row r="42" spans="1:25" s="1" customFormat="1" ht="35.1" customHeight="1" thickBot="1">
      <c r="A42" s="162" t="s">
        <v>83</v>
      </c>
      <c r="B42" s="163"/>
      <c r="C42" s="163"/>
      <c r="D42" s="25"/>
      <c r="E42" s="68">
        <f t="shared" ref="E42:I42" si="33">SUM(E22:E41)</f>
        <v>392769</v>
      </c>
      <c r="F42" s="68">
        <f t="shared" si="33"/>
        <v>553827</v>
      </c>
      <c r="G42" s="106">
        <f t="shared" si="21"/>
        <v>0.30993026435385684</v>
      </c>
      <c r="H42" s="68">
        <f t="shared" si="33"/>
        <v>514500</v>
      </c>
      <c r="I42" s="68">
        <f t="shared" si="33"/>
        <v>691663.8</v>
      </c>
      <c r="J42" s="68">
        <f t="shared" ref="J42:N42" si="34">SUM(J22:J41)</f>
        <v>121731</v>
      </c>
      <c r="K42" s="68">
        <f t="shared" si="34"/>
        <v>137836.79999999999</v>
      </c>
      <c r="L42" s="26"/>
      <c r="M42" s="68">
        <f t="shared" si="34"/>
        <v>741364</v>
      </c>
      <c r="N42" s="68">
        <f t="shared" si="34"/>
        <v>270184</v>
      </c>
      <c r="O42" s="104"/>
      <c r="P42" s="104"/>
      <c r="Q42" s="146">
        <f>SUM(Q22:Q41)</f>
        <v>-471180</v>
      </c>
      <c r="R42" s="146">
        <f>SUM(R22:R41)</f>
        <v>694827</v>
      </c>
      <c r="S42" s="142"/>
      <c r="T42" s="143"/>
      <c r="U42" s="147">
        <f>SUM(U22:U41)</f>
        <v>965011</v>
      </c>
      <c r="V42" s="110"/>
      <c r="W42" s="110"/>
      <c r="X42" s="157">
        <f>SUM(X22:X41)</f>
        <v>223647</v>
      </c>
      <c r="Y42" s="96"/>
    </row>
    <row r="43" spans="1:25" s="1" customFormat="1" ht="35.1" customHeight="1">
      <c r="A43" s="7">
        <v>1</v>
      </c>
      <c r="B43" s="27" t="s">
        <v>84</v>
      </c>
      <c r="C43" s="28" t="s">
        <v>85</v>
      </c>
      <c r="D43" s="29" t="s">
        <v>86</v>
      </c>
      <c r="E43" s="66">
        <v>45000</v>
      </c>
      <c r="F43" s="66">
        <v>45000</v>
      </c>
      <c r="G43" s="73">
        <f t="shared" si="21"/>
        <v>0</v>
      </c>
      <c r="H43" s="66">
        <v>45000</v>
      </c>
      <c r="I43" s="67">
        <f t="shared" ref="I43:I47" si="35">((F43-E43)+H43)+($H$1*(F43-E43))</f>
        <v>45000</v>
      </c>
      <c r="J43" s="11">
        <f t="shared" ref="J43:K47" si="36">H43-E43</f>
        <v>0</v>
      </c>
      <c r="K43" s="11">
        <f t="shared" si="36"/>
        <v>0</v>
      </c>
      <c r="L43" s="38"/>
      <c r="M43" s="67">
        <v>52500</v>
      </c>
      <c r="N43" s="67">
        <v>0</v>
      </c>
      <c r="O43" s="11" t="str">
        <f t="shared" ref="O43:O47" si="37">IF(N43=0,"No Bonus",TEXT(N43/E43,"0.00")&amp;" Months")</f>
        <v>No Bonus</v>
      </c>
      <c r="P43" s="11" t="str">
        <f>IF(N43=0,"No Bonus",TEXT((N43/E43)*100,"0.00")&amp;" %")</f>
        <v>No Bonus</v>
      </c>
      <c r="Q43" s="61">
        <f>N43-M43</f>
        <v>-52500</v>
      </c>
      <c r="R43" s="61"/>
      <c r="S43" s="17" t="str">
        <f t="shared" ref="S43:S47" si="38">IF(R43=0,"No Bonus",TEXT(R43/E43,"0.00")&amp;" Months")</f>
        <v>No Bonus</v>
      </c>
      <c r="T43" s="77" t="str">
        <f t="shared" ref="T43:T47" si="39">IF(R43=0,"No Bonus",TEXT((R43/E43)*100,"0.00")&amp;" %")</f>
        <v>No Bonus</v>
      </c>
      <c r="U43" s="139">
        <f t="shared" ref="U43:U47" si="40">N43+R43</f>
        <v>0</v>
      </c>
      <c r="V43" s="126" t="str">
        <f t="shared" ref="V43:V47" si="41">IF(U43=0,"No Bonus",TEXT(U43/E43,"0.00")&amp;" Months")</f>
        <v>No Bonus</v>
      </c>
      <c r="W43" s="126" t="str">
        <f t="shared" ref="W43:W47" si="42">IF(U43=0,"No Bonus",TEXT((U43/E43)*100,"0.00")&amp;" %")</f>
        <v>No Bonus</v>
      </c>
      <c r="X43" s="140">
        <f>(N43+R43)-M43</f>
        <v>-52500</v>
      </c>
      <c r="Y43" s="91"/>
    </row>
    <row r="44" spans="1:25" s="1" customFormat="1" ht="35.1" customHeight="1">
      <c r="A44" s="13">
        <v>2</v>
      </c>
      <c r="B44" s="30" t="s">
        <v>87</v>
      </c>
      <c r="C44" s="31" t="s">
        <v>88</v>
      </c>
      <c r="D44" s="32" t="s">
        <v>89</v>
      </c>
      <c r="E44" s="60">
        <v>20000</v>
      </c>
      <c r="F44" s="60">
        <v>20000</v>
      </c>
      <c r="G44" s="69">
        <f t="shared" si="21"/>
        <v>0</v>
      </c>
      <c r="H44" s="60">
        <v>20000</v>
      </c>
      <c r="I44" s="61">
        <f t="shared" si="35"/>
        <v>20000</v>
      </c>
      <c r="J44" s="17">
        <f t="shared" si="36"/>
        <v>0</v>
      </c>
      <c r="K44" s="17">
        <f t="shared" si="36"/>
        <v>0</v>
      </c>
      <c r="L44" s="39"/>
      <c r="M44" s="61"/>
      <c r="N44" s="61"/>
      <c r="O44" s="17" t="str">
        <f t="shared" si="37"/>
        <v>No Bonus</v>
      </c>
      <c r="P44" s="17" t="str">
        <f>IF(N44=0,"No Bonus",TEXT((N44/E44)*100,"0.00")&amp;" %")</f>
        <v>No Bonus</v>
      </c>
      <c r="Q44" s="61">
        <f>N44-M44</f>
        <v>0</v>
      </c>
      <c r="R44" s="61"/>
      <c r="S44" s="17" t="str">
        <f t="shared" si="38"/>
        <v>No Bonus</v>
      </c>
      <c r="T44" s="77" t="str">
        <f t="shared" si="39"/>
        <v>No Bonus</v>
      </c>
      <c r="U44" s="139">
        <f t="shared" si="40"/>
        <v>0</v>
      </c>
      <c r="V44" s="126" t="str">
        <f t="shared" si="41"/>
        <v>No Bonus</v>
      </c>
      <c r="W44" s="126" t="str">
        <f t="shared" si="42"/>
        <v>No Bonus</v>
      </c>
      <c r="X44" s="140">
        <f>(N44+R44)-M44</f>
        <v>0</v>
      </c>
      <c r="Y44" s="90"/>
    </row>
    <row r="45" spans="1:25" s="1" customFormat="1" ht="35.1" customHeight="1">
      <c r="A45" s="13">
        <v>3</v>
      </c>
      <c r="B45" s="30" t="s">
        <v>90</v>
      </c>
      <c r="C45" s="31" t="s">
        <v>88</v>
      </c>
      <c r="D45" s="32" t="s">
        <v>91</v>
      </c>
      <c r="E45" s="60">
        <v>30000</v>
      </c>
      <c r="F45" s="60">
        <v>30000</v>
      </c>
      <c r="G45" s="69">
        <f t="shared" si="21"/>
        <v>0</v>
      </c>
      <c r="H45" s="60">
        <v>30000</v>
      </c>
      <c r="I45" s="61">
        <f t="shared" si="35"/>
        <v>30000</v>
      </c>
      <c r="J45" s="17">
        <f t="shared" si="36"/>
        <v>0</v>
      </c>
      <c r="K45" s="17">
        <f t="shared" si="36"/>
        <v>0</v>
      </c>
      <c r="L45" s="39"/>
      <c r="M45" s="61"/>
      <c r="N45" s="61"/>
      <c r="O45" s="17" t="str">
        <f t="shared" si="37"/>
        <v>No Bonus</v>
      </c>
      <c r="P45" s="17" t="str">
        <f>IF(N45=0,"No Bonus",TEXT((N45/E45)*100,"0.00")&amp;" %")</f>
        <v>No Bonus</v>
      </c>
      <c r="Q45" s="61">
        <f>N45-M45</f>
        <v>0</v>
      </c>
      <c r="R45" s="61"/>
      <c r="S45" s="17" t="str">
        <f t="shared" si="38"/>
        <v>No Bonus</v>
      </c>
      <c r="T45" s="77" t="str">
        <f t="shared" si="39"/>
        <v>No Bonus</v>
      </c>
      <c r="U45" s="139">
        <f t="shared" si="40"/>
        <v>0</v>
      </c>
      <c r="V45" s="126" t="str">
        <f t="shared" si="41"/>
        <v>No Bonus</v>
      </c>
      <c r="W45" s="126" t="str">
        <f t="shared" si="42"/>
        <v>No Bonus</v>
      </c>
      <c r="X45" s="140">
        <f>(N45+R45)-M45</f>
        <v>0</v>
      </c>
      <c r="Y45" s="90"/>
    </row>
    <row r="46" spans="1:25" s="1" customFormat="1" ht="35.1" customHeight="1">
      <c r="A46" s="13">
        <v>4</v>
      </c>
      <c r="B46" s="30" t="s">
        <v>92</v>
      </c>
      <c r="C46" s="31" t="s">
        <v>88</v>
      </c>
      <c r="D46" s="32" t="s">
        <v>91</v>
      </c>
      <c r="E46" s="60">
        <v>35000</v>
      </c>
      <c r="F46" s="60">
        <v>35000</v>
      </c>
      <c r="G46" s="69">
        <f t="shared" si="21"/>
        <v>0</v>
      </c>
      <c r="H46" s="60">
        <v>35000</v>
      </c>
      <c r="I46" s="61">
        <f t="shared" si="35"/>
        <v>35000</v>
      </c>
      <c r="J46" s="17">
        <f t="shared" si="36"/>
        <v>0</v>
      </c>
      <c r="K46" s="17">
        <f t="shared" si="36"/>
        <v>0</v>
      </c>
      <c r="L46" s="39"/>
      <c r="M46" s="61"/>
      <c r="N46" s="61"/>
      <c r="O46" s="17" t="str">
        <f t="shared" si="37"/>
        <v>No Bonus</v>
      </c>
      <c r="P46" s="17" t="str">
        <f>IF(N46=0,"No Bonus",TEXT((N46/E46)*100,"0.00")&amp;" %")</f>
        <v>No Bonus</v>
      </c>
      <c r="Q46" s="61">
        <f>N46-M46</f>
        <v>0</v>
      </c>
      <c r="R46" s="61"/>
      <c r="S46" s="17" t="str">
        <f t="shared" si="38"/>
        <v>No Bonus</v>
      </c>
      <c r="T46" s="77" t="str">
        <f t="shared" si="39"/>
        <v>No Bonus</v>
      </c>
      <c r="U46" s="139">
        <f t="shared" si="40"/>
        <v>0</v>
      </c>
      <c r="V46" s="126" t="str">
        <f t="shared" si="41"/>
        <v>No Bonus</v>
      </c>
      <c r="W46" s="126" t="str">
        <f t="shared" si="42"/>
        <v>No Bonus</v>
      </c>
      <c r="X46" s="140">
        <f>(N46+R46)-M46</f>
        <v>0</v>
      </c>
      <c r="Y46" s="90"/>
    </row>
    <row r="47" spans="1:25" s="1" customFormat="1" ht="35.1" customHeight="1">
      <c r="A47" s="13">
        <v>5</v>
      </c>
      <c r="B47" s="30" t="s">
        <v>101</v>
      </c>
      <c r="C47" s="31" t="s">
        <v>93</v>
      </c>
      <c r="D47" s="32" t="s">
        <v>102</v>
      </c>
      <c r="E47" s="17">
        <v>0</v>
      </c>
      <c r="F47" s="17"/>
      <c r="G47" s="69" t="str">
        <f t="shared" si="21"/>
        <v>No Ratio</v>
      </c>
      <c r="H47" s="17">
        <v>25000</v>
      </c>
      <c r="I47" s="61">
        <f t="shared" si="35"/>
        <v>25000</v>
      </c>
      <c r="J47" s="17">
        <f t="shared" si="36"/>
        <v>25000</v>
      </c>
      <c r="K47" s="17">
        <f t="shared" si="36"/>
        <v>25000</v>
      </c>
      <c r="L47" s="39"/>
      <c r="M47" s="61"/>
      <c r="N47" s="61"/>
      <c r="O47" s="17" t="str">
        <f t="shared" si="37"/>
        <v>No Bonus</v>
      </c>
      <c r="P47" s="17" t="str">
        <f>IF(N47=0,"No Bonus",TEXT((N47/E47)*100,"0.00")&amp;" %")</f>
        <v>No Bonus</v>
      </c>
      <c r="Q47" s="61">
        <f>N47-M47</f>
        <v>0</v>
      </c>
      <c r="R47" s="61"/>
      <c r="S47" s="17" t="str">
        <f t="shared" si="38"/>
        <v>No Bonus</v>
      </c>
      <c r="T47" s="77" t="str">
        <f t="shared" si="39"/>
        <v>No Bonus</v>
      </c>
      <c r="U47" s="139">
        <f t="shared" si="40"/>
        <v>0</v>
      </c>
      <c r="V47" s="126" t="str">
        <f t="shared" si="41"/>
        <v>No Bonus</v>
      </c>
      <c r="W47" s="126" t="str">
        <f t="shared" si="42"/>
        <v>No Bonus</v>
      </c>
      <c r="X47" s="140">
        <f>(N47+R47)-M47</f>
        <v>0</v>
      </c>
      <c r="Y47" s="90"/>
    </row>
    <row r="48" spans="1:25" s="1" customFormat="1" ht="35.1" customHeight="1" thickBot="1">
      <c r="A48" s="162" t="s">
        <v>94</v>
      </c>
      <c r="B48" s="163"/>
      <c r="C48" s="163"/>
      <c r="D48" s="25"/>
      <c r="E48" s="68">
        <f t="shared" ref="E48:I48" si="43">SUM(E43:E47)</f>
        <v>130000</v>
      </c>
      <c r="F48" s="68">
        <f t="shared" si="43"/>
        <v>130000</v>
      </c>
      <c r="G48" s="48">
        <f>IFERROR((H48-E48)/E48,"No Ratio")</f>
        <v>0.19230769230769232</v>
      </c>
      <c r="H48" s="68">
        <f t="shared" si="43"/>
        <v>155000</v>
      </c>
      <c r="I48" s="68">
        <f t="shared" si="43"/>
        <v>155000</v>
      </c>
      <c r="J48" s="26">
        <f t="shared" ref="J48:N48" si="44">SUM(J43:J47)</f>
        <v>25000</v>
      </c>
      <c r="K48" s="26">
        <f t="shared" si="44"/>
        <v>25000</v>
      </c>
      <c r="L48" s="26"/>
      <c r="M48" s="68">
        <f t="shared" si="44"/>
        <v>52500</v>
      </c>
      <c r="N48" s="68">
        <f t="shared" si="44"/>
        <v>0</v>
      </c>
      <c r="O48" s="104"/>
      <c r="P48" s="104"/>
      <c r="Q48" s="146">
        <f>SUM(Q43:Q47)</f>
        <v>-52500</v>
      </c>
      <c r="R48" s="146">
        <f t="shared" ref="R48:X48" si="45">SUM(R43:R47)</f>
        <v>0</v>
      </c>
      <c r="S48" s="142"/>
      <c r="T48" s="143"/>
      <c r="U48" s="147">
        <f t="shared" si="45"/>
        <v>0</v>
      </c>
      <c r="V48" s="145"/>
      <c r="W48" s="145"/>
      <c r="X48" s="140">
        <f t="shared" si="45"/>
        <v>-52500</v>
      </c>
      <c r="Y48" s="110"/>
    </row>
    <row r="49" spans="1:25" s="1" customFormat="1" ht="35.1" customHeight="1" thickBot="1">
      <c r="A49" s="172" t="s">
        <v>95</v>
      </c>
      <c r="B49" s="173"/>
      <c r="C49" s="173"/>
      <c r="D49" s="33"/>
      <c r="E49" s="71">
        <f>SUM(E48,E42,E21,E6)</f>
        <v>1268119</v>
      </c>
      <c r="F49" s="71">
        <f>SUM(F48,F42,F21,F6)</f>
        <v>1605493</v>
      </c>
      <c r="G49" s="49">
        <f>IFERROR((H49-E49)/E49,"No average")</f>
        <v>0.33449621052913803</v>
      </c>
      <c r="H49" s="71">
        <f>SUM(H48,H42,H21,H6)</f>
        <v>1692300</v>
      </c>
      <c r="I49" s="71">
        <f>SUM(I48,I42,I21,I6)</f>
        <v>2063411.4</v>
      </c>
      <c r="J49" s="71">
        <f>SUM(J48,J42,J21,J6)</f>
        <v>424181</v>
      </c>
      <c r="K49" s="71">
        <f>SUM(K48,K42,K21,K6)</f>
        <v>457918.39999999991</v>
      </c>
      <c r="L49" s="34"/>
      <c r="M49" s="71">
        <f>SUM(M48,M42,M21,M6)</f>
        <v>2979197</v>
      </c>
      <c r="N49" s="71">
        <f>SUM(N48,N42,N21,N6)</f>
        <v>1010534</v>
      </c>
      <c r="O49" s="34"/>
      <c r="P49" s="34"/>
      <c r="Q49" s="133">
        <f>SUM(Q48,Q42,Q21,Q6)</f>
        <v>-1968663</v>
      </c>
      <c r="R49" s="133">
        <f>SUM(R48,R42,R21,R6)</f>
        <v>2129002</v>
      </c>
      <c r="S49" s="134"/>
      <c r="T49" s="135"/>
      <c r="U49" s="136">
        <f>SUM(U48,U42,U21,U6)</f>
        <v>3139536</v>
      </c>
      <c r="V49" s="154"/>
      <c r="W49" s="154"/>
      <c r="X49" s="155">
        <f>SUM(X48,X42,X21,X6)</f>
        <v>160339</v>
      </c>
      <c r="Y49" s="112"/>
    </row>
    <row r="50" spans="1:25" ht="35.1" customHeight="1" thickBot="1">
      <c r="A50" s="172" t="s">
        <v>97</v>
      </c>
      <c r="B50" s="173"/>
      <c r="C50" s="173"/>
      <c r="D50" s="33"/>
      <c r="E50" s="71">
        <f>SUM(E42,E21,E6)</f>
        <v>1138119</v>
      </c>
      <c r="F50" s="71">
        <f>SUM(F42,F21,F6)</f>
        <v>1475493</v>
      </c>
      <c r="G50" s="49">
        <f>IFERROR((H50-E50)/E50,"No average")</f>
        <v>0.35073748878632199</v>
      </c>
      <c r="H50" s="71">
        <f>SUM(H42,H21,H6)</f>
        <v>1537300</v>
      </c>
      <c r="I50" s="71">
        <f>SUM(I42,I21,I6)</f>
        <v>1908411.4</v>
      </c>
      <c r="J50" s="71">
        <f>SUM(J42,J21,J6)</f>
        <v>399181</v>
      </c>
      <c r="K50" s="71">
        <f>SUM(K42,K21,K6)</f>
        <v>432918.39999999991</v>
      </c>
      <c r="L50" s="34"/>
      <c r="M50" s="71">
        <f>SUM(M42,M21,M6)</f>
        <v>2926697</v>
      </c>
      <c r="N50" s="71">
        <f>SUM(N42,N21,N6)</f>
        <v>1010534</v>
      </c>
      <c r="O50" s="34"/>
      <c r="P50" s="34"/>
      <c r="Q50" s="71">
        <f>SUM(Q42,Q21,Q6)</f>
        <v>-1916163</v>
      </c>
      <c r="R50" s="71">
        <f>SUM(R42,R21,R6)</f>
        <v>2129002</v>
      </c>
      <c r="S50" s="34"/>
      <c r="T50" s="80"/>
      <c r="U50" s="111">
        <f>SUM(U42,U21,U6)</f>
        <v>3139536</v>
      </c>
      <c r="V50" s="112"/>
      <c r="W50" s="112"/>
      <c r="X50" s="153">
        <f>SUM(X42,X21,X6)</f>
        <v>212839</v>
      </c>
      <c r="Y50" s="112"/>
    </row>
    <row r="52" spans="1:25" ht="35.1" customHeight="1" thickBot="1"/>
    <row r="53" spans="1:25" s="1" customFormat="1" ht="35.1" customHeight="1">
      <c r="A53" s="164" t="s">
        <v>96</v>
      </c>
      <c r="B53" s="165"/>
      <c r="C53" s="83" t="s">
        <v>4</v>
      </c>
      <c r="D53" s="88" t="s">
        <v>7</v>
      </c>
      <c r="E53" s="89" t="s">
        <v>5</v>
      </c>
      <c r="F53" s="88" t="s">
        <v>8</v>
      </c>
      <c r="G53" s="89" t="s">
        <v>11</v>
      </c>
      <c r="H53"/>
      <c r="I53"/>
      <c r="J53"/>
      <c r="K53"/>
      <c r="L53"/>
      <c r="M53"/>
      <c r="N53"/>
      <c r="O53" s="81"/>
      <c r="P53"/>
      <c r="Q53" s="81"/>
      <c r="R53"/>
      <c r="S53"/>
      <c r="T53" s="81"/>
      <c r="U53" s="74"/>
      <c r="V53" s="74"/>
      <c r="W53" s="74"/>
      <c r="X53" s="74"/>
      <c r="Y53" s="74"/>
    </row>
    <row r="54" spans="1:25" s="1" customFormat="1" ht="35.1" customHeight="1">
      <c r="A54" s="166"/>
      <c r="B54" s="167"/>
      <c r="C54" s="87">
        <f>E49</f>
        <v>1268119</v>
      </c>
      <c r="D54" s="86">
        <f>H49</f>
        <v>1692300</v>
      </c>
      <c r="E54" s="87">
        <f>F49</f>
        <v>1605493</v>
      </c>
      <c r="F54" s="86">
        <f>I49</f>
        <v>2063411.4</v>
      </c>
      <c r="G54" s="108"/>
      <c r="H54"/>
      <c r="I54"/>
      <c r="J54"/>
      <c r="K54"/>
      <c r="L54"/>
      <c r="M54"/>
      <c r="N54"/>
      <c r="O54" s="81"/>
      <c r="P54"/>
      <c r="Q54" s="81"/>
      <c r="R54"/>
      <c r="S54"/>
      <c r="T54" s="81"/>
      <c r="U54" s="74"/>
      <c r="V54" s="74"/>
      <c r="W54" s="74"/>
      <c r="X54" s="74"/>
      <c r="Y54" s="74"/>
    </row>
    <row r="55" spans="1:25" ht="35.1" customHeight="1" thickBot="1">
      <c r="A55" s="168"/>
      <c r="B55" s="169"/>
      <c r="C55" s="174">
        <f t="shared" ref="C55:E55" si="46">IFERROR(((D54-C54)/C54),0)</f>
        <v>0.33449621052913803</v>
      </c>
      <c r="D55" s="171"/>
      <c r="E55" s="174">
        <f t="shared" si="46"/>
        <v>0.28521980475779085</v>
      </c>
      <c r="F55" s="171"/>
      <c r="G55" s="50">
        <f>IFERROR(((#REF!-G54)/G54),0)</f>
        <v>0</v>
      </c>
    </row>
    <row r="56" spans="1:25" ht="35.1" customHeight="1" thickBot="1"/>
    <row r="57" spans="1:25" ht="35.1" customHeight="1">
      <c r="A57" s="164" t="s">
        <v>98</v>
      </c>
      <c r="B57" s="165"/>
      <c r="C57" s="83" t="s">
        <v>4</v>
      </c>
      <c r="D57" s="88" t="s">
        <v>7</v>
      </c>
      <c r="E57" s="89" t="s">
        <v>5</v>
      </c>
      <c r="F57" s="88" t="s">
        <v>8</v>
      </c>
      <c r="G57" s="89" t="s">
        <v>11</v>
      </c>
    </row>
    <row r="58" spans="1:25" ht="35.1" customHeight="1">
      <c r="A58" s="166"/>
      <c r="B58" s="167"/>
      <c r="C58" s="87">
        <f>E50</f>
        <v>1138119</v>
      </c>
      <c r="D58" s="86">
        <f>H50</f>
        <v>1537300</v>
      </c>
      <c r="E58" s="87">
        <f>F50</f>
        <v>1475493</v>
      </c>
      <c r="F58" s="86">
        <f>I50</f>
        <v>1908411.4</v>
      </c>
      <c r="G58" s="108"/>
    </row>
    <row r="59" spans="1:25" ht="35.1" customHeight="1" thickBot="1">
      <c r="A59" s="168"/>
      <c r="B59" s="169"/>
      <c r="C59" s="170">
        <f t="shared" ref="C59" si="47">IFERROR(((D58-C58)/C58),0)</f>
        <v>0.35073748878632199</v>
      </c>
      <c r="D59" s="171"/>
      <c r="E59" s="170">
        <f t="shared" ref="E59" si="48">IFERROR(((F58-E58)/E58),0)</f>
        <v>0.29340593279669908</v>
      </c>
      <c r="F59" s="171"/>
      <c r="G59" s="51">
        <f>IFERROR(((#REF!-G58)/G58),0)</f>
        <v>0</v>
      </c>
    </row>
  </sheetData>
  <mergeCells count="12">
    <mergeCell ref="A53:B55"/>
    <mergeCell ref="C55:D55"/>
    <mergeCell ref="E55:F55"/>
    <mergeCell ref="A57:B59"/>
    <mergeCell ref="C59:D59"/>
    <mergeCell ref="E59:F59"/>
    <mergeCell ref="A50:C50"/>
    <mergeCell ref="A6:D6"/>
    <mergeCell ref="A21:C21"/>
    <mergeCell ref="A42:C42"/>
    <mergeCell ref="A48:C48"/>
    <mergeCell ref="A49:C49"/>
  </mergeCells>
  <pageMargins left="0.7" right="0.7" top="0.75" bottom="0.75" header="0.3" footer="0.3"/>
  <pageSetup paperSize="9" scale="37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Partial 1-2</vt:lpstr>
      <vt:lpstr>Final 2025</vt:lpstr>
      <vt:lpstr>AnnualSlip</vt:lpstr>
      <vt:lpstr>Final Based on Dr Hani's Approv</vt:lpstr>
      <vt:lpstr>'Final 2025'!Print_Area</vt:lpstr>
      <vt:lpstr>'Final Based on Dr Hani''s Approv'!Print_Area</vt:lpstr>
      <vt:lpstr>'Partial 1-2'!Print_Area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Doaa Nassar</dc:creator>
  <cp:lastModifiedBy>Khaled Helmy</cp:lastModifiedBy>
  <cp:lastPrinted>2025-07-01T10:20:06Z</cp:lastPrinted>
  <dcterms:created xsi:type="dcterms:W3CDTF">2024-12-30T10:43:00Z</dcterms:created>
  <dcterms:modified xsi:type="dcterms:W3CDTF">2025-12-28T07:59:51Z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95239ED0B4024D99AF292F2F25BEF027_12</vt:lpwstr>
  </property>
  <property fmtid="{D5CDD505-2E9C-101B-9397-08002B2CF9AE}" pid="3" name="KSOProductBuildVer">
    <vt:lpwstr>1033-12.2.0.19307</vt:lpwstr>
  </property>
</Properties>
</file>