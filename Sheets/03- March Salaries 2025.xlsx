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Salaries Sheet 2025\MonthlySalaries\March 2025\"/>
    </mc:Choice>
  </mc:AlternateContent>
  <xr:revisionPtr revIDLastSave="0" documentId="13_ncr:8001_{33663FBF-2690-4937-BF8C-02C5D09DB1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6" l="1"/>
  <c r="A119" i="7" l="1"/>
  <c r="A120" i="7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20" i="7" s="1"/>
  <c r="F18" i="7"/>
  <c r="H119" i="7"/>
  <c r="F56" i="7"/>
  <c r="E101" i="7"/>
  <c r="E119" i="7" s="1"/>
  <c r="G120" i="7"/>
  <c r="G119" i="7"/>
  <c r="F118" i="7"/>
  <c r="P118" i="16"/>
  <c r="A4" i="12"/>
  <c r="F120" i="7" l="1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<sst xmlns="http://schemas.openxmlformats.org/spreadsheetml/2006/main" count="237" uniqueCount="158">
  <si>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</si>
  <si>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</si>
  <si>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</si>
  <si>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</si>
  <si>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</si>
  <si>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</si>
  <si>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</si>
  <si>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</si>
  <si>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</si>
  <si>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</si>
  <si>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</si>
  <si>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</si>
  <si>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</si>
  <si>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</si>
  <si>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</si>
  <si>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</si>
  <si>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</si>
  <si>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</si>
  <si>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</si>
  <si>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</si>
  <si>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</si>
  <si>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</si>
  <si>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</si>
  <si>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</si>
  <si>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</si>
  <si>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</si>
  <si>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</si>
  <si>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</si>
  <si>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</si>
  <si>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</si>
  <si>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</si>
  <si>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</si>
  <si>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</si>
  <si>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</si>
  <si>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</si>
  <si>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</si>
  <si>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</si>
  <si>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</si>
  <si>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</si>
  <si>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</si>
  <si>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</si>
  <si>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</si>
  <si>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</si>
  <si>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</si>
  <si>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</si>
  <si>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</si>
  <si>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</si>
  <si>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</si>
  <si>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</si>
  <si>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</si>
  <si>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</si>
  <si>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</si>
  <si>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</si>
  <si>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</si>
  <si>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</si>
  <si>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</si>
  <si>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</si>
  <si>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</si>
  <si>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</si>
  <si>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</si>
  <si>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</si>
  <si>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</si>
  <si>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</si>
  <si>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</si>
  <si>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</si>
  <si>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</si>
  <si>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</si>
  <si>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</si>
  <si>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</si>
  <si>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</si>
  <si>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</si>
  <si>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</si>
  <si>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</si>
  <si>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</si>
  <si>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</si>
  <si>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</si>
  <si>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</si>
  <si>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</si>
  <si>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</si>
  <si>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</si>
  <si>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</si>
  <si>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</si>
  <si>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</si>
  <si>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</si>
  <si>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</si>
  <si>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</si>
  <si>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</si>
  <si>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</si>
  <si>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</si>
  <si>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</si>
  <si>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</si>
  <si>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</si>
  <si>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</si>
  <si>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</si>
  <si>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</si>
  <si>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</si>
  <si>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</si>
  <si>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</si>
  <si>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</si>
  <si>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</si>
  <si>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</si>
  <si>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</si>
  <si>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</si>
  <si>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</si>
  <si>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</si>
  <si>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</si>
  <si>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</si>
  <si>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</si>
  <si>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</si>
  <si>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</si>
  <si>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</si>
  <si>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</si>
  <si>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</si>
  <si>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</si>
  <si>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</si>
  <si>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</si>
  <si>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</si>
  <si>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</si>
  <si>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</si>
  <si>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</si>
  <si>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</si>
  <si>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</si>
  <si>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</si>
  <si>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</si>
  <si>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</si>
  <si>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</si>
  <si>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</si>
  <si>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</si>
  <si>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</si>
  <si>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</si>
  <si>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</si>
  <si>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</si>
  <si>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</si>
  <si>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</si>
  <si>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</si>
  <si>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</si>
  <si>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</si>
  <si>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</si>
  <si>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</si>
  <si>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</si>
  <si>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</si>
  <si>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</si>
  <si>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</si>
  <si>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</si>
  <si>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</si>
  <si>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</si>
  <si>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Should be updated by April 2025 to 69k</t>
  </si>
  <si>
    <t>مارس 2025</t>
  </si>
  <si>
    <t>شهر مارس 2025</t>
  </si>
  <si>
    <t>Wife insurance 3/6</t>
  </si>
  <si>
    <t>Daughter medical 3/3</t>
  </si>
  <si>
    <t>3/3 son  Medical -from Allowance (1,028)</t>
  </si>
  <si>
    <t>Wife insurance 3/12</t>
  </si>
  <si>
    <t>د/ أحمد بغدادي رشدي محمد</t>
  </si>
  <si>
    <t>Tax card Issue- 18 Months</t>
  </si>
  <si>
    <t>1.5 day unpaid excessive lateness</t>
  </si>
  <si>
    <t>3/8 Medical Four family members from Allowance (2,033)</t>
  </si>
  <si>
    <t>أ/ نجوى إبراهيم محمود غنيم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</si>
</sst>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00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vertical="center"/>
    </xf>
    <xf numFmtId="0" fontId="0" fillId="21" borderId="1" xfId="0" applyFill="1" applyBorder="1"/>
    <xf numFmtId="165" fontId="6" fillId="21" borderId="1" xfId="1" applyFont="1" applyFill="1" applyBorder="1"/>
    <xf numFmtId="4" fontId="21" fillId="21" borderId="1" xfId="3" applyNumberFormat="1" applyFill="1" applyBorder="1" applyAlignment="1" applyProtection="1">
      <alignment horizontal="center" vertical="center"/>
    </xf>
    <xf numFmtId="165" fontId="21" fillId="21" borderId="1" xfId="3" applyNumberFormat="1" applyFill="1" applyBorder="1" applyAlignment="1" applyProtection="1">
      <alignment horizontal="center" vertical="center"/>
    </xf>
    <xf numFmtId="2" fontId="3" fillId="21" borderId="1" xfId="0" applyNumberFormat="1" applyFont="1" applyFill="1" applyBorder="1"/>
    <xf numFmtId="4" fontId="0" fillId="21" borderId="1" xfId="0" applyNumberFormat="1" applyFill="1" applyBorder="1" applyAlignment="1">
      <alignment horizontal="center" vertical="center"/>
    </xf>
    <xf numFmtId="4" fontId="6" fillId="21" borderId="1" xfId="0" applyNumberFormat="1" applyFont="1" applyFill="1" applyBorder="1" applyAlignment="1">
      <alignment horizontal="center" vertical="center"/>
    </xf>
    <xf numFmtId="49" fontId="3" fillId="21" borderId="15" xfId="0" applyNumberFormat="1" applyFont="1" applyFill="1" applyBorder="1" applyAlignment="1">
      <alignment horizontal="center" vertical="center"/>
    </xf>
    <xf numFmtId="1" fontId="7" fillId="21" borderId="14" xfId="0" applyNumberFormat="1" applyFont="1" applyFill="1" applyBorder="1" applyAlignment="1">
      <alignment horizontal="left"/>
    </xf>
    <xf numFmtId="165" fontId="3" fillId="3" borderId="1" xfId="1" applyFont="1" applyFill="1" applyBorder="1"/>
    <xf numFmtId="165" fontId="3" fillId="21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5" fontId="28" fillId="22" borderId="33" xfId="1" applyFont="1" applyFill="1" applyBorder="1"/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65" fontId="28" fillId="3" borderId="33" xfId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مارس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98" zoomScaleNormal="98" zoomScaleSheetLayoutView="75" workbookViewId="0">
      <pane ySplit="3" topLeftCell="A4" activePane="bottomLeft" state="frozen"/>
      <selection pane="bottomLeft" activeCell="A22" sqref="A22:XFD22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7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0" t="s">
        <v>147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35">
        <v>45717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2.2" x14ac:dyDescent="0.3">
      <c r="A3" s="112" t="s">
        <v>19</v>
      </c>
      <c r="B3" s="112" t="s">
        <v>36</v>
      </c>
      <c r="C3" s="112"/>
      <c r="D3" s="113" t="s">
        <v>35</v>
      </c>
      <c r="E3" s="114" t="s">
        <v>34</v>
      </c>
      <c r="F3" s="114" t="s">
        <v>33</v>
      </c>
      <c r="G3" s="113" t="s">
        <v>58</v>
      </c>
      <c r="H3" s="114" t="s">
        <v>32</v>
      </c>
      <c r="I3" s="113" t="s">
        <v>31</v>
      </c>
      <c r="J3" s="18" t="s">
        <v>12</v>
      </c>
      <c r="K3" s="129" t="s">
        <v>13</v>
      </c>
      <c r="L3" s="112"/>
      <c r="M3" s="112" t="s">
        <v>78</v>
      </c>
      <c r="N3" s="115" t="s">
        <v>2</v>
      </c>
      <c r="O3" s="116" t="s">
        <v>17</v>
      </c>
      <c r="P3" s="113" t="s">
        <v>18</v>
      </c>
    </row>
    <row r="4" spans="1:16" ht="16.8" x14ac:dyDescent="0.25">
      <c r="A4" s="31">
        <v>1</v>
      </c>
      <c r="B4" s="70" t="s">
        <v>129</v>
      </c>
      <c r="C4" s="3"/>
      <c r="D4" s="150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2">
        <f>SUM(D4,VALUE(E4),VALUE(F4),VALUE(G4))</f>
        <v>1422</v>
      </c>
      <c r="K4" s="152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130</v>
      </c>
      <c r="C5" s="25"/>
      <c r="D5" s="153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0</v>
      </c>
      <c r="J5" s="152">
        <f t="shared" ref="J5:J68" si="0">SUM(D5,VALUE(E5),VALUE(F5),VALUE(G5))</f>
        <v>660776</v>
      </c>
      <c r="K5" s="174">
        <f t="shared" ref="K5:K68" si="1">VALUE(D5)+VALUE(G5)+VALUE(H5)-VALUE(I5)</f>
        <v>500000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131</v>
      </c>
      <c r="C6" s="25"/>
      <c r="D6" s="153">
        <v>120000</v>
      </c>
      <c r="E6" s="34" t="str">
        <f>HYPERLINK(اضافات!N6)</f>
        <v>36049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1314</v>
      </c>
      <c r="J6" s="152">
        <f t="shared" si="0"/>
        <v>156524</v>
      </c>
      <c r="K6" s="174">
        <f t="shared" si="1"/>
        <v>118686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83</v>
      </c>
      <c r="C7" s="25"/>
      <c r="D7" s="150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2">
        <f t="shared" si="0"/>
        <v>0</v>
      </c>
      <c r="K7" s="152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83</v>
      </c>
      <c r="C8" s="25"/>
      <c r="D8" s="150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2">
        <f t="shared" si="0"/>
        <v>0</v>
      </c>
      <c r="K8" s="152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83</v>
      </c>
      <c r="C9" s="25"/>
      <c r="D9" s="150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2">
        <f t="shared" si="0"/>
        <v>0</v>
      </c>
      <c r="K9" s="152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83</v>
      </c>
      <c r="C10" s="25"/>
      <c r="D10" s="150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2">
        <f t="shared" si="0"/>
        <v>0</v>
      </c>
      <c r="K10" s="152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83</v>
      </c>
      <c r="C11" s="25"/>
      <c r="D11" s="150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2">
        <f t="shared" si="0"/>
        <v>0</v>
      </c>
      <c r="K11" s="152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83</v>
      </c>
      <c r="C12" s="25"/>
      <c r="D12" s="150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2">
        <f t="shared" si="0"/>
        <v>0</v>
      </c>
      <c r="K12" s="152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83</v>
      </c>
      <c r="C13" s="25"/>
      <c r="D13" s="150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2">
        <f t="shared" si="0"/>
        <v>0</v>
      </c>
      <c r="K13" s="152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83</v>
      </c>
      <c r="C14" s="25"/>
      <c r="D14" s="150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2">
        <f t="shared" si="0"/>
        <v>0</v>
      </c>
      <c r="K14" s="152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83</v>
      </c>
      <c r="C15" s="25"/>
      <c r="D15" s="150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2">
        <f t="shared" si="0"/>
        <v>0</v>
      </c>
      <c r="K15" s="152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83</v>
      </c>
      <c r="C16" s="25"/>
      <c r="D16" s="150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2">
        <f t="shared" si="0"/>
        <v>0</v>
      </c>
      <c r="K16" s="152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83</v>
      </c>
      <c r="C17" s="25"/>
      <c r="D17" s="150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2">
        <f t="shared" si="0"/>
        <v>0</v>
      </c>
      <c r="K17" s="152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4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4">
        <f t="shared" si="2"/>
        <v>818722</v>
      </c>
      <c r="K18" s="154">
        <f t="shared" si="2"/>
        <v>618686</v>
      </c>
      <c r="L18" s="120">
        <f>SUM(K4:K17)</f>
        <v>618686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79</v>
      </c>
      <c r="C19" s="25"/>
      <c r="D19" s="153">
        <v>46300</v>
      </c>
      <c r="E19" s="34" t="str">
        <f>HYPERLINK(اضافات!N19)</f>
        <v>11321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2219</v>
      </c>
      <c r="J19" s="152">
        <f t="shared" si="0"/>
        <v>57621</v>
      </c>
      <c r="K19" s="174">
        <f t="shared" si="1"/>
        <v>44081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65</v>
      </c>
      <c r="C20" s="25"/>
      <c r="D20" s="153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143</v>
      </c>
      <c r="J20" s="152">
        <f t="shared" si="0"/>
        <v>42963</v>
      </c>
      <c r="K20" s="174">
        <f t="shared" si="1"/>
        <v>34357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92</v>
      </c>
      <c r="C21" s="25"/>
      <c r="D21" s="153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50</v>
      </c>
      <c r="J21" s="152">
        <f t="shared" si="0"/>
        <v>65040</v>
      </c>
      <c r="K21" s="174">
        <f t="shared" si="1"/>
        <v>51700</v>
      </c>
      <c r="L21" s="26"/>
      <c r="M21" s="28"/>
      <c r="N21" s="57"/>
      <c r="O21" s="56"/>
      <c r="P21" s="27"/>
    </row>
    <row r="22" spans="1:16" ht="16.8" x14ac:dyDescent="0.25">
      <c r="A22" s="163">
        <v>4</v>
      </c>
      <c r="B22" s="164" t="s">
        <v>66</v>
      </c>
      <c r="C22" s="165"/>
      <c r="D22" s="166">
        <v>36000</v>
      </c>
      <c r="E22" s="167" t="str">
        <f>HYPERLINK(اضافات!N22)</f>
        <v>14448</v>
      </c>
      <c r="F22" s="167" t="str">
        <f>HYPERLINK(اضافات!M22)</f>
        <v>0</v>
      </c>
      <c r="G22" s="167" t="str">
        <f>HYPERLINK(اضافات!F22)</f>
        <v>0</v>
      </c>
      <c r="H22" s="167" t="str">
        <f>HYPERLINK(اضافات!O22)</f>
        <v>0</v>
      </c>
      <c r="I22" s="168" t="str">
        <f>HYPERLINK(خصومات!L22)</f>
        <v>7027</v>
      </c>
      <c r="J22" s="169">
        <f t="shared" si="0"/>
        <v>50448</v>
      </c>
      <c r="K22" s="175">
        <f t="shared" si="1"/>
        <v>28973</v>
      </c>
      <c r="L22" s="170"/>
      <c r="M22" s="171"/>
      <c r="N22" s="172"/>
      <c r="O22" s="173" t="s">
        <v>146</v>
      </c>
      <c r="P22" s="27"/>
    </row>
    <row r="23" spans="1:16" ht="16.8" x14ac:dyDescent="0.25">
      <c r="A23" s="31">
        <v>5</v>
      </c>
      <c r="B23" s="70" t="s">
        <v>69</v>
      </c>
      <c r="C23" s="25"/>
      <c r="D23" s="153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52">
        <f t="shared" si="0"/>
        <v>69116</v>
      </c>
      <c r="K23" s="174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128</v>
      </c>
      <c r="C24" s="25"/>
      <c r="D24" s="153">
        <v>60000</v>
      </c>
      <c r="E24" s="34" t="str">
        <f>HYPERLINK(اضافات!N24)</f>
        <v>11400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52">
        <f t="shared" si="0"/>
        <v>71400</v>
      </c>
      <c r="K24" s="174">
        <f t="shared" si="1"/>
        <v>60000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67</v>
      </c>
      <c r="C25" s="25"/>
      <c r="D25" s="153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680</v>
      </c>
      <c r="J25" s="152">
        <f t="shared" si="0"/>
        <v>42920</v>
      </c>
      <c r="K25" s="174">
        <f t="shared" si="1"/>
        <v>33820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83</v>
      </c>
      <c r="C26" s="25"/>
      <c r="D26" s="153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52">
        <f t="shared" si="0"/>
        <v>0</v>
      </c>
      <c r="K26" s="174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83</v>
      </c>
      <c r="C27" s="25"/>
      <c r="D27" s="153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52">
        <f t="shared" si="0"/>
        <v>0</v>
      </c>
      <c r="K27" s="174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83</v>
      </c>
      <c r="C28" s="25"/>
      <c r="D28" s="153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52">
        <f t="shared" si="0"/>
        <v>0</v>
      </c>
      <c r="K28" s="174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83</v>
      </c>
      <c r="C29" s="25"/>
      <c r="D29" s="153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52">
        <f t="shared" si="0"/>
        <v>0</v>
      </c>
      <c r="K29" s="174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83</v>
      </c>
      <c r="C30" s="78"/>
      <c r="D30" s="153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52">
        <f t="shared" si="0"/>
        <v>0</v>
      </c>
      <c r="K30" s="174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83</v>
      </c>
      <c r="C31" s="25"/>
      <c r="D31" s="153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52">
        <f t="shared" si="0"/>
        <v>0</v>
      </c>
      <c r="K31" s="174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83</v>
      </c>
      <c r="C32" s="25"/>
      <c r="D32" s="153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52">
        <f t="shared" si="0"/>
        <v>0</v>
      </c>
      <c r="K32" s="174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84</v>
      </c>
      <c r="C33" s="30"/>
      <c r="D33" s="153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50</v>
      </c>
      <c r="J33" s="152">
        <f t="shared" si="0"/>
        <v>53413.75</v>
      </c>
      <c r="K33" s="174">
        <f t="shared" si="1"/>
        <v>40200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68</v>
      </c>
      <c r="C34" s="30"/>
      <c r="D34" s="153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483</v>
      </c>
      <c r="J34" s="152">
        <f t="shared" si="0"/>
        <v>17639</v>
      </c>
      <c r="K34" s="174">
        <f t="shared" si="1"/>
        <v>14017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137</v>
      </c>
      <c r="C35" s="30"/>
      <c r="D35" s="153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52">
        <f t="shared" si="0"/>
        <v>16518</v>
      </c>
      <c r="K35" s="174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83</v>
      </c>
      <c r="C36" s="30"/>
      <c r="D36" s="153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52">
        <f t="shared" si="0"/>
        <v>0</v>
      </c>
      <c r="K36" s="174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83</v>
      </c>
      <c r="C37" s="30"/>
      <c r="D37" s="153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52">
        <f t="shared" si="0"/>
        <v>0</v>
      </c>
      <c r="K37" s="174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83</v>
      </c>
      <c r="C38" s="30"/>
      <c r="D38" s="153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52">
        <f t="shared" si="0"/>
        <v>0</v>
      </c>
      <c r="K38" s="174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83</v>
      </c>
      <c r="C39" s="30"/>
      <c r="D39" s="153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52">
        <f t="shared" si="0"/>
        <v>0</v>
      </c>
      <c r="K39" s="174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83</v>
      </c>
      <c r="C40" s="30"/>
      <c r="D40" s="153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52">
        <f t="shared" si="0"/>
        <v>0</v>
      </c>
      <c r="K40" s="174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83</v>
      </c>
      <c r="C41" s="30"/>
      <c r="D41" s="153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52">
        <f t="shared" si="0"/>
        <v>0</v>
      </c>
      <c r="K41" s="174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83</v>
      </c>
      <c r="C42" s="30"/>
      <c r="D42" s="153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52">
        <f t="shared" si="0"/>
        <v>0</v>
      </c>
      <c r="K42" s="174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83</v>
      </c>
      <c r="C43" s="30"/>
      <c r="D43" s="153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52">
        <f t="shared" si="0"/>
        <v>0</v>
      </c>
      <c r="K43" s="174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83</v>
      </c>
      <c r="C44" s="30"/>
      <c r="D44" s="153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52">
        <f t="shared" si="0"/>
        <v>0</v>
      </c>
      <c r="K44" s="174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125</v>
      </c>
      <c r="C45" s="30"/>
      <c r="D45" s="153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2116</v>
      </c>
      <c r="J45" s="152">
        <f t="shared" si="0"/>
        <v>12779</v>
      </c>
      <c r="K45" s="174">
        <f t="shared" si="1"/>
        <v>8884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134</v>
      </c>
      <c r="C46" s="30"/>
      <c r="D46" s="153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0</v>
      </c>
      <c r="J46" s="152">
        <f t="shared" si="0"/>
        <v>11655</v>
      </c>
      <c r="K46" s="174">
        <f t="shared" si="1"/>
        <v>10000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135</v>
      </c>
      <c r="C47" s="30"/>
      <c r="D47" s="153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0</v>
      </c>
      <c r="J47" s="152">
        <f t="shared" si="0"/>
        <v>11559</v>
      </c>
      <c r="K47" s="174">
        <f t="shared" si="1"/>
        <v>10000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136</v>
      </c>
      <c r="C48" s="30"/>
      <c r="D48" s="153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700</v>
      </c>
      <c r="J48" s="152">
        <f t="shared" si="0"/>
        <v>13863</v>
      </c>
      <c r="K48" s="174">
        <f t="shared" si="1"/>
        <v>11300</v>
      </c>
      <c r="L48" s="32"/>
      <c r="M48" s="28"/>
      <c r="N48" s="57"/>
      <c r="O48" s="56"/>
      <c r="P48" s="27"/>
    </row>
    <row r="49" spans="1:16" s="54" customFormat="1" ht="16.8" hidden="1" x14ac:dyDescent="0.25">
      <c r="A49" s="31"/>
      <c r="B49" s="70" t="s">
        <v>83</v>
      </c>
      <c r="C49" s="30"/>
      <c r="D49" s="153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2">
        <f t="shared" si="0"/>
        <v>0</v>
      </c>
      <c r="K49" s="152">
        <f t="shared" si="1"/>
        <v>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83</v>
      </c>
      <c r="C50" s="30"/>
      <c r="D50" s="153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2">
        <f t="shared" si="0"/>
        <v>0</v>
      </c>
      <c r="K50" s="152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83</v>
      </c>
      <c r="C51" s="30"/>
      <c r="D51" s="153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2">
        <f t="shared" si="0"/>
        <v>0</v>
      </c>
      <c r="K51" s="152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83</v>
      </c>
      <c r="C52" s="30"/>
      <c r="D52" s="153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2">
        <f t="shared" si="0"/>
        <v>0</v>
      </c>
      <c r="K52" s="152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83</v>
      </c>
      <c r="C53" s="30"/>
      <c r="D53" s="153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2">
        <f t="shared" si="0"/>
        <v>0</v>
      </c>
      <c r="K53" s="152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83</v>
      </c>
      <c r="C54" s="30"/>
      <c r="D54" s="153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2">
        <f t="shared" si="0"/>
        <v>0</v>
      </c>
      <c r="K54" s="152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83</v>
      </c>
      <c r="C55" s="30"/>
      <c r="D55" s="153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2">
        <f t="shared" si="0"/>
        <v>0</v>
      </c>
      <c r="K55" s="152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14</v>
      </c>
      <c r="B56" s="118" t="s">
        <v>80</v>
      </c>
      <c r="C56" s="119"/>
      <c r="D56" s="154">
        <f>SUM(D19:D55)</f>
        <v>429800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4">
        <f t="shared" si="3"/>
        <v>536934.75</v>
      </c>
      <c r="K56" s="154">
        <f t="shared" si="3"/>
        <v>416332</v>
      </c>
      <c r="L56" s="120">
        <f>SUM(K19:K55)</f>
        <v>416332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72</v>
      </c>
      <c r="C57" s="25"/>
      <c r="D57" s="153">
        <v>128000</v>
      </c>
      <c r="E57" s="34" t="str">
        <f>HYPERLINK(اضافات!N57)</f>
        <v>44284.75</v>
      </c>
      <c r="F57" s="34" t="str">
        <f>HYPERLINK(اضافات!M57)</f>
        <v>2350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52">
        <f t="shared" si="0"/>
        <v>174634.75</v>
      </c>
      <c r="K57" s="174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133</v>
      </c>
      <c r="C58" s="25"/>
      <c r="D58" s="153">
        <v>45000</v>
      </c>
      <c r="E58" s="34" t="str">
        <f>HYPERLINK(اضافات!N58)</f>
        <v>14363.75</v>
      </c>
      <c r="F58" s="34" t="str">
        <f>HYPERLINK(اضافات!M58)</f>
        <v>2050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52">
        <f t="shared" si="0"/>
        <v>61413.75</v>
      </c>
      <c r="K58" s="174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96</v>
      </c>
      <c r="C59" s="25"/>
      <c r="D59" s="153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52">
        <f t="shared" si="0"/>
        <v>0</v>
      </c>
      <c r="K59" s="174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96</v>
      </c>
      <c r="C60" s="25"/>
      <c r="D60" s="153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52">
        <f t="shared" si="0"/>
        <v>0</v>
      </c>
      <c r="K60" s="174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96</v>
      </c>
      <c r="C61" s="25"/>
      <c r="D61" s="153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52">
        <f t="shared" si="0"/>
        <v>0</v>
      </c>
      <c r="K61" s="174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71</v>
      </c>
      <c r="C62" s="3"/>
      <c r="D62" s="153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52">
        <f t="shared" si="0"/>
        <v>52422.75</v>
      </c>
      <c r="K62" s="174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76</v>
      </c>
      <c r="C63" s="25"/>
      <c r="D63" s="153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52">
        <f t="shared" si="0"/>
        <v>42610.75</v>
      </c>
      <c r="K63" s="174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95</v>
      </c>
      <c r="C64" s="25"/>
      <c r="D64" s="153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52">
        <f t="shared" si="0"/>
        <v>0</v>
      </c>
      <c r="K64" s="174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95</v>
      </c>
      <c r="C65" s="25"/>
      <c r="D65" s="153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52">
        <f t="shared" si="0"/>
        <v>0</v>
      </c>
      <c r="K65" s="174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95</v>
      </c>
      <c r="C66" s="25"/>
      <c r="D66" s="153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52">
        <f t="shared" si="0"/>
        <v>0</v>
      </c>
      <c r="K66" s="174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95</v>
      </c>
      <c r="C67" s="25"/>
      <c r="D67" s="153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52">
        <f t="shared" si="0"/>
        <v>0</v>
      </c>
      <c r="K67" s="174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138</v>
      </c>
      <c r="C68" s="25"/>
      <c r="D68" s="153">
        <v>40000</v>
      </c>
      <c r="E68" s="34" t="str">
        <f>HYPERLINK(اضافات!N68)</f>
        <v>13460.75</v>
      </c>
      <c r="F68" s="34" t="str">
        <f>HYPERLINK(اضافات!M68)</f>
        <v>2105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52">
        <f t="shared" si="0"/>
        <v>55565.75</v>
      </c>
      <c r="K68" s="174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132</v>
      </c>
      <c r="C69" s="25"/>
      <c r="D69" s="153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52">
        <f t="shared" ref="J69:J117" si="4">SUM(D69,VALUE(E69),VALUE(F69),VALUE(G69))</f>
        <v>27671.89</v>
      </c>
      <c r="K69" s="174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97</v>
      </c>
      <c r="C70" s="25"/>
      <c r="D70" s="153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52">
        <f t="shared" si="4"/>
        <v>22987.010000000002</v>
      </c>
      <c r="K70" s="174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139</v>
      </c>
      <c r="C71" s="25"/>
      <c r="D71" s="153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52">
        <f t="shared" si="4"/>
        <v>28806</v>
      </c>
      <c r="K71" s="174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75</v>
      </c>
      <c r="C72" s="25"/>
      <c r="D72" s="153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52">
        <f t="shared" si="4"/>
        <v>32813.75</v>
      </c>
      <c r="K72" s="174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126</v>
      </c>
      <c r="C73" s="25"/>
      <c r="D73" s="153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52">
        <f t="shared" si="4"/>
        <v>22830.15</v>
      </c>
      <c r="K73" s="174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74</v>
      </c>
      <c r="C74" s="25"/>
      <c r="D74" s="153">
        <v>15000</v>
      </c>
      <c r="E74" s="34" t="str">
        <f>HYPERLINK(اضافات!N74)</f>
        <v>6223.15</v>
      </c>
      <c r="F74" s="34" t="str">
        <f>HYPERLINK(اضافات!M74)</f>
        <v>2065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52">
        <f t="shared" si="4"/>
        <v>23288.15</v>
      </c>
      <c r="K74" s="174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145</v>
      </c>
      <c r="C75" s="25"/>
      <c r="D75" s="153">
        <v>14000</v>
      </c>
      <c r="E75" s="34" t="str">
        <f>HYPERLINK(اضافات!N75)</f>
        <v>5852</v>
      </c>
      <c r="F75" s="34" t="str">
        <f>HYPERLINK(اضافات!M75)</f>
        <v>2065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52">
        <f t="shared" si="4"/>
        <v>21917</v>
      </c>
      <c r="K75" s="174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140</v>
      </c>
      <c r="C76" s="25"/>
      <c r="D76" s="153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52">
        <f t="shared" si="4"/>
        <v>21268</v>
      </c>
      <c r="K76" s="174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141</v>
      </c>
      <c r="C77" s="25"/>
      <c r="D77" s="153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52">
        <f t="shared" si="4"/>
        <v>18522</v>
      </c>
      <c r="K77" s="174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142</v>
      </c>
      <c r="C78" s="25"/>
      <c r="D78" s="153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52">
        <f t="shared" si="4"/>
        <v>17943</v>
      </c>
      <c r="K78" s="174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77</v>
      </c>
      <c r="C79" s="25"/>
      <c r="D79" s="153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366</v>
      </c>
      <c r="J79" s="152">
        <f t="shared" si="4"/>
        <v>17188</v>
      </c>
      <c r="K79" s="174">
        <f t="shared" si="5"/>
        <v>10634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3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667</v>
      </c>
      <c r="J80" s="152">
        <f t="shared" si="4"/>
        <v>0</v>
      </c>
      <c r="K80" s="174">
        <f t="shared" si="5"/>
        <v>-667</v>
      </c>
      <c r="L80" s="26"/>
      <c r="M80" s="28"/>
      <c r="N80" s="57"/>
      <c r="O80" s="56"/>
      <c r="P80" s="27"/>
    </row>
    <row r="81" spans="1:16" s="55" customFormat="1" ht="16.8" x14ac:dyDescent="0.25">
      <c r="A81" s="31">
        <v>17</v>
      </c>
      <c r="B81" s="70" t="s">
        <v>143</v>
      </c>
      <c r="C81" s="25"/>
      <c r="D81" s="153">
        <v>16000</v>
      </c>
      <c r="E81" s="34" t="str">
        <f>HYPERLINK(اضافات!N81)</f>
        <v>6857</v>
      </c>
      <c r="F81" s="34" t="str">
        <f>HYPERLINK(اضافات!M81)</f>
        <v>1800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52">
        <f t="shared" si="4"/>
        <v>24657</v>
      </c>
      <c r="K81" s="174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127</v>
      </c>
      <c r="C82" s="25"/>
      <c r="D82" s="153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52">
        <f t="shared" si="4"/>
        <v>15461</v>
      </c>
      <c r="K82" s="174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144</v>
      </c>
      <c r="C83" s="25"/>
      <c r="D83" s="153">
        <v>7000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52">
        <f t="shared" si="4"/>
        <v>11036</v>
      </c>
      <c r="K83" s="174">
        <f t="shared" si="5"/>
        <v>7000</v>
      </c>
      <c r="L83" s="26"/>
      <c r="M83" s="28"/>
      <c r="N83" s="57"/>
      <c r="O83" s="56"/>
      <c r="P83" s="27"/>
    </row>
    <row r="84" spans="1:16" s="55" customFormat="1" ht="16.8" x14ac:dyDescent="0.25">
      <c r="A84" s="31">
        <v>20</v>
      </c>
      <c r="B84" s="70" t="s">
        <v>157</v>
      </c>
      <c r="C84" s="25"/>
      <c r="D84" s="153">
        <v>3700</v>
      </c>
      <c r="E84" s="34" t="str">
        <f>HYPERLINK(اضافات!N84)</f>
        <v>1102.75</v>
      </c>
      <c r="F84" s="34" t="str">
        <f>HYPERLINK(اضافات!M84)</f>
        <v>0</v>
      </c>
      <c r="G84" s="34" t="str">
        <f>HYPERLINK(اضافات!F84)</f>
        <v>0</v>
      </c>
      <c r="H84" s="34" t="str">
        <f>HYPERLINK(اضافات!O84)</f>
        <v>0</v>
      </c>
      <c r="I84" s="93" t="str">
        <f>HYPERLINK(خصومات!L84)</f>
        <v>0</v>
      </c>
      <c r="J84" s="152">
        <f t="shared" si="4"/>
        <v>4802.75</v>
      </c>
      <c r="K84" s="152">
        <f t="shared" si="5"/>
        <v>3700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83</v>
      </c>
      <c r="C85" s="25"/>
      <c r="D85" s="153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2">
        <f t="shared" si="4"/>
        <v>0</v>
      </c>
      <c r="K85" s="152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83</v>
      </c>
      <c r="C86" s="25"/>
      <c r="D86" s="153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2">
        <f t="shared" si="4"/>
        <v>0</v>
      </c>
      <c r="K86" s="152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83</v>
      </c>
      <c r="C87" s="25"/>
      <c r="D87" s="153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2">
        <f t="shared" si="4"/>
        <v>0</v>
      </c>
      <c r="K87" s="152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83</v>
      </c>
      <c r="C88" s="25"/>
      <c r="D88" s="153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2">
        <f t="shared" si="4"/>
        <v>0</v>
      </c>
      <c r="K88" s="152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83</v>
      </c>
      <c r="C89" s="25"/>
      <c r="D89" s="153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2">
        <f t="shared" si="4"/>
        <v>0</v>
      </c>
      <c r="K89" s="152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83</v>
      </c>
      <c r="C90" s="25"/>
      <c r="D90" s="153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2">
        <f t="shared" si="4"/>
        <v>0</v>
      </c>
      <c r="K90" s="152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83</v>
      </c>
      <c r="C91" s="25"/>
      <c r="D91" s="153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2">
        <f t="shared" si="4"/>
        <v>0</v>
      </c>
      <c r="K91" s="152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83</v>
      </c>
      <c r="C92" s="25"/>
      <c r="D92" s="153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2">
        <f t="shared" si="4"/>
        <v>0</v>
      </c>
      <c r="K92" s="152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83</v>
      </c>
      <c r="C93" s="25"/>
      <c r="D93" s="153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2">
        <f t="shared" si="4"/>
        <v>0</v>
      </c>
      <c r="K93" s="152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83</v>
      </c>
      <c r="C94" s="25"/>
      <c r="D94" s="153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2">
        <f t="shared" si="4"/>
        <v>0</v>
      </c>
      <c r="K94" s="152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83</v>
      </c>
      <c r="C95" s="25"/>
      <c r="D95" s="153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2">
        <f t="shared" si="4"/>
        <v>0</v>
      </c>
      <c r="K95" s="152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83</v>
      </c>
      <c r="C96" s="25"/>
      <c r="D96" s="153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2">
        <f t="shared" si="4"/>
        <v>0</v>
      </c>
      <c r="K96" s="152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83</v>
      </c>
      <c r="C97" s="25"/>
      <c r="D97" s="153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2">
        <f t="shared" si="4"/>
        <v>0</v>
      </c>
      <c r="K97" s="152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83</v>
      </c>
      <c r="C98" s="25"/>
      <c r="D98" s="153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2">
        <f t="shared" si="4"/>
        <v>0</v>
      </c>
      <c r="K98" s="152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83</v>
      </c>
      <c r="C99" s="25"/>
      <c r="D99" s="153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2">
        <f t="shared" si="4"/>
        <v>0</v>
      </c>
      <c r="K99" s="152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83</v>
      </c>
      <c r="C100" s="25"/>
      <c r="D100" s="153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2">
        <f t="shared" si="4"/>
        <v>0</v>
      </c>
      <c r="K100" s="152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4">
        <f>SUM(D57:D100)</f>
        <v>486200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51">
        <f t="shared" si="6"/>
        <v>697839.45000000007</v>
      </c>
      <c r="K101" s="151">
        <f t="shared" si="6"/>
        <v>482612.5</v>
      </c>
      <c r="L101" s="120">
        <f>SUM(K57:K100)</f>
        <v>482612.5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86</v>
      </c>
      <c r="C102" s="25"/>
      <c r="D102" s="153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74">
        <f t="shared" si="4"/>
        <v>45000</v>
      </c>
      <c r="K102" s="174">
        <f t="shared" ref="K102:K117" si="7">VALUE(D102)+VALUE(G102)+VALUE(H102)-VALUE(I102)</f>
        <v>45000</v>
      </c>
      <c r="L102" s="26"/>
      <c r="M102" s="28"/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87</v>
      </c>
      <c r="C103" s="25"/>
      <c r="D103" s="153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74">
        <f t="shared" si="4"/>
        <v>30000</v>
      </c>
      <c r="K103" s="174">
        <f t="shared" si="7"/>
        <v>30000</v>
      </c>
      <c r="L103" s="26"/>
      <c r="M103" s="28"/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88</v>
      </c>
      <c r="C104" s="25"/>
      <c r="D104" s="153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74">
        <f t="shared" si="4"/>
        <v>35000</v>
      </c>
      <c r="K104" s="174">
        <f t="shared" si="7"/>
        <v>35000</v>
      </c>
      <c r="L104" s="26"/>
      <c r="M104" s="28"/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89</v>
      </c>
      <c r="C105" s="25"/>
      <c r="D105" s="153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74">
        <f t="shared" si="4"/>
        <v>23045</v>
      </c>
      <c r="K105" s="174">
        <f t="shared" si="7"/>
        <v>20000</v>
      </c>
      <c r="L105" s="26"/>
      <c r="M105" s="28"/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73</v>
      </c>
      <c r="C106" s="25"/>
      <c r="D106" s="153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0</v>
      </c>
      <c r="J106" s="174">
        <f t="shared" si="4"/>
        <v>32600</v>
      </c>
      <c r="K106" s="174">
        <f t="shared" si="7"/>
        <v>32000</v>
      </c>
      <c r="L106" s="26"/>
      <c r="M106" s="28"/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153</v>
      </c>
      <c r="C107" s="25"/>
      <c r="D107" s="153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74">
        <f t="shared" si="4"/>
        <v>25000</v>
      </c>
      <c r="K107" s="174">
        <f t="shared" si="7"/>
        <v>25000</v>
      </c>
      <c r="L107" s="26"/>
      <c r="M107" s="28"/>
      <c r="N107" s="57"/>
      <c r="O107" s="56"/>
      <c r="P107" s="27"/>
    </row>
    <row r="108" spans="1:16" s="55" customFormat="1" ht="16.8" hidden="1" x14ac:dyDescent="0.25">
      <c r="A108" s="31"/>
      <c r="B108" s="70" t="s">
        <v>83</v>
      </c>
      <c r="C108" s="25"/>
      <c r="D108" s="150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52">
        <f t="shared" si="4"/>
        <v>0</v>
      </c>
      <c r="K108" s="152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83</v>
      </c>
      <c r="C109" s="25"/>
      <c r="D109" s="150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2">
        <f t="shared" si="4"/>
        <v>0</v>
      </c>
      <c r="K109" s="152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83</v>
      </c>
      <c r="C110" s="25"/>
      <c r="D110" s="150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2">
        <f t="shared" si="4"/>
        <v>0</v>
      </c>
      <c r="K110" s="152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83</v>
      </c>
      <c r="C111" s="25"/>
      <c r="D111" s="150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2">
        <f t="shared" si="4"/>
        <v>0</v>
      </c>
      <c r="K111" s="152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83</v>
      </c>
      <c r="C112" s="25"/>
      <c r="D112" s="150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2">
        <f t="shared" si="4"/>
        <v>0</v>
      </c>
      <c r="K112" s="152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83</v>
      </c>
      <c r="C113" s="25"/>
      <c r="D113" s="150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2">
        <f t="shared" si="4"/>
        <v>0</v>
      </c>
      <c r="K113" s="152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83</v>
      </c>
      <c r="C114" s="25"/>
      <c r="D114" s="150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2">
        <f t="shared" si="4"/>
        <v>0</v>
      </c>
      <c r="K114" s="152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83</v>
      </c>
      <c r="C115" s="25"/>
      <c r="D115" s="150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2">
        <f t="shared" si="4"/>
        <v>0</v>
      </c>
      <c r="K115" s="152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83</v>
      </c>
      <c r="C116" s="25"/>
      <c r="D116" s="150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2">
        <f t="shared" si="4"/>
        <v>0</v>
      </c>
      <c r="K116" s="152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83</v>
      </c>
      <c r="C117" s="25"/>
      <c r="D117" s="150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2">
        <f t="shared" si="4"/>
        <v>0</v>
      </c>
      <c r="K117" s="152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85</v>
      </c>
      <c r="C118" s="119"/>
      <c r="D118" s="154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4">
        <f t="shared" si="8"/>
        <v>190645</v>
      </c>
      <c r="K118" s="154">
        <f t="shared" si="8"/>
        <v>187000</v>
      </c>
      <c r="L118" s="120">
        <f>SUM(K102:K117)</f>
        <v>187000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37</v>
      </c>
      <c r="B119" s="75" t="s">
        <v>82</v>
      </c>
      <c r="C119" s="74"/>
      <c r="D119" s="155">
        <f>SUM(D18,D56,D101)</f>
        <v>1536000</v>
      </c>
      <c r="E119" s="74">
        <f t="shared" ref="E119:K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5">
        <f t="shared" si="10"/>
        <v>2053496.2000000002</v>
      </c>
      <c r="K119" s="155">
        <f t="shared" si="10"/>
        <v>1517630.5</v>
      </c>
      <c r="L119" s="74">
        <f>SUM(L18,L56,L101)</f>
        <v>1517630.5</v>
      </c>
      <c r="M119" s="74"/>
      <c r="N119" s="13"/>
      <c r="O119" s="21"/>
      <c r="P119" s="8"/>
    </row>
    <row r="120" spans="1:16" ht="34.799999999999997" x14ac:dyDescent="0.25">
      <c r="A120" s="76">
        <f t="shared" ref="A120" si="11">SUM(A18,A56,A101,A118)</f>
        <v>43</v>
      </c>
      <c r="B120" s="75" t="s">
        <v>121</v>
      </c>
      <c r="C120" s="74"/>
      <c r="D120" s="156">
        <f t="shared" ref="D120:K120" si="12">SUM(D18,D56,D101,D118)</f>
        <v>1723000</v>
      </c>
      <c r="E120" s="76">
        <f t="shared" si="12"/>
        <v>0</v>
      </c>
      <c r="F120" s="76">
        <f t="shared" si="12"/>
        <v>0</v>
      </c>
      <c r="G120" s="76">
        <f t="shared" si="12"/>
        <v>0</v>
      </c>
      <c r="H120" s="76">
        <f t="shared" si="12"/>
        <v>0</v>
      </c>
      <c r="I120" s="76">
        <f t="shared" si="12"/>
        <v>0</v>
      </c>
      <c r="J120" s="156">
        <f t="shared" si="12"/>
        <v>2244141.2000000002</v>
      </c>
      <c r="K120" s="156">
        <f t="shared" si="12"/>
        <v>1704630.5</v>
      </c>
      <c r="L120" s="76">
        <f>SUM(L18,L56,L101,L118)</f>
        <v>1704630.5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7" orientation="landscape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abSelected="1" zoomScale="95" zoomScaleNormal="95" workbookViewId="0">
      <selection activeCell="A7" sqref="A7:XFD17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2" t="s">
        <v>20</v>
      </c>
      <c r="B1" s="183"/>
    </row>
    <row r="2" spans="1:17" ht="66.599999999999994" thickBot="1" x14ac:dyDescent="0.3">
      <c r="A2" s="136" t="s">
        <v>5</v>
      </c>
      <c r="B2" s="137" t="s">
        <v>148</v>
      </c>
      <c r="C2" s="138" t="s">
        <v>37</v>
      </c>
      <c r="D2" s="138" t="s">
        <v>38</v>
      </c>
      <c r="E2" s="138" t="s">
        <v>39</v>
      </c>
      <c r="F2" s="138" t="s">
        <v>58</v>
      </c>
      <c r="G2" s="138" t="s">
        <v>60</v>
      </c>
      <c r="H2" s="138" t="s">
        <v>59</v>
      </c>
      <c r="I2" s="138" t="s">
        <v>40</v>
      </c>
      <c r="J2" s="138" t="s">
        <v>41</v>
      </c>
      <c r="K2" s="138" t="s">
        <v>42</v>
      </c>
      <c r="L2" s="138" t="s">
        <v>43</v>
      </c>
      <c r="M2" s="139" t="s">
        <v>44</v>
      </c>
      <c r="N2" s="139" t="s">
        <v>45</v>
      </c>
      <c r="O2" s="139" t="s">
        <v>46</v>
      </c>
      <c r="P2" s="139" t="s">
        <v>47</v>
      </c>
      <c r="Q2" s="147" t="s">
        <v>17</v>
      </c>
    </row>
    <row r="3" spans="1:17" ht="15.6" x14ac:dyDescent="0.3">
      <c r="A3" s="148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81">
        <f>SUM(I4:K4)</f>
        <v>1422</v>
      </c>
      <c r="O4" s="81">
        <f>SUM(G4:H4)</f>
        <v>0</v>
      </c>
      <c r="P4" s="81">
        <f>SUM(M4:O4)</f>
        <v>1422</v>
      </c>
      <c r="Q4" s="81"/>
    </row>
    <row r="5" spans="1:17" ht="15" x14ac:dyDescent="0.25">
      <c r="A5">
        <f>مرتبات!A5</f>
        <v>2</v>
      </c>
      <c r="B5" s="149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80">
        <f t="shared" ref="N5:N68" si="1">SUM(I5:K5)</f>
        <v>159776</v>
      </c>
      <c r="O5" s="80">
        <f t="shared" ref="O5:O68" si="2">SUM(G5:H5)</f>
        <v>0</v>
      </c>
      <c r="P5" s="80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588</v>
      </c>
      <c r="L6" s="96">
        <v>0</v>
      </c>
      <c r="M6" s="81">
        <f t="shared" si="0"/>
        <v>475</v>
      </c>
      <c r="N6" s="81">
        <f t="shared" si="1"/>
        <v>36049</v>
      </c>
      <c r="O6" s="81">
        <f t="shared" si="2"/>
        <v>0</v>
      </c>
      <c r="P6" s="81">
        <f t="shared" si="3"/>
        <v>36524</v>
      </c>
      <c r="Q6" s="81"/>
    </row>
    <row r="7" spans="1:17" ht="15" hidden="1" x14ac:dyDescent="0.25">
      <c r="A7">
        <f>مرتبات!A7</f>
        <v>0</v>
      </c>
      <c r="B7" s="149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80">
        <f t="shared" si="1"/>
        <v>0</v>
      </c>
      <c r="O7" s="80">
        <f t="shared" si="2"/>
        <v>0</v>
      </c>
      <c r="P7" s="80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81">
        <f t="shared" si="1"/>
        <v>0</v>
      </c>
      <c r="O8" s="81">
        <f t="shared" si="2"/>
        <v>0</v>
      </c>
      <c r="P8" s="81">
        <f t="shared" si="3"/>
        <v>0</v>
      </c>
      <c r="Q8" s="81"/>
    </row>
    <row r="9" spans="1:17" ht="15" hidden="1" x14ac:dyDescent="0.25">
      <c r="A9">
        <f>مرتبات!A9</f>
        <v>0</v>
      </c>
      <c r="B9" s="149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80">
        <f t="shared" si="1"/>
        <v>0</v>
      </c>
      <c r="O9" s="80">
        <f t="shared" si="2"/>
        <v>0</v>
      </c>
      <c r="P9" s="80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81">
        <f t="shared" si="1"/>
        <v>0</v>
      </c>
      <c r="O10" s="81">
        <f t="shared" si="2"/>
        <v>0</v>
      </c>
      <c r="P10" s="81">
        <f t="shared" si="3"/>
        <v>0</v>
      </c>
      <c r="Q10" s="81"/>
    </row>
    <row r="11" spans="1:17" ht="15" hidden="1" x14ac:dyDescent="0.25">
      <c r="A11">
        <f>مرتبات!A11</f>
        <v>0</v>
      </c>
      <c r="B11" s="149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80">
        <f t="shared" si="1"/>
        <v>0</v>
      </c>
      <c r="O11" s="80">
        <f t="shared" si="2"/>
        <v>0</v>
      </c>
      <c r="P11" s="80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81">
        <f t="shared" si="1"/>
        <v>0</v>
      </c>
      <c r="O12" s="81">
        <f t="shared" si="2"/>
        <v>0</v>
      </c>
      <c r="P12" s="81">
        <f t="shared" si="3"/>
        <v>0</v>
      </c>
      <c r="Q12" s="81"/>
    </row>
    <row r="13" spans="1:17" ht="15" hidden="1" x14ac:dyDescent="0.25">
      <c r="A13">
        <f>مرتبات!A13</f>
        <v>0</v>
      </c>
      <c r="B13" s="149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80">
        <f t="shared" si="1"/>
        <v>0</v>
      </c>
      <c r="O13" s="80">
        <f t="shared" si="2"/>
        <v>0</v>
      </c>
      <c r="P13" s="80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81">
        <f t="shared" si="1"/>
        <v>0</v>
      </c>
      <c r="O14" s="81">
        <f t="shared" si="2"/>
        <v>0</v>
      </c>
      <c r="P14" s="81">
        <f t="shared" si="3"/>
        <v>0</v>
      </c>
      <c r="Q14" s="81"/>
    </row>
    <row r="15" spans="1:17" ht="15" hidden="1" x14ac:dyDescent="0.25">
      <c r="A15">
        <f>مرتبات!A15</f>
        <v>0</v>
      </c>
      <c r="B15" s="149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80">
        <f t="shared" si="1"/>
        <v>0</v>
      </c>
      <c r="O15" s="80">
        <f t="shared" si="2"/>
        <v>0</v>
      </c>
      <c r="P15" s="80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81">
        <f t="shared" si="1"/>
        <v>0</v>
      </c>
      <c r="O16" s="81">
        <f t="shared" si="2"/>
        <v>0</v>
      </c>
      <c r="P16" s="81">
        <f t="shared" si="3"/>
        <v>0</v>
      </c>
      <c r="Q16" s="81"/>
    </row>
    <row r="17" spans="1:17" ht="15" hidden="1" x14ac:dyDescent="0.25">
      <c r="A17">
        <f>مرتبات!A17</f>
        <v>0</v>
      </c>
      <c r="B17" s="149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80">
        <f t="shared" si="1"/>
        <v>0</v>
      </c>
      <c r="O17" s="80">
        <f t="shared" si="2"/>
        <v>0</v>
      </c>
      <c r="P17" s="80">
        <f t="shared" si="3"/>
        <v>0</v>
      </c>
      <c r="Q17" s="80"/>
    </row>
    <row r="18" spans="1:17" ht="15.6" x14ac:dyDescent="0.3">
      <c r="A18">
        <f>مرتبات!A18</f>
        <v>3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ht="15" x14ac:dyDescent="0.25">
      <c r="A19">
        <f>مرتبات!A19</f>
        <v>1</v>
      </c>
      <c r="B19" s="149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1195</v>
      </c>
      <c r="L19" s="97">
        <v>0</v>
      </c>
      <c r="M19" s="80">
        <f t="shared" si="0"/>
        <v>0</v>
      </c>
      <c r="N19" s="80">
        <f t="shared" si="1"/>
        <v>11321</v>
      </c>
      <c r="O19" s="80">
        <f t="shared" si="2"/>
        <v>0</v>
      </c>
      <c r="P19" s="80">
        <f t="shared" si="3"/>
        <v>11321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81">
        <f t="shared" si="1"/>
        <v>7988</v>
      </c>
      <c r="O20" s="81">
        <f t="shared" si="2"/>
        <v>0</v>
      </c>
      <c r="P20" s="81">
        <f t="shared" si="3"/>
        <v>8463</v>
      </c>
      <c r="Q20" s="81"/>
    </row>
    <row r="21" spans="1:17" ht="15" x14ac:dyDescent="0.25">
      <c r="A21">
        <f>مرتبات!A21</f>
        <v>3</v>
      </c>
      <c r="B21" s="149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80">
        <f t="shared" si="1"/>
        <v>13290</v>
      </c>
      <c r="O21" s="80">
        <f t="shared" si="2"/>
        <v>0</v>
      </c>
      <c r="P21" s="80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588</v>
      </c>
      <c r="L22" s="96">
        <v>0</v>
      </c>
      <c r="M22" s="81">
        <f t="shared" si="0"/>
        <v>0</v>
      </c>
      <c r="N22" s="81">
        <f t="shared" si="1"/>
        <v>14448</v>
      </c>
      <c r="O22" s="81">
        <f t="shared" si="2"/>
        <v>0</v>
      </c>
      <c r="P22" s="81">
        <f t="shared" si="3"/>
        <v>14448</v>
      </c>
      <c r="Q22" s="81"/>
    </row>
    <row r="23" spans="1:17" ht="15" x14ac:dyDescent="0.25">
      <c r="A23">
        <f>مرتبات!A23</f>
        <v>5</v>
      </c>
      <c r="B23" s="149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80">
        <f t="shared" si="1"/>
        <v>14116</v>
      </c>
      <c r="O23" s="80">
        <f t="shared" si="2"/>
        <v>0</v>
      </c>
      <c r="P23" s="80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81">
        <v>11400</v>
      </c>
      <c r="K24" s="177">
        <v>0</v>
      </c>
      <c r="L24" s="96">
        <v>0</v>
      </c>
      <c r="M24" s="81">
        <f t="shared" si="0"/>
        <v>0</v>
      </c>
      <c r="N24" s="81">
        <f t="shared" si="1"/>
        <v>11400</v>
      </c>
      <c r="O24" s="81">
        <f t="shared" si="2"/>
        <v>0</v>
      </c>
      <c r="P24" s="81">
        <f t="shared" si="3"/>
        <v>11400</v>
      </c>
      <c r="Q24" s="81"/>
    </row>
    <row r="25" spans="1:17" ht="15" x14ac:dyDescent="0.25">
      <c r="A25">
        <f>مرتبات!A25</f>
        <v>7</v>
      </c>
      <c r="B25" s="149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80">
        <f t="shared" si="1"/>
        <v>7945</v>
      </c>
      <c r="O25" s="80">
        <f t="shared" si="2"/>
        <v>0</v>
      </c>
      <c r="P25" s="80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81">
        <f t="shared" si="1"/>
        <v>0</v>
      </c>
      <c r="O26" s="81">
        <f t="shared" si="2"/>
        <v>0</v>
      </c>
      <c r="P26" s="81">
        <f t="shared" si="3"/>
        <v>0</v>
      </c>
      <c r="Q26" s="81"/>
    </row>
    <row r="27" spans="1:17" ht="15" hidden="1" x14ac:dyDescent="0.25">
      <c r="A27">
        <f>مرتبات!A27</f>
        <v>0</v>
      </c>
      <c r="B27" s="149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80">
        <f t="shared" si="1"/>
        <v>0</v>
      </c>
      <c r="O27" s="80">
        <f t="shared" si="2"/>
        <v>0</v>
      </c>
      <c r="P27" s="80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81">
        <f t="shared" si="1"/>
        <v>0</v>
      </c>
      <c r="O28" s="81">
        <f t="shared" si="2"/>
        <v>0</v>
      </c>
      <c r="P28" s="81">
        <f t="shared" si="3"/>
        <v>0</v>
      </c>
      <c r="Q28" s="81"/>
    </row>
    <row r="29" spans="1:17" ht="15" hidden="1" x14ac:dyDescent="0.25">
      <c r="A29">
        <f>مرتبات!A29</f>
        <v>0</v>
      </c>
      <c r="B29" s="149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80">
        <f t="shared" si="1"/>
        <v>0</v>
      </c>
      <c r="O29" s="80">
        <f t="shared" si="2"/>
        <v>0</v>
      </c>
      <c r="P29" s="80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81">
        <f t="shared" si="1"/>
        <v>0</v>
      </c>
      <c r="O30" s="81">
        <f t="shared" si="2"/>
        <v>0</v>
      </c>
      <c r="P30" s="81">
        <f t="shared" si="3"/>
        <v>0</v>
      </c>
      <c r="Q30" s="81"/>
    </row>
    <row r="31" spans="1:17" ht="15" hidden="1" x14ac:dyDescent="0.25">
      <c r="A31">
        <f>مرتبات!A31</f>
        <v>0</v>
      </c>
      <c r="B31" s="149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80">
        <f t="shared" si="1"/>
        <v>0</v>
      </c>
      <c r="O31" s="80">
        <f t="shared" si="2"/>
        <v>0</v>
      </c>
      <c r="P31" s="80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81">
        <f t="shared" si="1"/>
        <v>0</v>
      </c>
      <c r="O32" s="81">
        <f t="shared" si="2"/>
        <v>0</v>
      </c>
      <c r="P32" s="81">
        <f t="shared" si="3"/>
        <v>0</v>
      </c>
      <c r="Q32" s="81"/>
    </row>
    <row r="33" spans="1:17" ht="15" x14ac:dyDescent="0.25">
      <c r="A33">
        <f>مرتبات!A33</f>
        <v>8</v>
      </c>
      <c r="B33" s="149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4313.75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80">
        <f t="shared" si="1"/>
        <v>13163.75</v>
      </c>
      <c r="O33" s="80">
        <f t="shared" si="2"/>
        <v>0</v>
      </c>
      <c r="P33" s="80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81">
        <f t="shared" si="1"/>
        <v>2824</v>
      </c>
      <c r="O34" s="81">
        <f t="shared" si="2"/>
        <v>0</v>
      </c>
      <c r="P34" s="81">
        <f t="shared" si="3"/>
        <v>3139</v>
      </c>
      <c r="Q34" s="81"/>
    </row>
    <row r="35" spans="1:17" ht="15" x14ac:dyDescent="0.25">
      <c r="A35">
        <f>مرتبات!A35</f>
        <v>10</v>
      </c>
      <c r="B35" s="149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80">
        <f t="shared" si="1"/>
        <v>2518</v>
      </c>
      <c r="O35" s="80">
        <f t="shared" si="2"/>
        <v>0</v>
      </c>
      <c r="P35" s="80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81">
        <f t="shared" si="1"/>
        <v>0</v>
      </c>
      <c r="O36" s="81">
        <f t="shared" si="2"/>
        <v>0</v>
      </c>
      <c r="P36" s="81">
        <f t="shared" si="3"/>
        <v>0</v>
      </c>
      <c r="Q36" s="81"/>
    </row>
    <row r="37" spans="1:17" ht="15" hidden="1" x14ac:dyDescent="0.25">
      <c r="A37">
        <f>مرتبات!A37</f>
        <v>0</v>
      </c>
      <c r="B37" s="149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80">
        <f t="shared" si="1"/>
        <v>0</v>
      </c>
      <c r="O37" s="80">
        <f t="shared" si="2"/>
        <v>0</v>
      </c>
      <c r="P37" s="80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81">
        <f t="shared" si="1"/>
        <v>0</v>
      </c>
      <c r="O38" s="81">
        <f t="shared" si="2"/>
        <v>0</v>
      </c>
      <c r="P38" s="81">
        <f t="shared" si="3"/>
        <v>0</v>
      </c>
      <c r="Q38" s="81"/>
    </row>
    <row r="39" spans="1:17" ht="15" hidden="1" x14ac:dyDescent="0.25">
      <c r="A39">
        <f>مرتبات!A39</f>
        <v>0</v>
      </c>
      <c r="B39" s="149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80">
        <f t="shared" si="1"/>
        <v>0</v>
      </c>
      <c r="O39" s="80">
        <f t="shared" si="2"/>
        <v>0</v>
      </c>
      <c r="P39" s="80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81">
        <f t="shared" si="1"/>
        <v>0</v>
      </c>
      <c r="O40" s="81">
        <f t="shared" si="2"/>
        <v>0</v>
      </c>
      <c r="P40" s="81">
        <f t="shared" si="3"/>
        <v>0</v>
      </c>
      <c r="Q40" s="81"/>
    </row>
    <row r="41" spans="1:17" ht="15" hidden="1" x14ac:dyDescent="0.25">
      <c r="A41">
        <f>مرتبات!A41</f>
        <v>0</v>
      </c>
      <c r="B41" s="149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80">
        <f t="shared" si="1"/>
        <v>0</v>
      </c>
      <c r="O41" s="80">
        <f t="shared" si="2"/>
        <v>0</v>
      </c>
      <c r="P41" s="80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81">
        <f t="shared" si="1"/>
        <v>0</v>
      </c>
      <c r="O42" s="81">
        <f t="shared" si="2"/>
        <v>0</v>
      </c>
      <c r="P42" s="81">
        <f t="shared" si="3"/>
        <v>0</v>
      </c>
      <c r="Q42" s="81"/>
    </row>
    <row r="43" spans="1:17" ht="15" hidden="1" x14ac:dyDescent="0.25">
      <c r="A43">
        <f>مرتبات!A43</f>
        <v>0</v>
      </c>
      <c r="B43" s="149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80">
        <f t="shared" si="1"/>
        <v>0</v>
      </c>
      <c r="O43" s="80">
        <f t="shared" si="2"/>
        <v>0</v>
      </c>
      <c r="P43" s="80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81">
        <f t="shared" si="1"/>
        <v>0</v>
      </c>
      <c r="O44" s="81">
        <f t="shared" si="2"/>
        <v>0</v>
      </c>
      <c r="P44" s="81">
        <f t="shared" si="3"/>
        <v>0</v>
      </c>
      <c r="Q44" s="81"/>
    </row>
    <row r="45" spans="1:17" ht="15" x14ac:dyDescent="0.25">
      <c r="A45">
        <f>مرتبات!A45</f>
        <v>11</v>
      </c>
      <c r="B45" s="149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80">
        <f t="shared" si="1"/>
        <v>1779</v>
      </c>
      <c r="O45" s="80">
        <f t="shared" si="2"/>
        <v>0</v>
      </c>
      <c r="P45" s="80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81">
        <f t="shared" si="1"/>
        <v>1655</v>
      </c>
      <c r="O46" s="81">
        <f t="shared" si="2"/>
        <v>0</v>
      </c>
      <c r="P46" s="81">
        <f t="shared" si="3"/>
        <v>1655</v>
      </c>
      <c r="Q46" s="81"/>
    </row>
    <row r="47" spans="1:17" ht="15" x14ac:dyDescent="0.25">
      <c r="A47">
        <f>مرتبات!A47</f>
        <v>13</v>
      </c>
      <c r="B47" s="149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80">
        <f t="shared" si="1"/>
        <v>1559</v>
      </c>
      <c r="O47" s="80">
        <f t="shared" si="2"/>
        <v>0</v>
      </c>
      <c r="P47" s="80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81">
        <f t="shared" si="1"/>
        <v>1863</v>
      </c>
      <c r="O48" s="81">
        <f t="shared" si="2"/>
        <v>0</v>
      </c>
      <c r="P48" s="81">
        <f t="shared" si="3"/>
        <v>1863</v>
      </c>
      <c r="Q48" s="81"/>
    </row>
    <row r="49" spans="1:17" ht="15" hidden="1" x14ac:dyDescent="0.25">
      <c r="A49">
        <f>مرتبات!A49</f>
        <v>0</v>
      </c>
      <c r="B49" s="149" t="str">
        <f>مرتبات!B49</f>
        <v>Spare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80">
        <f t="shared" si="1"/>
        <v>0</v>
      </c>
      <c r="O49" s="80">
        <f t="shared" si="2"/>
        <v>0</v>
      </c>
      <c r="P49" s="80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81">
        <f t="shared" si="1"/>
        <v>0</v>
      </c>
      <c r="O50" s="81">
        <f t="shared" si="2"/>
        <v>0</v>
      </c>
      <c r="P50" s="81">
        <f t="shared" si="3"/>
        <v>0</v>
      </c>
      <c r="Q50" s="81"/>
    </row>
    <row r="51" spans="1:17" ht="15" hidden="1" x14ac:dyDescent="0.25">
      <c r="A51">
        <f>مرتبات!A51</f>
        <v>0</v>
      </c>
      <c r="B51" s="149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80">
        <f t="shared" si="1"/>
        <v>0</v>
      </c>
      <c r="O51" s="80">
        <f t="shared" si="2"/>
        <v>0</v>
      </c>
      <c r="P51" s="80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81">
        <f t="shared" si="1"/>
        <v>0</v>
      </c>
      <c r="O52" s="81">
        <f t="shared" si="2"/>
        <v>0</v>
      </c>
      <c r="P52" s="81">
        <f t="shared" si="3"/>
        <v>0</v>
      </c>
      <c r="Q52" s="81"/>
    </row>
    <row r="53" spans="1:17" ht="15" hidden="1" x14ac:dyDescent="0.25">
      <c r="A53">
        <f>مرتبات!A53</f>
        <v>0</v>
      </c>
      <c r="B53" s="149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80">
        <f t="shared" si="1"/>
        <v>0</v>
      </c>
      <c r="O53" s="80">
        <f t="shared" si="2"/>
        <v>0</v>
      </c>
      <c r="P53" s="80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81">
        <f t="shared" si="1"/>
        <v>0</v>
      </c>
      <c r="O54" s="81">
        <f t="shared" si="2"/>
        <v>0</v>
      </c>
      <c r="P54" s="81">
        <f t="shared" si="3"/>
        <v>0</v>
      </c>
      <c r="Q54" s="81"/>
    </row>
    <row r="55" spans="1:17" ht="15" hidden="1" x14ac:dyDescent="0.25">
      <c r="A55">
        <f>مرتبات!A55</f>
        <v>0</v>
      </c>
      <c r="B55" s="149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80">
        <f t="shared" si="1"/>
        <v>0</v>
      </c>
      <c r="O55" s="80">
        <f t="shared" si="2"/>
        <v>0</v>
      </c>
      <c r="P55" s="80">
        <f t="shared" si="3"/>
        <v>0</v>
      </c>
      <c r="Q55" s="80"/>
    </row>
    <row r="56" spans="1:17" ht="15.6" x14ac:dyDescent="0.3">
      <c r="A56">
        <f>مرتبات!A56</f>
        <v>14</v>
      </c>
      <c r="B56" s="148" t="s">
        <v>90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15" x14ac:dyDescent="0.25">
      <c r="A57">
        <f>مرتبات!A57</f>
        <v>1</v>
      </c>
      <c r="B57" s="149" t="str">
        <f>مرتبات!B57</f>
        <v>أ/دعاء عبد الدايم إبراهيم نصار</v>
      </c>
      <c r="C57" s="97">
        <v>600</v>
      </c>
      <c r="D57" s="97">
        <v>1750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2350</v>
      </c>
      <c r="N57" s="80">
        <f t="shared" si="1"/>
        <v>44284.75</v>
      </c>
      <c r="O57" s="80">
        <f t="shared" si="2"/>
        <v>0</v>
      </c>
      <c r="P57" s="80">
        <f t="shared" si="3"/>
        <v>46634.75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1750</v>
      </c>
      <c r="E58" s="96">
        <v>0</v>
      </c>
      <c r="F58" s="96">
        <v>0</v>
      </c>
      <c r="G58" s="96">
        <v>0</v>
      </c>
      <c r="H58" s="96">
        <v>0</v>
      </c>
      <c r="I58" s="178">
        <v>4313.75</v>
      </c>
      <c r="J58" s="96">
        <v>9559</v>
      </c>
      <c r="K58" s="96">
        <v>491</v>
      </c>
      <c r="L58" s="96">
        <v>0</v>
      </c>
      <c r="M58" s="81">
        <f t="shared" si="0"/>
        <v>2050</v>
      </c>
      <c r="N58" s="81">
        <f t="shared" si="1"/>
        <v>14363.75</v>
      </c>
      <c r="O58" s="81">
        <f t="shared" si="2"/>
        <v>0</v>
      </c>
      <c r="P58" s="81">
        <f t="shared" si="3"/>
        <v>16413.75</v>
      </c>
      <c r="Q58" s="81"/>
    </row>
    <row r="59" spans="1:17" ht="15" hidden="1" x14ac:dyDescent="0.25">
      <c r="A59">
        <f>مرتبات!A59</f>
        <v>0</v>
      </c>
      <c r="B59" s="149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80">
        <f t="shared" si="1"/>
        <v>0</v>
      </c>
      <c r="O59" s="80">
        <f t="shared" si="2"/>
        <v>0</v>
      </c>
      <c r="P59" s="80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81">
        <f t="shared" si="1"/>
        <v>0</v>
      </c>
      <c r="O60" s="81">
        <f t="shared" si="2"/>
        <v>0</v>
      </c>
      <c r="P60" s="81">
        <f t="shared" si="3"/>
        <v>0</v>
      </c>
      <c r="Q60" s="81"/>
    </row>
    <row r="61" spans="1:17" ht="15" hidden="1" x14ac:dyDescent="0.25">
      <c r="A61">
        <f>مرتبات!A61</f>
        <v>0</v>
      </c>
      <c r="B61" s="149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80">
        <f t="shared" si="1"/>
        <v>0</v>
      </c>
      <c r="O61" s="80">
        <f t="shared" si="2"/>
        <v>0</v>
      </c>
      <c r="P61" s="80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1900</v>
      </c>
      <c r="E62" s="96">
        <v>0</v>
      </c>
      <c r="F62" s="96">
        <v>0</v>
      </c>
      <c r="G62" s="96">
        <v>0</v>
      </c>
      <c r="H62" s="96">
        <v>0</v>
      </c>
      <c r="I62" s="178">
        <v>4313.75</v>
      </c>
      <c r="J62" s="96">
        <v>7619</v>
      </c>
      <c r="K62" s="96">
        <v>590</v>
      </c>
      <c r="L62" s="96">
        <v>0</v>
      </c>
      <c r="M62" s="81">
        <f t="shared" si="0"/>
        <v>1900</v>
      </c>
      <c r="N62" s="81">
        <f t="shared" si="1"/>
        <v>12522.75</v>
      </c>
      <c r="O62" s="81">
        <f t="shared" si="2"/>
        <v>0</v>
      </c>
      <c r="P62" s="81">
        <f t="shared" si="3"/>
        <v>14422.75</v>
      </c>
      <c r="Q62" s="81"/>
    </row>
    <row r="63" spans="1:17" ht="15" x14ac:dyDescent="0.25">
      <c r="A63">
        <f>مرتبات!A63</f>
        <v>4</v>
      </c>
      <c r="B63" s="149" t="str">
        <f>مرتبات!B63</f>
        <v>أ/ نيرمين عصمت محمد حجازي</v>
      </c>
      <c r="C63" s="97">
        <v>0</v>
      </c>
      <c r="D63" s="97">
        <v>1750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1750</v>
      </c>
      <c r="N63" s="80">
        <f t="shared" si="1"/>
        <v>10860.75</v>
      </c>
      <c r="O63" s="80">
        <f t="shared" si="2"/>
        <v>0</v>
      </c>
      <c r="P63" s="80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81">
        <f t="shared" si="1"/>
        <v>0</v>
      </c>
      <c r="O64" s="81">
        <f t="shared" si="2"/>
        <v>0</v>
      </c>
      <c r="P64" s="81">
        <f t="shared" si="3"/>
        <v>0</v>
      </c>
      <c r="Q64" s="81"/>
    </row>
    <row r="65" spans="1:17" ht="15" hidden="1" x14ac:dyDescent="0.25">
      <c r="A65">
        <f>مرتبات!A65</f>
        <v>0</v>
      </c>
      <c r="B65" s="149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80">
        <f t="shared" si="1"/>
        <v>0</v>
      </c>
      <c r="O65" s="80">
        <f t="shared" si="2"/>
        <v>0</v>
      </c>
      <c r="P65" s="80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81">
        <f t="shared" si="1"/>
        <v>0</v>
      </c>
      <c r="O66" s="81">
        <f t="shared" si="2"/>
        <v>0</v>
      </c>
      <c r="P66" s="81">
        <f t="shared" si="3"/>
        <v>0</v>
      </c>
      <c r="Q66" s="81"/>
    </row>
    <row r="67" spans="1:17" ht="15" hidden="1" x14ac:dyDescent="0.25">
      <c r="A67">
        <f>مرتبات!A67</f>
        <v>0</v>
      </c>
      <c r="B67" s="149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80">
        <f t="shared" si="1"/>
        <v>0</v>
      </c>
      <c r="O67" s="80">
        <f t="shared" si="2"/>
        <v>0</v>
      </c>
      <c r="P67" s="80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1900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2105</v>
      </c>
      <c r="N68" s="81">
        <f t="shared" si="1"/>
        <v>13460.75</v>
      </c>
      <c r="O68" s="81">
        <f t="shared" si="2"/>
        <v>0</v>
      </c>
      <c r="P68" s="81">
        <f t="shared" si="3"/>
        <v>15565.75</v>
      </c>
      <c r="Q68" s="81"/>
    </row>
    <row r="69" spans="1:17" ht="15" x14ac:dyDescent="0.25">
      <c r="A69">
        <f>مرتبات!A69</f>
        <v>6</v>
      </c>
      <c r="B69" s="149" t="str">
        <f>مرتبات!B69</f>
        <v>أ/حازم ابراهيم عبد الحميد محمد فتاتة</v>
      </c>
      <c r="C69" s="97">
        <v>0</v>
      </c>
      <c r="D69" s="97">
        <v>1800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1800</v>
      </c>
      <c r="N69" s="80">
        <f t="shared" ref="N69:N100" si="5">SUM(I69:K69)</f>
        <v>7871.89</v>
      </c>
      <c r="O69" s="80">
        <f t="shared" ref="O69:O100" si="6">SUM(G69:H69)</f>
        <v>0</v>
      </c>
      <c r="P69" s="80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6">
        <v>0</v>
      </c>
      <c r="D70" s="96">
        <v>1900</v>
      </c>
      <c r="E70" s="96">
        <v>0</v>
      </c>
      <c r="F70" s="96">
        <v>0</v>
      </c>
      <c r="G70" s="96">
        <v>0</v>
      </c>
      <c r="H70" s="96">
        <v>0</v>
      </c>
      <c r="I70" s="96">
        <v>3433.01</v>
      </c>
      <c r="J70" s="96">
        <v>2005</v>
      </c>
      <c r="K70" s="96">
        <v>649</v>
      </c>
      <c r="L70" s="96">
        <v>0</v>
      </c>
      <c r="M70" s="81">
        <f t="shared" si="4"/>
        <v>1900</v>
      </c>
      <c r="N70" s="81">
        <f t="shared" si="5"/>
        <v>6087.01</v>
      </c>
      <c r="O70" s="81">
        <f t="shared" si="6"/>
        <v>0</v>
      </c>
      <c r="P70" s="81">
        <f t="shared" si="7"/>
        <v>7987.01</v>
      </c>
      <c r="Q70" s="81"/>
    </row>
    <row r="71" spans="1:17" ht="15" x14ac:dyDescent="0.25">
      <c r="A71">
        <f>مرتبات!A71</f>
        <v>8</v>
      </c>
      <c r="B71" s="149" t="str">
        <f>مرتبات!B71</f>
        <v>أ/إيمان صبحى شكرى</v>
      </c>
      <c r="C71" s="97">
        <v>0</v>
      </c>
      <c r="D71" s="97">
        <v>1750</v>
      </c>
      <c r="E71" s="97">
        <v>0</v>
      </c>
      <c r="F71" s="97">
        <v>0</v>
      </c>
      <c r="G71" s="97">
        <v>0</v>
      </c>
      <c r="H71" s="97">
        <v>0</v>
      </c>
      <c r="I71" s="179">
        <v>0</v>
      </c>
      <c r="J71" s="97">
        <v>3634</v>
      </c>
      <c r="K71" s="97">
        <v>1422</v>
      </c>
      <c r="L71" s="97">
        <v>0</v>
      </c>
      <c r="M71" s="80">
        <f t="shared" si="4"/>
        <v>1750</v>
      </c>
      <c r="N71" s="80">
        <f t="shared" si="5"/>
        <v>5056</v>
      </c>
      <c r="O71" s="80">
        <f t="shared" si="6"/>
        <v>0</v>
      </c>
      <c r="P71" s="80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1800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1800</v>
      </c>
      <c r="N72" s="81">
        <f t="shared" si="5"/>
        <v>9013.75</v>
      </c>
      <c r="O72" s="81">
        <f t="shared" si="6"/>
        <v>0</v>
      </c>
      <c r="P72" s="81">
        <f t="shared" si="7"/>
        <v>10813.75</v>
      </c>
      <c r="Q72" s="81"/>
    </row>
    <row r="73" spans="1:17" ht="15" x14ac:dyDescent="0.25">
      <c r="A73">
        <f>مرتبات!A73</f>
        <v>10</v>
      </c>
      <c r="B73" s="149" t="str">
        <f>مرتبات!B73</f>
        <v>أ/محمد حسن محمد كامل</v>
      </c>
      <c r="C73" s="97">
        <v>0</v>
      </c>
      <c r="D73" s="97">
        <v>1900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1900</v>
      </c>
      <c r="N73" s="80">
        <f t="shared" si="5"/>
        <v>5930.15</v>
      </c>
      <c r="O73" s="80">
        <f t="shared" si="6"/>
        <v>0</v>
      </c>
      <c r="P73" s="80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1750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2065</v>
      </c>
      <c r="N74" s="81">
        <f t="shared" si="5"/>
        <v>6223.15</v>
      </c>
      <c r="O74" s="81">
        <f t="shared" si="6"/>
        <v>0</v>
      </c>
      <c r="P74" s="81">
        <f t="shared" si="7"/>
        <v>8288.15</v>
      </c>
      <c r="Q74" s="81"/>
    </row>
    <row r="75" spans="1:17" ht="15" x14ac:dyDescent="0.25">
      <c r="A75">
        <f>مرتبات!A75</f>
        <v>12</v>
      </c>
      <c r="B75" s="149" t="str">
        <f>مرتبات!B75</f>
        <v>أ/محمود على محمود حسين</v>
      </c>
      <c r="C75" s="97">
        <v>315</v>
      </c>
      <c r="D75" s="97">
        <v>1750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2065</v>
      </c>
      <c r="N75" s="80">
        <f t="shared" si="5"/>
        <v>5852</v>
      </c>
      <c r="O75" s="80">
        <f t="shared" si="6"/>
        <v>0</v>
      </c>
      <c r="P75" s="80">
        <f t="shared" si="7"/>
        <v>7917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2150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2150</v>
      </c>
      <c r="N76" s="81">
        <f t="shared" si="5"/>
        <v>5618</v>
      </c>
      <c r="O76" s="81">
        <f t="shared" si="6"/>
        <v>0</v>
      </c>
      <c r="P76" s="81">
        <f t="shared" si="7"/>
        <v>7768</v>
      </c>
      <c r="Q76" s="81"/>
    </row>
    <row r="77" spans="1:17" ht="15" x14ac:dyDescent="0.25">
      <c r="A77">
        <f>مرتبات!A77</f>
        <v>14</v>
      </c>
      <c r="B77" s="149" t="str">
        <f>مرتبات!B77</f>
        <v>أ/مختار احمد المجدلي</v>
      </c>
      <c r="C77" s="97">
        <v>0</v>
      </c>
      <c r="D77" s="97">
        <v>1750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1750</v>
      </c>
      <c r="N77" s="80">
        <f t="shared" si="5"/>
        <v>4772</v>
      </c>
      <c r="O77" s="80">
        <f t="shared" si="6"/>
        <v>0</v>
      </c>
      <c r="P77" s="80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1750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2050</v>
      </c>
      <c r="N78" s="81">
        <f t="shared" si="5"/>
        <v>4893</v>
      </c>
      <c r="O78" s="81">
        <f t="shared" si="6"/>
        <v>0</v>
      </c>
      <c r="P78" s="81">
        <f t="shared" si="7"/>
        <v>6943</v>
      </c>
      <c r="Q78" s="81"/>
    </row>
    <row r="79" spans="1:17" ht="15" x14ac:dyDescent="0.25">
      <c r="A79">
        <f>مرتبات!A79</f>
        <v>16</v>
      </c>
      <c r="B79" s="149" t="str">
        <f>مرتبات!B79</f>
        <v>أ/ أحمد محمد عبدالسلام</v>
      </c>
      <c r="C79" s="97">
        <v>0</v>
      </c>
      <c r="D79" s="97">
        <v>1900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1900</v>
      </c>
      <c r="N79" s="80">
        <f t="shared" si="5"/>
        <v>4288</v>
      </c>
      <c r="O79" s="80">
        <f t="shared" si="6"/>
        <v>0</v>
      </c>
      <c r="P79" s="80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80">
        <v>0</v>
      </c>
      <c r="J80" s="180">
        <v>0</v>
      </c>
      <c r="K80" s="180">
        <v>0</v>
      </c>
      <c r="L80" s="96">
        <v>0</v>
      </c>
      <c r="M80" s="81">
        <f t="shared" si="4"/>
        <v>0</v>
      </c>
      <c r="N80" s="81">
        <f t="shared" si="5"/>
        <v>0</v>
      </c>
      <c r="O80" s="81">
        <f t="shared" si="6"/>
        <v>0</v>
      </c>
      <c r="P80" s="81">
        <f t="shared" si="7"/>
        <v>0</v>
      </c>
      <c r="Q80" s="81"/>
    </row>
    <row r="81" spans="1:17" ht="15" x14ac:dyDescent="0.25">
      <c r="A81">
        <f>مرتبات!A81</f>
        <v>17</v>
      </c>
      <c r="B81" s="149" t="str">
        <f>مرتبات!B81</f>
        <v>أ/محمد عبدالجواد محمد</v>
      </c>
      <c r="C81" s="97">
        <v>0</v>
      </c>
      <c r="D81" s="97">
        <v>1800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1800</v>
      </c>
      <c r="N81" s="80">
        <f t="shared" si="5"/>
        <v>6857</v>
      </c>
      <c r="O81" s="80">
        <f t="shared" si="6"/>
        <v>0</v>
      </c>
      <c r="P81" s="80">
        <f t="shared" si="7"/>
        <v>8657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1750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1750</v>
      </c>
      <c r="N82" s="81">
        <f t="shared" si="5"/>
        <v>3711</v>
      </c>
      <c r="O82" s="81">
        <f t="shared" si="6"/>
        <v>0</v>
      </c>
      <c r="P82" s="81">
        <f t="shared" si="7"/>
        <v>5461</v>
      </c>
      <c r="Q82" s="81"/>
    </row>
    <row r="83" spans="1:17" ht="15" x14ac:dyDescent="0.25">
      <c r="A83">
        <f>مرتبات!A83</f>
        <v>19</v>
      </c>
      <c r="B83" s="149" t="str">
        <f>مرتبات!B83</f>
        <v>أ/عاصم محمد سعيد عبده</v>
      </c>
      <c r="C83" s="97">
        <v>0</v>
      </c>
      <c r="D83" s="97">
        <v>1750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1750</v>
      </c>
      <c r="N83" s="80">
        <f t="shared" si="5"/>
        <v>2286</v>
      </c>
      <c r="O83" s="80">
        <f t="shared" si="6"/>
        <v>0</v>
      </c>
      <c r="P83" s="80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1100.75</v>
      </c>
      <c r="J84" s="96">
        <v>2</v>
      </c>
      <c r="K84" s="96">
        <v>0</v>
      </c>
      <c r="L84" s="96">
        <v>0</v>
      </c>
      <c r="M84" s="81">
        <f t="shared" si="4"/>
        <v>0</v>
      </c>
      <c r="N84" s="81">
        <f t="shared" si="5"/>
        <v>1102.75</v>
      </c>
      <c r="O84" s="81">
        <f t="shared" si="6"/>
        <v>0</v>
      </c>
      <c r="P84" s="81">
        <f t="shared" si="7"/>
        <v>1102.75</v>
      </c>
      <c r="Q84" s="81"/>
    </row>
    <row r="85" spans="1:17" ht="15" hidden="1" x14ac:dyDescent="0.25">
      <c r="A85">
        <f>مرتبات!A85</f>
        <v>0</v>
      </c>
      <c r="B85" s="149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80">
        <f t="shared" si="5"/>
        <v>0</v>
      </c>
      <c r="O85" s="80">
        <f t="shared" si="6"/>
        <v>0</v>
      </c>
      <c r="P85" s="80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81">
        <f t="shared" si="5"/>
        <v>0</v>
      </c>
      <c r="O86" s="81">
        <f t="shared" si="6"/>
        <v>0</v>
      </c>
      <c r="P86" s="81">
        <f t="shared" si="7"/>
        <v>0</v>
      </c>
      <c r="Q86" s="81"/>
    </row>
    <row r="87" spans="1:17" ht="15" hidden="1" x14ac:dyDescent="0.25">
      <c r="A87">
        <f>مرتبات!A87</f>
        <v>0</v>
      </c>
      <c r="B87" s="149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80">
        <f t="shared" si="5"/>
        <v>0</v>
      </c>
      <c r="O87" s="80">
        <f t="shared" si="6"/>
        <v>0</v>
      </c>
      <c r="P87" s="80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81">
        <f t="shared" si="5"/>
        <v>0</v>
      </c>
      <c r="O88" s="81">
        <f t="shared" si="6"/>
        <v>0</v>
      </c>
      <c r="P88" s="81">
        <f t="shared" si="7"/>
        <v>0</v>
      </c>
      <c r="Q88" s="81"/>
    </row>
    <row r="89" spans="1:17" ht="15" hidden="1" x14ac:dyDescent="0.25">
      <c r="A89">
        <f>مرتبات!A89</f>
        <v>0</v>
      </c>
      <c r="B89" s="149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80">
        <f t="shared" si="5"/>
        <v>0</v>
      </c>
      <c r="O89" s="80">
        <f t="shared" si="6"/>
        <v>0</v>
      </c>
      <c r="P89" s="80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81">
        <f t="shared" si="5"/>
        <v>0</v>
      </c>
      <c r="O90" s="81">
        <f t="shared" si="6"/>
        <v>0</v>
      </c>
      <c r="P90" s="81">
        <f t="shared" si="7"/>
        <v>0</v>
      </c>
      <c r="Q90" s="81"/>
    </row>
    <row r="91" spans="1:17" ht="15" hidden="1" x14ac:dyDescent="0.25">
      <c r="A91">
        <f>مرتبات!A91</f>
        <v>0</v>
      </c>
      <c r="B91" s="149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80">
        <f t="shared" si="5"/>
        <v>0</v>
      </c>
      <c r="O91" s="80">
        <f t="shared" si="6"/>
        <v>0</v>
      </c>
      <c r="P91" s="80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81">
        <f t="shared" si="5"/>
        <v>0</v>
      </c>
      <c r="O92" s="81">
        <f t="shared" si="6"/>
        <v>0</v>
      </c>
      <c r="P92" s="81">
        <f t="shared" si="7"/>
        <v>0</v>
      </c>
      <c r="Q92" s="81"/>
    </row>
    <row r="93" spans="1:17" ht="15" hidden="1" x14ac:dyDescent="0.25">
      <c r="A93">
        <f>مرتبات!A93</f>
        <v>0</v>
      </c>
      <c r="B93" s="149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80">
        <f t="shared" si="5"/>
        <v>0</v>
      </c>
      <c r="O93" s="80">
        <f t="shared" si="6"/>
        <v>0</v>
      </c>
      <c r="P93" s="80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81">
        <f t="shared" si="5"/>
        <v>0</v>
      </c>
      <c r="O94" s="81">
        <f t="shared" si="6"/>
        <v>0</v>
      </c>
      <c r="P94" s="81">
        <f t="shared" si="7"/>
        <v>0</v>
      </c>
      <c r="Q94" s="81"/>
    </row>
    <row r="95" spans="1:17" ht="15" hidden="1" x14ac:dyDescent="0.25">
      <c r="A95">
        <f>مرتبات!A95</f>
        <v>0</v>
      </c>
      <c r="B95" s="149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80">
        <f t="shared" si="5"/>
        <v>0</v>
      </c>
      <c r="O95" s="80">
        <f t="shared" si="6"/>
        <v>0</v>
      </c>
      <c r="P95" s="80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81">
        <f t="shared" si="5"/>
        <v>0</v>
      </c>
      <c r="O96" s="81">
        <f t="shared" si="6"/>
        <v>0</v>
      </c>
      <c r="P96" s="81">
        <f t="shared" si="7"/>
        <v>0</v>
      </c>
      <c r="Q96" s="81"/>
    </row>
    <row r="97" spans="1:17" ht="15" hidden="1" x14ac:dyDescent="0.25">
      <c r="A97">
        <f>مرتبات!A97</f>
        <v>0</v>
      </c>
      <c r="B97" s="149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80">
        <f t="shared" si="5"/>
        <v>0</v>
      </c>
      <c r="O97" s="80">
        <f t="shared" si="6"/>
        <v>0</v>
      </c>
      <c r="P97" s="80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81">
        <f t="shared" si="5"/>
        <v>0</v>
      </c>
      <c r="O98" s="81">
        <f t="shared" si="6"/>
        <v>0</v>
      </c>
      <c r="P98" s="81">
        <f t="shared" si="7"/>
        <v>0</v>
      </c>
      <c r="Q98" s="81"/>
    </row>
    <row r="99" spans="1:17" ht="15" hidden="1" x14ac:dyDescent="0.25">
      <c r="A99">
        <f>مرتبات!A99</f>
        <v>0</v>
      </c>
      <c r="B99" s="149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80">
        <f t="shared" si="5"/>
        <v>0</v>
      </c>
      <c r="O99" s="80">
        <f t="shared" si="6"/>
        <v>0</v>
      </c>
      <c r="P99" s="80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81">
        <f t="shared" si="5"/>
        <v>0</v>
      </c>
      <c r="O100" s="81">
        <f t="shared" si="6"/>
        <v>0</v>
      </c>
      <c r="P100" s="81">
        <f t="shared" si="7"/>
        <v>0</v>
      </c>
      <c r="Q100" s="81"/>
    </row>
    <row r="101" spans="1:17" ht="15.6" x14ac:dyDescent="0.3">
      <c r="A101">
        <f>مرتبات!A101</f>
        <v>20</v>
      </c>
      <c r="B101" s="148" t="s">
        <v>91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81">
        <f t="shared" ref="N102:N118" si="9">SUM(I102:K102)</f>
        <v>0</v>
      </c>
      <c r="O102" s="81">
        <f t="shared" ref="O102:O118" si="10">SUM(G102:H102)</f>
        <v>0</v>
      </c>
      <c r="P102" s="81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9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80">
        <f t="shared" si="9"/>
        <v>0</v>
      </c>
      <c r="O103" s="80">
        <f t="shared" si="10"/>
        <v>0</v>
      </c>
      <c r="P103" s="80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81">
        <f t="shared" si="9"/>
        <v>0</v>
      </c>
      <c r="O104" s="81">
        <f t="shared" si="10"/>
        <v>0</v>
      </c>
      <c r="P104" s="81">
        <f t="shared" si="11"/>
        <v>0</v>
      </c>
      <c r="Q104" s="81"/>
    </row>
    <row r="105" spans="1:17" ht="15" x14ac:dyDescent="0.25">
      <c r="A105">
        <f>مرتبات!A105</f>
        <v>4</v>
      </c>
      <c r="B105" s="149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80">
        <f t="shared" si="9"/>
        <v>3045</v>
      </c>
      <c r="O105" s="80">
        <f t="shared" si="10"/>
        <v>0</v>
      </c>
      <c r="P105" s="80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81">
        <f t="shared" si="9"/>
        <v>0</v>
      </c>
      <c r="O106" s="81">
        <f t="shared" si="10"/>
        <v>0</v>
      </c>
      <c r="P106" s="81">
        <f t="shared" si="11"/>
        <v>600</v>
      </c>
      <c r="Q106" s="81"/>
    </row>
    <row r="107" spans="1:17" ht="15.6" thickBot="1" x14ac:dyDescent="0.3">
      <c r="A107">
        <f>مرتبات!A107</f>
        <v>6</v>
      </c>
      <c r="B107" s="149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80">
        <f t="shared" si="9"/>
        <v>0</v>
      </c>
      <c r="O107" s="80">
        <f t="shared" si="10"/>
        <v>0</v>
      </c>
      <c r="P107" s="80">
        <f t="shared" si="11"/>
        <v>0</v>
      </c>
      <c r="Q107" s="80"/>
    </row>
    <row r="108" spans="1:17" ht="15" hidden="1" x14ac:dyDescent="0.25">
      <c r="A108">
        <f>مرتبات!A108</f>
        <v>0</v>
      </c>
      <c r="B108" s="82" t="str">
        <f>مرتبات!B108</f>
        <v>Spare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9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9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9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9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9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2" t="s">
        <v>64</v>
      </c>
      <c r="C118" s="89">
        <f t="shared" ref="C118:L118" si="12">SUM(C4:C17)+SUM(C19:C55)+SUM(C57:C100)+SUM(C102:C117)</f>
        <v>5075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67343.200000000012</v>
      </c>
      <c r="J118" s="89">
        <f t="shared" si="12"/>
        <v>387856</v>
      </c>
      <c r="K118" s="89">
        <f t="shared" si="12"/>
        <v>26017</v>
      </c>
      <c r="L118" s="89">
        <f t="shared" si="12"/>
        <v>0</v>
      </c>
      <c r="M118" s="89">
        <f t="shared" si="8"/>
        <v>39925</v>
      </c>
      <c r="N118" s="89">
        <f t="shared" si="9"/>
        <v>481216.2</v>
      </c>
      <c r="O118" s="90">
        <f t="shared" si="10"/>
        <v>0</v>
      </c>
      <c r="P118" s="89">
        <f t="shared" si="11"/>
        <v>521141.2</v>
      </c>
      <c r="Q118" s="9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25" zoomScale="89" zoomScaleNormal="89" workbookViewId="0">
      <selection activeCell="G81" sqref="G81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31.05" customHeight="1" thickBot="1" x14ac:dyDescent="0.3">
      <c r="B1" s="144" t="s">
        <v>15</v>
      </c>
    </row>
    <row r="2" spans="1:13" ht="53.4" thickBot="1" x14ac:dyDescent="0.3">
      <c r="A2" s="136" t="s">
        <v>5</v>
      </c>
      <c r="B2" s="143" t="s">
        <v>148</v>
      </c>
      <c r="C2" s="145" t="s">
        <v>48</v>
      </c>
      <c r="D2" s="145" t="s">
        <v>49</v>
      </c>
      <c r="E2" s="145" t="s">
        <v>50</v>
      </c>
      <c r="F2" s="145" t="s">
        <v>51</v>
      </c>
      <c r="G2" s="145" t="s">
        <v>52</v>
      </c>
      <c r="H2" s="145" t="s">
        <v>53</v>
      </c>
      <c r="I2" s="145" t="s">
        <v>54</v>
      </c>
      <c r="J2" s="145" t="s">
        <v>55</v>
      </c>
      <c r="K2" s="145" t="s">
        <v>56</v>
      </c>
      <c r="L2" s="140" t="s">
        <v>57</v>
      </c>
      <c r="M2" s="40" t="s">
        <v>17</v>
      </c>
    </row>
    <row r="3" spans="1:13" ht="15" customHeight="1" x14ac:dyDescent="0.3">
      <c r="A3" s="13"/>
      <c r="B3" s="141" t="s">
        <v>61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</row>
    <row r="4" spans="1:13" ht="15" customHeight="1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ht="15" customHeight="1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ht="15" customHeight="1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1314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1314</v>
      </c>
      <c r="M6" s="58"/>
    </row>
    <row r="7" spans="1:13" ht="15" hidden="1" customHeight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t="15" hidden="1" customHeight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t="15" hidden="1" customHeight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t="15" hidden="1" customHeight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t="15" hidden="1" customHeight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t="15" hidden="1" customHeight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t="15" hidden="1" customHeight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t="15" hidden="1" customHeight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t="15" hidden="1" customHeight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t="15" hidden="1" customHeight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t="15" hidden="1" customHeight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" customHeight="1" x14ac:dyDescent="0.3">
      <c r="A18" s="98">
        <f>مرتبات!A18</f>
        <v>3</v>
      </c>
      <c r="B18" s="141" t="s">
        <v>62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</row>
    <row r="19" spans="1:13" ht="15" customHeight="1" x14ac:dyDescent="0.25">
      <c r="A19" s="98">
        <f>مرتبات!A19</f>
        <v>1</v>
      </c>
      <c r="B19" s="19" t="str">
        <f>مرتبات!B19</f>
        <v>أ/ناجى رمضان أمين محمد</v>
      </c>
      <c r="C19" s="64">
        <v>2219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2219</v>
      </c>
      <c r="M19" s="157" t="s">
        <v>149</v>
      </c>
    </row>
    <row r="20" spans="1:13" ht="15" customHeight="1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93</v>
      </c>
      <c r="H20" s="64">
        <v>0</v>
      </c>
      <c r="I20" s="64">
        <v>0</v>
      </c>
      <c r="J20" s="64">
        <v>50</v>
      </c>
      <c r="K20" s="64">
        <v>0</v>
      </c>
      <c r="L20" s="64">
        <f t="shared" si="0"/>
        <v>143</v>
      </c>
      <c r="M20" s="72"/>
    </row>
    <row r="21" spans="1:13" ht="15" customHeight="1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50</v>
      </c>
      <c r="K21" s="64">
        <v>0</v>
      </c>
      <c r="L21" s="64">
        <f t="shared" si="0"/>
        <v>50</v>
      </c>
      <c r="M21" s="23"/>
    </row>
    <row r="22" spans="1:13" ht="15" customHeight="1" x14ac:dyDescent="0.25">
      <c r="A22" s="98">
        <f>مرتبات!A22</f>
        <v>4</v>
      </c>
      <c r="B22" s="19" t="str">
        <f>مرتبات!B22</f>
        <v>أ/منة الله البلتاجى</v>
      </c>
      <c r="C22" s="64">
        <v>1027</v>
      </c>
      <c r="D22" s="64">
        <v>0</v>
      </c>
      <c r="E22" s="64">
        <v>0</v>
      </c>
      <c r="F22" s="64">
        <v>0</v>
      </c>
      <c r="G22" s="64">
        <v>0</v>
      </c>
      <c r="H22" s="64">
        <v>3000</v>
      </c>
      <c r="I22" s="64">
        <v>3000</v>
      </c>
      <c r="J22" s="64">
        <v>0</v>
      </c>
      <c r="K22" s="64">
        <v>0</v>
      </c>
      <c r="L22" s="64">
        <f t="shared" si="0"/>
        <v>7027</v>
      </c>
      <c r="M22" s="159" t="s">
        <v>150</v>
      </c>
    </row>
    <row r="23" spans="1:13" ht="15" customHeight="1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ht="15" customHeight="1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3"/>
    </row>
    <row r="25" spans="1:13" ht="15" customHeight="1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480</v>
      </c>
      <c r="H25" s="64">
        <v>0</v>
      </c>
      <c r="I25" s="64">
        <v>0</v>
      </c>
      <c r="J25" s="64">
        <v>200</v>
      </c>
      <c r="K25" s="64"/>
      <c r="L25" s="64">
        <f t="shared" si="0"/>
        <v>680</v>
      </c>
      <c r="M25" s="23"/>
    </row>
    <row r="26" spans="1:13" ht="15" hidden="1" customHeight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t="15" hidden="1" customHeight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t="15" hidden="1" customHeight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t="15" hidden="1" customHeight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t="15" hidden="1" customHeight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t="15" hidden="1" customHeight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t="15" hidden="1" customHeight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ht="15" customHeight="1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50</v>
      </c>
      <c r="K33" s="64">
        <v>0</v>
      </c>
      <c r="L33" s="64">
        <f t="shared" si="0"/>
        <v>50</v>
      </c>
      <c r="M33" s="72"/>
    </row>
    <row r="34" spans="1:13" ht="15" customHeight="1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483</v>
      </c>
      <c r="I34" s="64">
        <v>0</v>
      </c>
      <c r="J34" s="64">
        <v>0</v>
      </c>
      <c r="K34" s="64">
        <v>0</v>
      </c>
      <c r="L34" s="64">
        <f t="shared" si="0"/>
        <v>483</v>
      </c>
      <c r="M34" s="23"/>
    </row>
    <row r="35" spans="1:13" ht="15" customHeight="1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t="15" hidden="1" customHeight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t="15" hidden="1" customHeight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t="15" hidden="1" customHeight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" hidden="1" customHeight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t="15" hidden="1" customHeight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t="15" hidden="1" customHeight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t="15" hidden="1" customHeight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" hidden="1" customHeight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t="15" hidden="1" customHeight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ht="15" customHeight="1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366</v>
      </c>
      <c r="J45" s="64">
        <v>0</v>
      </c>
      <c r="K45" s="64">
        <v>1750</v>
      </c>
      <c r="L45" s="64">
        <f t="shared" si="0"/>
        <v>2116</v>
      </c>
      <c r="M45" s="72" t="s">
        <v>154</v>
      </c>
    </row>
    <row r="46" spans="1:13" ht="15" customHeight="1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f t="shared" si="0"/>
        <v>0</v>
      </c>
      <c r="M46" s="158"/>
    </row>
    <row r="47" spans="1:13" ht="15" customHeight="1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f t="shared" si="0"/>
        <v>0</v>
      </c>
      <c r="M47" s="158"/>
    </row>
    <row r="48" spans="1:13" ht="15" customHeight="1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600</v>
      </c>
      <c r="J48" s="64">
        <v>100</v>
      </c>
      <c r="K48" s="64">
        <v>0</v>
      </c>
      <c r="L48" s="64">
        <f t="shared" si="0"/>
        <v>700</v>
      </c>
      <c r="M48" s="158" t="s">
        <v>155</v>
      </c>
    </row>
    <row r="49" spans="1:13" ht="15" hidden="1" customHeight="1" x14ac:dyDescent="0.25">
      <c r="A49" s="98">
        <f>مرتبات!A49</f>
        <v>0</v>
      </c>
      <c r="B49" s="19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33"/>
    </row>
    <row r="50" spans="1:13" ht="15" hidden="1" customHeight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t="15" hidden="1" customHeight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t="15" hidden="1" customHeight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t="15" hidden="1" customHeight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t="15" hidden="1" customHeight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t="15" hidden="1" customHeight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" customHeight="1" x14ac:dyDescent="0.3">
      <c r="A56" s="98">
        <f>مرتبات!A56</f>
        <v>14</v>
      </c>
      <c r="B56" s="141" t="s">
        <v>90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</row>
    <row r="57" spans="1:13" ht="15" customHeight="1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0" t="s">
        <v>151</v>
      </c>
    </row>
    <row r="58" spans="1:13" ht="15" customHeight="1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161" t="s">
        <v>156</v>
      </c>
    </row>
    <row r="59" spans="1:13" ht="15" hidden="1" customHeight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t="15" hidden="1" customHeight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t="15" hidden="1" customHeight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ht="15" customHeight="1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57" t="s">
        <v>152</v>
      </c>
    </row>
    <row r="63" spans="1:13" ht="15" customHeight="1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t="15" hidden="1" customHeight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t="15" hidden="1" customHeight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t="15" hidden="1" customHeight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t="15" hidden="1" customHeight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ht="15" customHeight="1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ht="15" customHeight="1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ht="15" customHeight="1" x14ac:dyDescent="0.25">
      <c r="A70" s="98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57" t="s">
        <v>152</v>
      </c>
    </row>
    <row r="71" spans="1:13" ht="15" customHeight="1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ht="15" customHeight="1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57" t="s">
        <v>152</v>
      </c>
    </row>
    <row r="73" spans="1:13" ht="15" customHeight="1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83"/>
    </row>
    <row r="74" spans="1:13" ht="15" customHeight="1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ht="15" customHeight="1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ht="15" customHeight="1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ht="15" customHeight="1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2"/>
    </row>
    <row r="78" spans="1:13" ht="15" customHeight="1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ht="15" customHeight="1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366</v>
      </c>
      <c r="I79" s="64">
        <v>0</v>
      </c>
      <c r="J79" s="64">
        <v>0</v>
      </c>
      <c r="K79" s="64">
        <v>0</v>
      </c>
      <c r="L79" s="95">
        <f t="shared" si="1"/>
        <v>366</v>
      </c>
      <c r="M79" s="176">
        <v>45728</v>
      </c>
    </row>
    <row r="80" spans="1:13" ht="15" customHeight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667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667</v>
      </c>
      <c r="M80" s="83"/>
    </row>
    <row r="81" spans="1:13" ht="15" customHeight="1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ht="15" customHeight="1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ht="15" customHeight="1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83"/>
    </row>
    <row r="84" spans="1:13" ht="15" hidden="1" customHeight="1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f t="shared" si="1"/>
        <v>0</v>
      </c>
      <c r="M84" s="83"/>
    </row>
    <row r="85" spans="1:13" ht="15" hidden="1" customHeight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t="15" hidden="1" customHeight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t="15" hidden="1" customHeight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t="15" hidden="1" customHeight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t="15" hidden="1" customHeight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t="15" hidden="1" customHeight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t="15" hidden="1" customHeight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t="15" hidden="1" customHeight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t="15" hidden="1" customHeight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t="15" hidden="1" customHeight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t="15" hidden="1" customHeight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t="15" hidden="1" customHeight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t="15" hidden="1" customHeight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t="15" hidden="1" customHeight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t="15" hidden="1" customHeight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t="15" hidden="1" customHeight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" customHeight="1" x14ac:dyDescent="0.3">
      <c r="A101" s="98">
        <f>مرتبات!A101</f>
        <v>20</v>
      </c>
      <c r="B101" s="141" t="s">
        <v>91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</row>
    <row r="102" spans="1:13" ht="15" customHeight="1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ht="15" customHeight="1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ht="15" customHeight="1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ht="15" customHeight="1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" customHeight="1" thickBot="1" x14ac:dyDescent="0.3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0</v>
      </c>
      <c r="M106" s="83"/>
    </row>
    <row r="107" spans="1:13" ht="15" hidden="1" customHeight="1" x14ac:dyDescent="0.25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t="15" hidden="1" customHeight="1" x14ac:dyDescent="0.25">
      <c r="A108" s="98">
        <f>مرتبات!A108</f>
        <v>0</v>
      </c>
      <c r="B108" s="19" t="str">
        <f>مرتبات!B108</f>
        <v>Spare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t="15" hidden="1" customHeight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t="15" hidden="1" customHeight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t="15" hidden="1" customHeight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t="15" hidden="1" customHeight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t="15" hidden="1" customHeight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t="15" hidden="1" customHeight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t="15" hidden="1" customHeight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t="15" hidden="1" customHeight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" hidden="1" customHeight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5" customHeight="1" thickBot="1" x14ac:dyDescent="0.3">
      <c r="A118" s="98">
        <f>مرتبات!A118</f>
        <v>6</v>
      </c>
      <c r="B118" s="146" t="s">
        <v>63</v>
      </c>
      <c r="C118" s="94">
        <f>SUM(C4:C17)+SUM(C19:C55)+SUM(C57:C100)+SUM(C102:C117)</f>
        <v>5800.5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0</v>
      </c>
      <c r="G118" s="94">
        <f t="shared" si="2"/>
        <v>2554</v>
      </c>
      <c r="H118" s="94">
        <f>SUM(H4:H17)+SUM(H19:H55)+SUM(H57:H100)+SUM(H102:H117)</f>
        <v>3849</v>
      </c>
      <c r="I118" s="94">
        <f t="shared" si="2"/>
        <v>3966</v>
      </c>
      <c r="J118" s="94">
        <f t="shared" si="2"/>
        <v>450</v>
      </c>
      <c r="K118" s="94">
        <f t="shared" si="2"/>
        <v>1750</v>
      </c>
      <c r="L118" s="94">
        <f>SUM(C118:K118)</f>
        <v>18369.5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ht="15.75" customHeight="1" x14ac:dyDescent="0.25">
      <c r="A122" s="22"/>
    </row>
    <row r="188" spans="2:13" ht="15.6" x14ac:dyDescent="0.25">
      <c r="B188" s="61" t="s">
        <v>63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I12" sqref="I12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190"/>
      <c r="D3" s="191"/>
      <c r="E3" s="191"/>
      <c r="F3" s="192"/>
      <c r="G3" s="39"/>
      <c r="H3" s="40" t="s">
        <v>28</v>
      </c>
    </row>
    <row r="4" spans="2:8" ht="18.600000000000001" thickTop="1" thickBot="1" x14ac:dyDescent="0.3">
      <c r="B4" s="38"/>
      <c r="C4" s="71" t="s">
        <v>120</v>
      </c>
      <c r="D4" s="109" t="str">
        <f>INDEX(مرتبات!B1:B1066,H4,1)</f>
        <v>أ/ناجى رمضان أمين محمد</v>
      </c>
      <c r="E4" s="71" t="s">
        <v>6</v>
      </c>
      <c r="F4" s="110">
        <f>مرتبات!D2</f>
        <v>45717</v>
      </c>
      <c r="G4" s="39"/>
      <c r="H4" s="5">
        <v>19</v>
      </c>
    </row>
    <row r="5" spans="2:8" ht="14.4" thickTop="1" thickBot="1" x14ac:dyDescent="0.3">
      <c r="B5" s="38"/>
      <c r="C5" s="41" t="s">
        <v>70</v>
      </c>
      <c r="D5" s="193">
        <f>SUM((INDEX(مرتبات!D1:D1066,H4,1)),VALUE((INDEX(مرتبات!G1:G1066,H4,1))))</f>
        <v>46300</v>
      </c>
      <c r="E5" s="194"/>
      <c r="F5" s="195"/>
      <c r="G5" s="39"/>
      <c r="H5" s="5"/>
    </row>
    <row r="6" spans="2:8" ht="13.8" thickTop="1" x14ac:dyDescent="0.25">
      <c r="B6" s="38"/>
      <c r="C6" s="196" t="s">
        <v>94</v>
      </c>
      <c r="D6" s="197"/>
      <c r="E6" s="196" t="s">
        <v>8</v>
      </c>
      <c r="F6" s="197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2219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10126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1195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123</v>
      </c>
      <c r="D16" s="193">
        <f>D5+D7+D8+D9+D10+D11+D12+D13</f>
        <v>57621</v>
      </c>
      <c r="E16" s="194"/>
      <c r="F16" s="195"/>
      <c r="G16" s="39"/>
      <c r="H16" s="5"/>
    </row>
    <row r="17" spans="2:8" ht="14.4" thickTop="1" thickBot="1" x14ac:dyDescent="0.3">
      <c r="B17" s="38"/>
      <c r="C17" s="46" t="s">
        <v>29</v>
      </c>
      <c r="D17" s="193">
        <f>SUM(D7:D15)</f>
        <v>11321</v>
      </c>
      <c r="E17" s="194"/>
      <c r="F17" s="195"/>
      <c r="G17" s="39"/>
      <c r="H17" s="5"/>
    </row>
    <row r="18" spans="2:8" ht="14.4" thickTop="1" thickBot="1" x14ac:dyDescent="0.3">
      <c r="B18" s="38"/>
      <c r="C18" s="47" t="s">
        <v>81</v>
      </c>
      <c r="D18" s="184">
        <f>(SUM(F7:F15))</f>
        <v>2219</v>
      </c>
      <c r="E18" s="185"/>
      <c r="F18" s="186"/>
      <c r="G18" s="39"/>
      <c r="H18" s="5"/>
    </row>
    <row r="19" spans="2:8" ht="15" thickTop="1" thickBot="1" x14ac:dyDescent="0.3">
      <c r="B19" s="38"/>
      <c r="C19" s="47" t="s">
        <v>93</v>
      </c>
      <c r="D19" s="187">
        <f>D16-D17-D18</f>
        <v>44081</v>
      </c>
      <c r="E19" s="188"/>
      <c r="F19" s="189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90"/>
      <c r="D3" s="191"/>
      <c r="E3" s="191"/>
      <c r="F3" s="192"/>
      <c r="G3" s="39"/>
      <c r="H3" s="40" t="s">
        <v>28</v>
      </c>
    </row>
    <row r="4" spans="2:8" ht="16.8" thickTop="1" thickBot="1" x14ac:dyDescent="0.3">
      <c r="B4" s="38"/>
      <c r="C4" s="111" t="s">
        <v>99</v>
      </c>
      <c r="D4" s="99" t="str">
        <f>INDEX(مرتبات!B1:B1066,H4,1)</f>
        <v>أ/ناجى رمضان أمين محمد</v>
      </c>
      <c r="E4" s="111" t="s">
        <v>98</v>
      </c>
      <c r="F4" s="99">
        <f>مرتبات!D2</f>
        <v>45717</v>
      </c>
      <c r="G4" s="39"/>
      <c r="H4" s="5">
        <v>19</v>
      </c>
    </row>
    <row r="5" spans="2:8" ht="14.4" thickTop="1" thickBot="1" x14ac:dyDescent="0.3">
      <c r="B5" s="38"/>
      <c r="C5" s="103" t="s">
        <v>100</v>
      </c>
      <c r="D5" s="193">
        <f>SUM((INDEX(مرتبات!D1:D1066,H4,1)),VALUE((INDEX(مرتبات!G1:G1066,H4,1))))</f>
        <v>46300</v>
      </c>
      <c r="E5" s="194"/>
      <c r="F5" s="195"/>
      <c r="G5" s="39"/>
      <c r="H5" s="5"/>
    </row>
    <row r="6" spans="2:8" ht="13.8" thickTop="1" x14ac:dyDescent="0.25">
      <c r="B6" s="38"/>
      <c r="C6" s="198" t="s">
        <v>118</v>
      </c>
      <c r="D6" s="199"/>
      <c r="E6" s="196" t="s">
        <v>101</v>
      </c>
      <c r="F6" s="197"/>
      <c r="G6" s="39"/>
      <c r="H6" s="5"/>
    </row>
    <row r="7" spans="2:8" x14ac:dyDescent="0.25">
      <c r="B7" s="38"/>
      <c r="C7" s="105" t="s">
        <v>103</v>
      </c>
      <c r="D7" s="42">
        <f>INDEX(اضافات!C1:C1069,H4,1)</f>
        <v>0</v>
      </c>
      <c r="E7" s="105" t="s">
        <v>111</v>
      </c>
      <c r="F7" s="104">
        <f>INDEX(خصومات!C1:C1069,H4,1)</f>
        <v>2219</v>
      </c>
      <c r="G7" s="39"/>
      <c r="H7" s="5"/>
    </row>
    <row r="8" spans="2:8" x14ac:dyDescent="0.25">
      <c r="B8" s="38"/>
      <c r="C8" s="106" t="s">
        <v>104</v>
      </c>
      <c r="D8" s="42">
        <f>INDEX(اضافات!D1:D1069,H4,1)</f>
        <v>0</v>
      </c>
      <c r="E8" s="106" t="s">
        <v>112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105</v>
      </c>
      <c r="D9" s="42">
        <f>INDEX(اضافات!E1:E1069,H4,1)</f>
        <v>0</v>
      </c>
      <c r="E9" s="107" t="s">
        <v>113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106</v>
      </c>
      <c r="D10" s="42">
        <f>INDEX(اضافات!L1:L1069,H4,1)</f>
        <v>0</v>
      </c>
      <c r="E10" s="107" t="s">
        <v>116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108</v>
      </c>
      <c r="D11" s="42">
        <f>INDEX(اضافات!J1:J1069,H4,1)</f>
        <v>10126</v>
      </c>
      <c r="E11" s="107" t="s">
        <v>115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109</v>
      </c>
      <c r="D12" s="42">
        <f>INDEX(اضافات!I1:I1069,H4,1)</f>
        <v>0</v>
      </c>
      <c r="E12" s="107" t="s">
        <v>110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107</v>
      </c>
      <c r="D13" s="42">
        <f>INDEX(اضافات!K1:K1069,H4,1)</f>
        <v>1195</v>
      </c>
      <c r="E13" s="107" t="s">
        <v>114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119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117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122</v>
      </c>
      <c r="D16" s="193">
        <f>D5+D7+D8+D9+D10+D11+D12+D13</f>
        <v>57621</v>
      </c>
      <c r="E16" s="194"/>
      <c r="F16" s="195"/>
      <c r="G16" s="39"/>
      <c r="H16" s="5"/>
    </row>
    <row r="17" spans="2:8" ht="14.4" thickTop="1" thickBot="1" x14ac:dyDescent="0.3">
      <c r="B17" s="38"/>
      <c r="C17" s="101" t="s">
        <v>124</v>
      </c>
      <c r="D17" s="184">
        <f>SUM(D7:D15)</f>
        <v>11321</v>
      </c>
      <c r="E17" s="185"/>
      <c r="F17" s="186"/>
      <c r="G17" s="39"/>
      <c r="H17" s="5"/>
    </row>
    <row r="18" spans="2:8" ht="14.4" thickTop="1" thickBot="1" x14ac:dyDescent="0.3">
      <c r="B18" s="38"/>
      <c r="C18" s="102" t="s">
        <v>101</v>
      </c>
      <c r="D18" s="184">
        <f>(SUM(F7:F15))</f>
        <v>2219</v>
      </c>
      <c r="E18" s="185"/>
      <c r="F18" s="186"/>
      <c r="G18" s="39"/>
      <c r="H18" s="5"/>
    </row>
    <row r="19" spans="2:8" ht="15" thickTop="1" thickBot="1" x14ac:dyDescent="0.3">
      <c r="B19" s="38"/>
      <c r="C19" s="102" t="s">
        <v>102</v>
      </c>
      <c r="D19" s="187">
        <f>D16-D17-D18</f>
        <v>44081</v>
      </c>
      <c r="E19" s="188"/>
      <c r="F19" s="189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2019-12-29T12:41:41Z</cp:lastPrinted>
  <dcterms:created xsi:type="dcterms:W3CDTF">2012-09-26T15:27:24Z</dcterms:created>
  <dcterms:modified xsi:type="dcterms:W3CDTF">2025-11-11T10:49:24Z</dcterms:modified>
</cp:coreProperties>
</file>