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Claude\SalariesSummary\Sheets\"/>
    </mc:Choice>
  </mc:AlternateContent>
  <xr:revisionPtr revIDLastSave="0" documentId="13_ncr:1_{30106874-9521-4624-B0C1-793E4C3E82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مرتبات" sheetId="1" r:id="rId1"/>
    <sheet name="اضافات" sheetId="2" r:id="rId2"/>
    <sheet name="خصومات" sheetId="3" r:id="rId3"/>
    <sheet name="Pay Clip (AR)" sheetId="4" r:id="rId4"/>
    <sheet name="Pay Clip (EN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5" l="1"/>
  <c r="F14" i="5"/>
  <c r="F13" i="5"/>
  <c r="D13" i="5"/>
  <c r="F12" i="5"/>
  <c r="D12" i="5"/>
  <c r="F11" i="5"/>
  <c r="D11" i="5"/>
  <c r="F10" i="5"/>
  <c r="D10" i="5"/>
  <c r="F9" i="5"/>
  <c r="D9" i="5"/>
  <c r="F8" i="5"/>
  <c r="D8" i="5"/>
  <c r="F7" i="5"/>
  <c r="D7" i="5"/>
  <c r="D5" i="5"/>
  <c r="F4" i="5"/>
  <c r="D4" i="5"/>
  <c r="F15" i="4"/>
  <c r="F14" i="4"/>
  <c r="F13" i="4"/>
  <c r="D13" i="4"/>
  <c r="F12" i="4"/>
  <c r="D12" i="4"/>
  <c r="F11" i="4"/>
  <c r="D11" i="4"/>
  <c r="F10" i="4"/>
  <c r="D10" i="4"/>
  <c r="F9" i="4"/>
  <c r="D9" i="4"/>
  <c r="F8" i="4"/>
  <c r="D8" i="4"/>
  <c r="F7" i="4"/>
  <c r="D7" i="4"/>
  <c r="D5" i="4"/>
  <c r="F4" i="4"/>
  <c r="D4" i="4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B100" i="3"/>
  <c r="A100" i="3"/>
  <c r="B99" i="3"/>
  <c r="A99" i="3"/>
  <c r="B98" i="3"/>
  <c r="A98" i="3"/>
  <c r="B97" i="3"/>
  <c r="A97" i="3"/>
  <c r="B96" i="3"/>
  <c r="A96" i="3"/>
  <c r="B95" i="3"/>
  <c r="A95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4" i="3"/>
  <c r="B83" i="3"/>
  <c r="B82" i="3"/>
  <c r="B81" i="3"/>
  <c r="B80" i="3"/>
  <c r="A80" i="3"/>
  <c r="B79" i="3"/>
  <c r="B78" i="3"/>
  <c r="B77" i="3"/>
  <c r="B76" i="3"/>
  <c r="B75" i="3"/>
  <c r="B74" i="3"/>
  <c r="B73" i="3"/>
  <c r="B72" i="3"/>
  <c r="B71" i="3"/>
  <c r="B70" i="3"/>
  <c r="B69" i="3"/>
  <c r="A69" i="3"/>
  <c r="B68" i="3"/>
  <c r="A68" i="3"/>
  <c r="B67" i="3"/>
  <c r="A67" i="3"/>
  <c r="B66" i="3"/>
  <c r="A66" i="3"/>
  <c r="B65" i="3"/>
  <c r="A65" i="3"/>
  <c r="B64" i="3"/>
  <c r="A64" i="3"/>
  <c r="B6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A56" i="3"/>
  <c r="B55" i="3"/>
  <c r="A55" i="3"/>
  <c r="B54" i="3"/>
  <c r="A54" i="3"/>
  <c r="B53" i="3"/>
  <c r="A53" i="3"/>
  <c r="B52" i="3"/>
  <c r="A52" i="3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B76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B68" i="2"/>
  <c r="A68" i="2"/>
  <c r="B67" i="2"/>
  <c r="A67" i="2"/>
  <c r="B66" i="2"/>
  <c r="A66" i="2"/>
  <c r="B65" i="2"/>
  <c r="A65" i="2"/>
  <c r="B64" i="2"/>
  <c r="A64" i="2"/>
  <c r="B63" i="2"/>
  <c r="A63" i="2"/>
  <c r="B62" i="2"/>
  <c r="A62" i="2"/>
  <c r="B61" i="2"/>
  <c r="A61" i="2"/>
  <c r="B60" i="2"/>
  <c r="A60" i="2"/>
  <c r="B59" i="2"/>
  <c r="A59" i="2"/>
  <c r="B58" i="2"/>
  <c r="A58" i="2"/>
  <c r="B57" i="2"/>
  <c r="A57" i="2"/>
  <c r="A56" i="2"/>
  <c r="B55" i="2"/>
  <c r="A55" i="2"/>
  <c r="B54" i="2"/>
  <c r="A54" i="2"/>
  <c r="B53" i="2"/>
  <c r="A53" i="2"/>
  <c r="B52" i="2"/>
  <c r="A52" i="2"/>
  <c r="B51" i="2"/>
  <c r="A51" i="2"/>
  <c r="B50" i="2"/>
  <c r="A50" i="2"/>
  <c r="B49" i="2"/>
  <c r="A49" i="2"/>
  <c r="B48" i="2"/>
  <c r="A48" i="2"/>
  <c r="B47" i="2"/>
  <c r="A47" i="2"/>
  <c r="B46" i="2"/>
  <c r="A46" i="2"/>
  <c r="B45" i="2"/>
  <c r="A45" i="2"/>
  <c r="B44" i="2"/>
  <c r="A44" i="2"/>
  <c r="B43" i="2"/>
  <c r="A43" i="2"/>
  <c r="B42" i="2"/>
  <c r="A42" i="2"/>
  <c r="B41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B26" i="2"/>
  <c r="A26" i="2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D18" i="5"/>
  <c r="D17" i="5"/>
  <c r="D18" i="4"/>
  <c r="D17" i="4"/>
  <c r="K118" i="3"/>
  <c r="J118" i="3"/>
  <c r="I118" i="3"/>
  <c r="H118" i="3"/>
  <c r="G118" i="3"/>
  <c r="F118" i="3"/>
  <c r="E118" i="3"/>
  <c r="D118" i="3"/>
  <c r="C118" i="3"/>
  <c r="L118" i="3" s="1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N118" i="2"/>
  <c r="L118" i="2"/>
  <c r="M118" i="2" s="1"/>
  <c r="P118" i="2" s="1"/>
  <c r="K118" i="2"/>
  <c r="J118" i="2"/>
  <c r="I118" i="2"/>
  <c r="H118" i="2"/>
  <c r="G118" i="2"/>
  <c r="O118" i="2" s="1"/>
  <c r="F118" i="2"/>
  <c r="E118" i="2"/>
  <c r="D118" i="2"/>
  <c r="C118" i="2"/>
  <c r="P117" i="2"/>
  <c r="O117" i="2"/>
  <c r="N117" i="2"/>
  <c r="M117" i="2"/>
  <c r="O116" i="2"/>
  <c r="N116" i="2"/>
  <c r="M116" i="2"/>
  <c r="P116" i="2" s="1"/>
  <c r="O115" i="2"/>
  <c r="N115" i="2"/>
  <c r="M115" i="2"/>
  <c r="P115" i="2" s="1"/>
  <c r="O114" i="2"/>
  <c r="N114" i="2"/>
  <c r="M114" i="2"/>
  <c r="P114" i="2" s="1"/>
  <c r="O113" i="2"/>
  <c r="N113" i="2"/>
  <c r="M113" i="2"/>
  <c r="P113" i="2" s="1"/>
  <c r="O112" i="2"/>
  <c r="N112" i="2"/>
  <c r="P112" i="2" s="1"/>
  <c r="M112" i="2"/>
  <c r="O111" i="2"/>
  <c r="N111" i="2"/>
  <c r="P111" i="2" s="1"/>
  <c r="M111" i="2"/>
  <c r="O110" i="2"/>
  <c r="P110" i="2" s="1"/>
  <c r="N110" i="2"/>
  <c r="M110" i="2"/>
  <c r="P109" i="2"/>
  <c r="O109" i="2"/>
  <c r="N109" i="2"/>
  <c r="M109" i="2"/>
  <c r="O108" i="2"/>
  <c r="N108" i="2"/>
  <c r="M108" i="2"/>
  <c r="P108" i="2" s="1"/>
  <c r="P107" i="2"/>
  <c r="O107" i="2"/>
  <c r="N107" i="2"/>
  <c r="M107" i="2"/>
  <c r="O106" i="2"/>
  <c r="N106" i="2"/>
  <c r="M106" i="2"/>
  <c r="P106" i="2" s="1"/>
  <c r="O105" i="2"/>
  <c r="N105" i="2"/>
  <c r="M105" i="2"/>
  <c r="P105" i="2" s="1"/>
  <c r="O104" i="2"/>
  <c r="N104" i="2"/>
  <c r="M104" i="2"/>
  <c r="P104" i="2" s="1"/>
  <c r="P103" i="2"/>
  <c r="O103" i="2"/>
  <c r="N103" i="2"/>
  <c r="M103" i="2"/>
  <c r="O102" i="2"/>
  <c r="N102" i="2"/>
  <c r="M102" i="2"/>
  <c r="P102" i="2" s="1"/>
  <c r="O100" i="2"/>
  <c r="P100" i="2" s="1"/>
  <c r="N100" i="2"/>
  <c r="M100" i="2"/>
  <c r="O99" i="2"/>
  <c r="N99" i="2"/>
  <c r="M99" i="2"/>
  <c r="P99" i="2" s="1"/>
  <c r="P98" i="2"/>
  <c r="O98" i="2"/>
  <c r="N98" i="2"/>
  <c r="M98" i="2"/>
  <c r="O97" i="2"/>
  <c r="N97" i="2"/>
  <c r="M97" i="2"/>
  <c r="P97" i="2" s="1"/>
  <c r="O96" i="2"/>
  <c r="N96" i="2"/>
  <c r="M96" i="2"/>
  <c r="P96" i="2" s="1"/>
  <c r="O95" i="2"/>
  <c r="N95" i="2"/>
  <c r="M95" i="2"/>
  <c r="P95" i="2" s="1"/>
  <c r="P94" i="2"/>
  <c r="O94" i="2"/>
  <c r="N94" i="2"/>
  <c r="M94" i="2"/>
  <c r="O93" i="2"/>
  <c r="N93" i="2"/>
  <c r="M93" i="2"/>
  <c r="P93" i="2" s="1"/>
  <c r="O92" i="2"/>
  <c r="P92" i="2" s="1"/>
  <c r="N92" i="2"/>
  <c r="M92" i="2"/>
  <c r="O91" i="2"/>
  <c r="N91" i="2"/>
  <c r="M91" i="2"/>
  <c r="P91" i="2" s="1"/>
  <c r="P90" i="2"/>
  <c r="O90" i="2"/>
  <c r="N90" i="2"/>
  <c r="M90" i="2"/>
  <c r="O89" i="2"/>
  <c r="N89" i="2"/>
  <c r="M89" i="2"/>
  <c r="P89" i="2" s="1"/>
  <c r="O88" i="2"/>
  <c r="N88" i="2"/>
  <c r="M88" i="2"/>
  <c r="P88" i="2" s="1"/>
  <c r="O87" i="2"/>
  <c r="N87" i="2"/>
  <c r="M87" i="2"/>
  <c r="P87" i="2" s="1"/>
  <c r="P86" i="2"/>
  <c r="O86" i="2"/>
  <c r="N86" i="2"/>
  <c r="M86" i="2"/>
  <c r="O85" i="2"/>
  <c r="N85" i="2"/>
  <c r="M85" i="2"/>
  <c r="P85" i="2" s="1"/>
  <c r="O84" i="2"/>
  <c r="P84" i="2" s="1"/>
  <c r="N84" i="2"/>
  <c r="M84" i="2"/>
  <c r="P83" i="2"/>
  <c r="O83" i="2"/>
  <c r="N83" i="2"/>
  <c r="M83" i="2"/>
  <c r="P82" i="2"/>
  <c r="O82" i="2"/>
  <c r="N82" i="2"/>
  <c r="M82" i="2"/>
  <c r="O81" i="2"/>
  <c r="N81" i="2"/>
  <c r="M81" i="2"/>
  <c r="P81" i="2" s="1"/>
  <c r="O80" i="2"/>
  <c r="N80" i="2"/>
  <c r="M80" i="2"/>
  <c r="P80" i="2" s="1"/>
  <c r="O79" i="2"/>
  <c r="N79" i="2"/>
  <c r="M79" i="2"/>
  <c r="P79" i="2" s="1"/>
  <c r="P78" i="2"/>
  <c r="O78" i="2"/>
  <c r="N78" i="2"/>
  <c r="M78" i="2"/>
  <c r="O77" i="2"/>
  <c r="N77" i="2"/>
  <c r="M77" i="2"/>
  <c r="P77" i="2" s="1"/>
  <c r="O76" i="2"/>
  <c r="P76" i="2" s="1"/>
  <c r="N76" i="2"/>
  <c r="M76" i="2"/>
  <c r="P75" i="2"/>
  <c r="O75" i="2"/>
  <c r="N75" i="2"/>
  <c r="M75" i="2"/>
  <c r="P74" i="2"/>
  <c r="O74" i="2"/>
  <c r="N74" i="2"/>
  <c r="M74" i="2"/>
  <c r="O73" i="2"/>
  <c r="N73" i="2"/>
  <c r="M73" i="2"/>
  <c r="P73" i="2" s="1"/>
  <c r="O72" i="2"/>
  <c r="N72" i="2"/>
  <c r="M72" i="2"/>
  <c r="P72" i="2" s="1"/>
  <c r="O71" i="2"/>
  <c r="N71" i="2"/>
  <c r="M71" i="2"/>
  <c r="P71" i="2" s="1"/>
  <c r="P70" i="2"/>
  <c r="O70" i="2"/>
  <c r="N70" i="2"/>
  <c r="M70" i="2"/>
  <c r="O69" i="2"/>
  <c r="N69" i="2"/>
  <c r="M69" i="2"/>
  <c r="P69" i="2" s="1"/>
  <c r="O68" i="2"/>
  <c r="P68" i="2" s="1"/>
  <c r="N68" i="2"/>
  <c r="M68" i="2"/>
  <c r="O67" i="2"/>
  <c r="N67" i="2"/>
  <c r="P67" i="2" s="1"/>
  <c r="M67" i="2"/>
  <c r="P66" i="2"/>
  <c r="O66" i="2"/>
  <c r="N66" i="2"/>
  <c r="M66" i="2"/>
  <c r="O65" i="2"/>
  <c r="N65" i="2"/>
  <c r="P65" i="2" s="1"/>
  <c r="M65" i="2"/>
  <c r="O64" i="2"/>
  <c r="N64" i="2"/>
  <c r="M64" i="2"/>
  <c r="P64" i="2" s="1"/>
  <c r="O63" i="2"/>
  <c r="N63" i="2"/>
  <c r="M63" i="2"/>
  <c r="P63" i="2" s="1"/>
  <c r="P62" i="2"/>
  <c r="O62" i="2"/>
  <c r="N62" i="2"/>
  <c r="M62" i="2"/>
  <c r="O61" i="2"/>
  <c r="N61" i="2"/>
  <c r="P61" i="2" s="1"/>
  <c r="M61" i="2"/>
  <c r="O60" i="2"/>
  <c r="P60" i="2" s="1"/>
  <c r="N60" i="2"/>
  <c r="M60" i="2"/>
  <c r="P59" i="2"/>
  <c r="O59" i="2"/>
  <c r="N59" i="2"/>
  <c r="M59" i="2"/>
  <c r="P58" i="2"/>
  <c r="O58" i="2"/>
  <c r="N58" i="2"/>
  <c r="M58" i="2"/>
  <c r="O57" i="2"/>
  <c r="N57" i="2"/>
  <c r="P57" i="2" s="1"/>
  <c r="M57" i="2"/>
  <c r="O55" i="2"/>
  <c r="N55" i="2"/>
  <c r="M55" i="2"/>
  <c r="P55" i="2" s="1"/>
  <c r="O54" i="2"/>
  <c r="N54" i="2"/>
  <c r="P54" i="2" s="1"/>
  <c r="M54" i="2"/>
  <c r="O53" i="2"/>
  <c r="N53" i="2"/>
  <c r="M53" i="2"/>
  <c r="P53" i="2" s="1"/>
  <c r="O52" i="2"/>
  <c r="P52" i="2" s="1"/>
  <c r="N52" i="2"/>
  <c r="M52" i="2"/>
  <c r="P51" i="2"/>
  <c r="O51" i="2"/>
  <c r="N51" i="2"/>
  <c r="M51" i="2"/>
  <c r="O50" i="2"/>
  <c r="N50" i="2"/>
  <c r="M50" i="2"/>
  <c r="P50" i="2" s="1"/>
  <c r="O49" i="2"/>
  <c r="N49" i="2"/>
  <c r="M49" i="2"/>
  <c r="P49" i="2" s="1"/>
  <c r="O48" i="2"/>
  <c r="N48" i="2"/>
  <c r="M48" i="2"/>
  <c r="P48" i="2" s="1"/>
  <c r="O47" i="2"/>
  <c r="N47" i="2"/>
  <c r="M47" i="2"/>
  <c r="P47" i="2" s="1"/>
  <c r="O46" i="2"/>
  <c r="N46" i="2"/>
  <c r="P46" i="2" s="1"/>
  <c r="M46" i="2"/>
  <c r="O45" i="2"/>
  <c r="N45" i="2"/>
  <c r="M45" i="2"/>
  <c r="P45" i="2" s="1"/>
  <c r="O44" i="2"/>
  <c r="P44" i="2" s="1"/>
  <c r="N44" i="2"/>
  <c r="M44" i="2"/>
  <c r="P43" i="2"/>
  <c r="O43" i="2"/>
  <c r="N43" i="2"/>
  <c r="M43" i="2"/>
  <c r="O42" i="2"/>
  <c r="N42" i="2"/>
  <c r="M42" i="2"/>
  <c r="P42" i="2" s="1"/>
  <c r="O41" i="2"/>
  <c r="N41" i="2"/>
  <c r="M41" i="2"/>
  <c r="P41" i="2" s="1"/>
  <c r="O40" i="2"/>
  <c r="N40" i="2"/>
  <c r="M40" i="2"/>
  <c r="P40" i="2" s="1"/>
  <c r="O39" i="2"/>
  <c r="N39" i="2"/>
  <c r="M39" i="2"/>
  <c r="P39" i="2" s="1"/>
  <c r="O38" i="2"/>
  <c r="N38" i="2"/>
  <c r="P38" i="2" s="1"/>
  <c r="M38" i="2"/>
  <c r="O37" i="2"/>
  <c r="N37" i="2"/>
  <c r="M37" i="2"/>
  <c r="P37" i="2" s="1"/>
  <c r="O36" i="2"/>
  <c r="P36" i="2" s="1"/>
  <c r="N36" i="2"/>
  <c r="M36" i="2"/>
  <c r="P35" i="2"/>
  <c r="O35" i="2"/>
  <c r="N35" i="2"/>
  <c r="M35" i="2"/>
  <c r="O34" i="2"/>
  <c r="N34" i="2"/>
  <c r="M34" i="2"/>
  <c r="P34" i="2" s="1"/>
  <c r="O33" i="2"/>
  <c r="N33" i="2"/>
  <c r="M33" i="2"/>
  <c r="P33" i="2" s="1"/>
  <c r="O32" i="2"/>
  <c r="P32" i="2" s="1"/>
  <c r="N32" i="2"/>
  <c r="M32" i="2"/>
  <c r="O31" i="2"/>
  <c r="N31" i="2"/>
  <c r="M31" i="2"/>
  <c r="P31" i="2" s="1"/>
  <c r="O30" i="2"/>
  <c r="N30" i="2"/>
  <c r="P30" i="2" s="1"/>
  <c r="M30" i="2"/>
  <c r="O29" i="2"/>
  <c r="N29" i="2"/>
  <c r="P29" i="2" s="1"/>
  <c r="M29" i="2"/>
  <c r="O28" i="2"/>
  <c r="P28" i="2" s="1"/>
  <c r="N28" i="2"/>
  <c r="M28" i="2"/>
  <c r="P27" i="2"/>
  <c r="O27" i="2"/>
  <c r="N27" i="2"/>
  <c r="M27" i="2"/>
  <c r="O26" i="2"/>
  <c r="N26" i="2"/>
  <c r="M26" i="2"/>
  <c r="P26" i="2" s="1"/>
  <c r="O25" i="2"/>
  <c r="N25" i="2"/>
  <c r="M25" i="2"/>
  <c r="P25" i="2" s="1"/>
  <c r="O24" i="2"/>
  <c r="P24" i="2" s="1"/>
  <c r="N24" i="2"/>
  <c r="M24" i="2"/>
  <c r="O23" i="2"/>
  <c r="N23" i="2"/>
  <c r="M23" i="2"/>
  <c r="P23" i="2" s="1"/>
  <c r="O22" i="2"/>
  <c r="N22" i="2"/>
  <c r="P22" i="2" s="1"/>
  <c r="M22" i="2"/>
  <c r="O21" i="2"/>
  <c r="N21" i="2"/>
  <c r="P21" i="2" s="1"/>
  <c r="M21" i="2"/>
  <c r="O20" i="2"/>
  <c r="P20" i="2" s="1"/>
  <c r="N20" i="2"/>
  <c r="M20" i="2"/>
  <c r="P19" i="2"/>
  <c r="O19" i="2"/>
  <c r="N19" i="2"/>
  <c r="M19" i="2"/>
  <c r="O17" i="2"/>
  <c r="N17" i="2"/>
  <c r="M17" i="2"/>
  <c r="P17" i="2" s="1"/>
  <c r="O16" i="2"/>
  <c r="N16" i="2"/>
  <c r="M16" i="2"/>
  <c r="P16" i="2" s="1"/>
  <c r="P15" i="2"/>
  <c r="O15" i="2"/>
  <c r="N15" i="2"/>
  <c r="M15" i="2"/>
  <c r="O14" i="2"/>
  <c r="N14" i="2"/>
  <c r="M14" i="2"/>
  <c r="P14" i="2" s="1"/>
  <c r="O13" i="2"/>
  <c r="P13" i="2" s="1"/>
  <c r="N13" i="2"/>
  <c r="M13" i="2"/>
  <c r="O12" i="2"/>
  <c r="N12" i="2"/>
  <c r="M12" i="2"/>
  <c r="P12" i="2" s="1"/>
  <c r="P11" i="2"/>
  <c r="O11" i="2"/>
  <c r="N11" i="2"/>
  <c r="M11" i="2"/>
  <c r="O10" i="2"/>
  <c r="N10" i="2"/>
  <c r="M10" i="2"/>
  <c r="P10" i="2" s="1"/>
  <c r="O9" i="2"/>
  <c r="N9" i="2"/>
  <c r="M9" i="2"/>
  <c r="P9" i="2" s="1"/>
  <c r="O8" i="2"/>
  <c r="N8" i="2"/>
  <c r="M8" i="2"/>
  <c r="P8" i="2" s="1"/>
  <c r="P7" i="2"/>
  <c r="O7" i="2"/>
  <c r="N7" i="2"/>
  <c r="M7" i="2"/>
  <c r="O6" i="2"/>
  <c r="N6" i="2"/>
  <c r="M6" i="2"/>
  <c r="P6" i="2" s="1"/>
  <c r="O5" i="2"/>
  <c r="P5" i="2" s="1"/>
  <c r="N5" i="2"/>
  <c r="M5" i="2"/>
  <c r="O4" i="2"/>
  <c r="N4" i="2"/>
  <c r="M4" i="2"/>
  <c r="P4" i="2" s="1"/>
  <c r="D16" i="5" l="1"/>
  <c r="D19" i="5" s="1"/>
  <c r="D16" i="4"/>
  <c r="D19" i="4" s="1"/>
  <c r="A120" i="1"/>
  <c r="A119" i="1"/>
  <c r="D118" i="1"/>
  <c r="D101" i="1"/>
  <c r="D56" i="1"/>
  <c r="D18" i="1"/>
  <c r="D120" i="1" s="1"/>
  <c r="D119" i="1" l="1"/>
</calcChain>
</file>

<file path=xl/sharedStrings.xml><?xml version="1.0" encoding="utf-8"?>
<sst xmlns="http://schemas.openxmlformats.org/spreadsheetml/2006/main" count="218" uniqueCount="147">
  <si>
    <t>ديسمبر 2025</t>
  </si>
  <si>
    <t>الشهر</t>
  </si>
  <si>
    <t>م</t>
  </si>
  <si>
    <t>الاسماء / Name</t>
  </si>
  <si>
    <t>-</t>
  </si>
  <si>
    <t>صافي الاتعاب والمرتبات / Salary</t>
  </si>
  <si>
    <t>د/هانى صلاح الدين محمد سري الدين</t>
  </si>
  <si>
    <t>أ/أميرة محمد على شريف</t>
  </si>
  <si>
    <t>أ/إيهاب حمدى ابراهيم</t>
  </si>
  <si>
    <t>Spare</t>
  </si>
  <si>
    <t>اجمالي الشركاء</t>
  </si>
  <si>
    <t>أ/ناجى رمضان أمين محمد</t>
  </si>
  <si>
    <t>أ/محمد عبد العزيز عبدالحافظ</t>
  </si>
  <si>
    <t>أ/ أحمد سعيد أحمد محمد علي</t>
  </si>
  <si>
    <t>أ/منة الله البلتاجى</t>
  </si>
  <si>
    <t>أ/نهى عمرو محمد رضوان</t>
  </si>
  <si>
    <t>أ/عبد الله عمرو حافظ</t>
  </si>
  <si>
    <t>أ/محمد حمدى كامل</t>
  </si>
  <si>
    <t>أ/أحمد سيف الدين أبو بكر سري الدين</t>
  </si>
  <si>
    <t>أ/هاني أحمد الدالي</t>
  </si>
  <si>
    <t>أ/عبدالرحمن أحمد عبدالعزيز حسن</t>
  </si>
  <si>
    <t>أ/حبيبة محمود سمير محمود عيسى</t>
  </si>
  <si>
    <t>أ/احمد ابو العباس محمد الاتربي</t>
  </si>
  <si>
    <t>أ/ليلي امين محمد امين طموم</t>
  </si>
  <si>
    <t>أ/كريم ايمن محمد عادل</t>
  </si>
  <si>
    <t>عمرو محمد عبدالحليم أبو سليم</t>
  </si>
  <si>
    <t>اجمالي المحامين</t>
  </si>
  <si>
    <t>أ/دعاء عبد الدايم إبراهيم نصار</t>
  </si>
  <si>
    <t>أ/أحمد محمد رزق</t>
  </si>
  <si>
    <t>Manager Spare</t>
  </si>
  <si>
    <t>أ/خالد محمد حلمى</t>
  </si>
  <si>
    <t>أ/ نيرمين عصمت محمد حجازي</t>
  </si>
  <si>
    <t>Senior Spare</t>
  </si>
  <si>
    <t>أ/مروة شريف عبدالحميد سلامة</t>
  </si>
  <si>
    <t>أ/حازم ابراهيم عبد الحميد محمد فتاتة</t>
  </si>
  <si>
    <t xml:space="preserve">أ/أحمد سمير حسن السيد </t>
  </si>
  <si>
    <t>أ/إيمان صبحى شكرى</t>
  </si>
  <si>
    <t>أ/شريف شكرى محمد</t>
  </si>
  <si>
    <t>أ/محمد حسن محمد كامل</t>
  </si>
  <si>
    <t>أ/سامي ابراهيم محمد</t>
  </si>
  <si>
    <t>أ/محمود على محمود حسين</t>
  </si>
  <si>
    <t>أ/عمرو عبد الكريم صقر</t>
  </si>
  <si>
    <t>أ/مختار احمد المجدلي</t>
  </si>
  <si>
    <t>أ/طارق محمد جمعه</t>
  </si>
  <si>
    <t>أ/ أحمد محمد عبدالسلام</t>
  </si>
  <si>
    <t>أ/محمد عبدالجواد محمد</t>
  </si>
  <si>
    <t>أ/ منة الله محب عبدالغفار السيد</t>
  </si>
  <si>
    <t>أ/عاصم محمد سعيد عبده</t>
  </si>
  <si>
    <t>أ/ نجوى إبراهيم محمود غنيم</t>
  </si>
  <si>
    <t>محمد حسين محمد محمد</t>
  </si>
  <si>
    <t>اجمالي العاملين</t>
  </si>
  <si>
    <t>أ/هالة فوزي</t>
  </si>
  <si>
    <t>د/أمجد سعيد</t>
  </si>
  <si>
    <t>د/وليد رزق</t>
  </si>
  <si>
    <t>د/أمينة العطيفي</t>
  </si>
  <si>
    <t>أ/ محمد فاروق عبد الحليم</t>
  </si>
  <si>
    <t>د/ أحمد بغدادي رشدي محمد</t>
  </si>
  <si>
    <t>المستشار محمد ماهر عبدالواحد</t>
  </si>
  <si>
    <t>اجمالي المستشارين</t>
  </si>
  <si>
    <t>اجمالي صافي الاتعاب والمرتبات فقط بدون المستشارين</t>
  </si>
  <si>
    <t>الاجمالي صافي الاتعاب والمرتبات والمستشاريين</t>
  </si>
  <si>
    <t>اضافات شهرية</t>
  </si>
  <si>
    <t>#</t>
  </si>
  <si>
    <t>شهر ديسمبر 2025</t>
  </si>
  <si>
    <t>بدلات تليفون / Phone Allowance</t>
  </si>
  <si>
    <t>بدلات انتقال / Transportation Allowance</t>
  </si>
  <si>
    <t>بدل سكن / Accommodation Allowance</t>
  </si>
  <si>
    <t>زيادة سنوية / Yearly Increase</t>
  </si>
  <si>
    <t>مكافئات سنوية / Annual Bonus</t>
  </si>
  <si>
    <t>مكافئات شهرية / Monthly Bonus</t>
  </si>
  <si>
    <t>قيمة التأمين الإجتماعي الممنوح / Given Social Insurance</t>
  </si>
  <si>
    <t>ضرائب إداريين/محامين / Taxs</t>
  </si>
  <si>
    <t xml:space="preserve">قيمة التأمين الصحي الممنوح \ Given Medical Insurance </t>
  </si>
  <si>
    <t>بدلات اخري / Allowances</t>
  </si>
  <si>
    <t>اجمالي إضافات مباشرة / Total Direct Allownces</t>
  </si>
  <si>
    <t>اجمالي إضافات غير مباشرة / Total InDirect Allownces</t>
  </si>
  <si>
    <t>اجمالي علاوات / Total Bouns</t>
  </si>
  <si>
    <t>اجمالي الإضافات / Total Allowances</t>
  </si>
  <si>
    <t>ملحوظات</t>
  </si>
  <si>
    <t>شركاء</t>
  </si>
  <si>
    <t>محامين</t>
  </si>
  <si>
    <t>عاملين</t>
  </si>
  <si>
    <t>مستشارين</t>
  </si>
  <si>
    <t>مستشار محمد ماهر عبدالواحد</t>
  </si>
  <si>
    <t>المجموع</t>
  </si>
  <si>
    <t>خصومات شهرية</t>
  </si>
  <si>
    <t>شهر نوفمبر 2025</t>
  </si>
  <si>
    <t>قيمة التأمين الصحي المخصوم / Deducted Medical Insurance</t>
  </si>
  <si>
    <t>ضرائب محامين / Laywers Taxs</t>
  </si>
  <si>
    <t>مسحوبات لبنوك أخرى / Other bank withdrawal</t>
  </si>
  <si>
    <t>مسحوبات/خصم من المرتب/الاتعاب / Loans or Deductions</t>
  </si>
  <si>
    <t>خصومات تليفون / Phone Deduction</t>
  </si>
  <si>
    <t>اجازات غير مدفوعة المرتب / Unpaid Vacation</t>
  </si>
  <si>
    <t>تأخيرات / Late</t>
  </si>
  <si>
    <t>خصومات تسجيل ساعات العمل / Time sheet</t>
  </si>
  <si>
    <t>خصومات اخري/ Other Deductions</t>
  </si>
  <si>
    <t>اجمالي الخصومات / Total Deductions</t>
  </si>
  <si>
    <t>مجموع</t>
  </si>
  <si>
    <t>Row</t>
  </si>
  <si>
    <t>الإسم</t>
  </si>
  <si>
    <t>اتعاب/ راتب</t>
  </si>
  <si>
    <t>مزايا مخصومة من إجمالي المرتب / اتعاب شهرية</t>
  </si>
  <si>
    <t>خصومات</t>
  </si>
  <si>
    <t>بدلات تليفون</t>
  </si>
  <si>
    <t>قيمة التأمين الصحي المخصوم</t>
  </si>
  <si>
    <t>بدلات انتقال</t>
  </si>
  <si>
    <t>مسحوبات لبنوك أخرى</t>
  </si>
  <si>
    <t>بدلات سكن</t>
  </si>
  <si>
    <t>مسحوبات/خصم من المرتب/الاتعاب</t>
  </si>
  <si>
    <t>بدلات اخري</t>
  </si>
  <si>
    <t>تأخيرات</t>
  </si>
  <si>
    <t xml:space="preserve">ضرائب </t>
  </si>
  <si>
    <t>اجازات غير مدفوعة المرتب</t>
  </si>
  <si>
    <t>قيمة التأمين الإجتماعي الممنوح</t>
  </si>
  <si>
    <t>ضرائب محامين</t>
  </si>
  <si>
    <t>قيمة التأمين الصحي الممنوح</t>
  </si>
  <si>
    <t>خصومات تليفون</t>
  </si>
  <si>
    <t>خصومات تسجيل ساعات العمل</t>
  </si>
  <si>
    <t>خصومات اخري</t>
  </si>
  <si>
    <t>الإجمالي بالخصم والإضافة</t>
  </si>
  <si>
    <t>إضافات على المرتب</t>
  </si>
  <si>
    <t xml:space="preserve">بدلات </t>
  </si>
  <si>
    <t>الصافي بعد الخصم والإضافة</t>
  </si>
  <si>
    <t>Name</t>
  </si>
  <si>
    <t>Month</t>
  </si>
  <si>
    <t>Salary\ Fees</t>
  </si>
  <si>
    <t>Benefits deducted from the total Monthly Salary/Fees</t>
  </si>
  <si>
    <t>Deductions</t>
  </si>
  <si>
    <t>Phone Allowance</t>
  </si>
  <si>
    <t>Deducted Medical Insurance</t>
  </si>
  <si>
    <t>Transportation Allowance</t>
  </si>
  <si>
    <t>Other bank withdrawal</t>
  </si>
  <si>
    <t>Accommodation Allowance</t>
  </si>
  <si>
    <t>Loans or Deductions</t>
  </si>
  <si>
    <t>Other Allowance</t>
  </si>
  <si>
    <t>Late Deduction</t>
  </si>
  <si>
    <t>Taxs</t>
  </si>
  <si>
    <t>Unpaid Vacation</t>
  </si>
  <si>
    <t>Given Social Insurance</t>
  </si>
  <si>
    <t>Lawyer Tax</t>
  </si>
  <si>
    <t>Given Medical Insurance</t>
  </si>
  <si>
    <t>Phone Deduction</t>
  </si>
  <si>
    <t>Time sheet Deduction</t>
  </si>
  <si>
    <t>Other Deductions</t>
  </si>
  <si>
    <t>Gross</t>
  </si>
  <si>
    <t>Additions and Allowances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</si>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</sst>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-yyyy"/>
    <numFmt numFmtId="165" formatCode="[$-20B0000]d\ mmmm\ yyyy;@"/>
    <numFmt numFmtId="166" formatCode="[$-409]d\-mmm\-yyyy;@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17" fontId="3" fillId="0" borderId="10" xfId="0" applyNumberFormat="1" applyFont="1" applyBorder="1" applyAlignment="1">
      <alignment horizontal="center"/>
    </xf>
    <xf numFmtId="165" fontId="3" fillId="0" borderId="10" xfId="0" applyNumberFormat="1" applyFont="1" applyBorder="1" applyAlignment="1">
      <alignment horizontal="center"/>
    </xf>
    <xf numFmtId="0" fontId="4" fillId="0" borderId="11" xfId="0" applyFont="1" applyBorder="1" applyAlignment="1">
      <alignment horizontal="right" vertical="center" indent="1"/>
    </xf>
    <xf numFmtId="4" fontId="0" fillId="0" borderId="11" xfId="0" applyNumberFormat="1" applyBorder="1" applyAlignment="1">
      <alignment horizontal="right" vertical="center"/>
    </xf>
    <xf numFmtId="0" fontId="4" fillId="0" borderId="16" xfId="0" applyFont="1" applyBorder="1" applyAlignment="1">
      <alignment horizontal="right" vertical="center" indent="1"/>
    </xf>
    <xf numFmtId="0" fontId="4" fillId="0" borderId="17" xfId="0" applyFont="1" applyBorder="1" applyAlignment="1">
      <alignment horizontal="right" vertical="center" indent="1"/>
    </xf>
    <xf numFmtId="0" fontId="4" fillId="0" borderId="9" xfId="0" applyFont="1" applyBorder="1" applyAlignment="1">
      <alignment horizontal="right" vertical="center" indent="1"/>
    </xf>
    <xf numFmtId="0" fontId="4" fillId="0" borderId="18" xfId="0" applyFont="1" applyBorder="1" applyAlignment="1">
      <alignment horizontal="right" vertical="center" indent="1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17" fontId="2" fillId="0" borderId="2" xfId="0" applyNumberFormat="1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1" fillId="3" borderId="9" xfId="0" applyFont="1" applyFill="1" applyBorder="1" applyAlignment="1">
      <alignment horizontal="center" vertical="center"/>
    </xf>
    <xf numFmtId="4" fontId="2" fillId="0" borderId="11" xfId="0" applyNumberFormat="1" applyFont="1" applyBorder="1" applyAlignment="1">
      <alignment horizontal="right" vertical="center"/>
    </xf>
    <xf numFmtId="4" fontId="2" fillId="0" borderId="11" xfId="0" applyNumberFormat="1" applyFont="1" applyBorder="1" applyAlignment="1">
      <alignment vertical="center"/>
    </xf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5" fillId="2" borderId="9" xfId="0" applyFont="1" applyFill="1" applyBorder="1" applyAlignment="1">
      <alignment horizontal="center" vertical="center"/>
    </xf>
    <xf numFmtId="166" fontId="3" fillId="0" borderId="13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indent="1"/>
    </xf>
    <xf numFmtId="4" fontId="0" fillId="0" borderId="11" xfId="0" applyNumberFormat="1" applyBorder="1" applyAlignment="1">
      <alignment horizontal="center" vertical="center"/>
    </xf>
    <xf numFmtId="0" fontId="6" fillId="0" borderId="16" xfId="0" applyFont="1" applyBorder="1" applyAlignment="1">
      <alignment horizontal="left" vertical="center" indent="1"/>
    </xf>
    <xf numFmtId="0" fontId="6" fillId="0" borderId="17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" fontId="4" fillId="0" borderId="12" xfId="0" applyNumberFormat="1" applyFont="1" applyBorder="1" applyAlignment="1">
      <alignment horizontal="center" vertical="center"/>
    </xf>
    <xf numFmtId="4" fontId="4" fillId="0" borderId="13" xfId="0" applyNumberFormat="1" applyFont="1" applyBorder="1" applyAlignment="1">
      <alignment horizontal="center" vertical="center"/>
    </xf>
    <xf numFmtId="4" fontId="4" fillId="0" borderId="10" xfId="0" applyNumberFormat="1" applyFont="1" applyBorder="1" applyAlignment="1">
      <alignment horizontal="center" vertical="center"/>
    </xf>
    <xf numFmtId="4" fontId="3" fillId="0" borderId="12" xfId="0" applyNumberFormat="1" applyFont="1" applyBorder="1" applyAlignment="1">
      <alignment horizontal="center" vertical="center"/>
    </xf>
    <xf numFmtId="4" fontId="3" fillId="0" borderId="13" xfId="0" applyNumberFormat="1" applyFont="1" applyBorder="1" applyAlignment="1">
      <alignment horizontal="center" vertical="center"/>
    </xf>
    <xf numFmtId="4" fontId="3" fillId="0" borderId="10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" fontId="2" fillId="0" borderId="12" xfId="0" applyNumberFormat="1" applyFont="1" applyBorder="1" applyAlignment="1">
      <alignment horizontal="center" vertical="center"/>
    </xf>
    <xf numFmtId="4" fontId="2" fillId="0" borderId="13" xfId="0" applyNumberFormat="1" applyFont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4" fontId="0" fillId="0" borderId="12" xfId="0" applyNumberFormat="1" applyBorder="1" applyAlignment="1">
      <alignment horizontal="center" vertical="center"/>
    </xf>
    <xf numFmtId="4" fontId="0" fillId="0" borderId="13" xfId="0" applyNumberFormat="1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1190624</xdr:colOff>
      <xdr:row>2</xdr:row>
      <xdr:rowOff>28576</xdr:rowOff>
    </xdr:from>
    <xdr:to>
      <xdr:col>4</xdr:col>
      <xdr:colOff>837098</xdr:colOff>
      <xdr:row>2</xdr:row>
      <xdr:rowOff>397769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A48DA7-818C-4B57-AAB8-D1FBBA453C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6651182" y="371476"/>
          <a:ext cx="1002834" cy="323473"/>
        </a:xfrm>
        <a:prstGeom prst="rect">
          <a:avLst/>
        </a:prstGeom>
      </xdr:spPr>
    </xdr:pic>
    <xdr:clientData/>
  </xdr:twoCellAnchor>
  <xdr:twoCellAnchor editAs="oneCell">
    <xdr:from>
      <xdr:col>3</xdr:col>
      <xdr:colOff>1190624</xdr:colOff>
      <xdr:row>2</xdr:row>
      <xdr:rowOff>28576</xdr:rowOff>
    </xdr:from>
    <xdr:to>
      <xdr:col>4</xdr:col>
      <xdr:colOff>837098</xdr:colOff>
      <xdr:row>2</xdr:row>
      <xdr:rowOff>397769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AA7E21-A17A-4EFF-AE22-5F9FB3C8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6651182" y="371476"/>
          <a:ext cx="1002834" cy="3234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1133476</xdr:colOff>
      <xdr:row>2</xdr:row>
      <xdr:rowOff>28575</xdr:rowOff>
    </xdr:from>
    <xdr:to>
      <xdr:col>4</xdr:col>
      <xdr:colOff>771526</xdr:colOff>
      <xdr:row>2</xdr:row>
      <xdr:rowOff>401750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0353F8-1228-40BB-8A0A-5424FEDE8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6116" y="371475"/>
          <a:ext cx="994410" cy="327455"/>
        </a:xfrm>
        <a:prstGeom prst="rect">
          <a:avLst/>
        </a:prstGeom>
      </xdr:spPr>
    </xdr:pic>
    <xdr:clientData/>
  </xdr:twoCellAnchor>
  <xdr:twoCellAnchor editAs="oneCell">
    <xdr:from>
      <xdr:col>3</xdr:col>
      <xdr:colOff>1133476</xdr:colOff>
      <xdr:row>2</xdr:row>
      <xdr:rowOff>28575</xdr:rowOff>
    </xdr:from>
    <xdr:to>
      <xdr:col>4</xdr:col>
      <xdr:colOff>771526</xdr:colOff>
      <xdr:row>2</xdr:row>
      <xdr:rowOff>401750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3ECC43-46AC-4035-AC06-7F13F8DE2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6116" y="371475"/>
          <a:ext cx="994410" cy="32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0"/>
  <sheetViews>
    <sheetView rightToLeft="1" tabSelected="1" zoomScale="90" zoomScaleNormal="90" workbookViewId="0">
      <selection activeCell="B6" sqref="B6"/>
    </sheetView>
  </sheetViews>
  <sheetFormatPr defaultRowHeight="14.4" x14ac:dyDescent="0.3"/>
  <cols>
    <col min="4" max="4" width="18.33203125" bestFit="1" customWidth="1"/>
  </cols>
  <sheetData>
    <row r="1" spans="1:4" x14ac:dyDescent="0.3">
      <c r="A1" t="s">
        <v>0</v>
      </c>
    </row>
    <row r="2" spans="1:4" x14ac:dyDescent="0.3">
      <c r="B2" t="s">
        <v>1</v>
      </c>
      <c r="D2" s="1">
        <v>45992</v>
      </c>
    </row>
    <row r="3" spans="1:4" x14ac:dyDescent="0.3">
      <c r="A3" t="s">
        <v>2</v>
      </c>
      <c r="B3" t="s">
        <v>3</v>
      </c>
      <c r="C3" t="s">
        <v>4</v>
      </c>
      <c r="D3" t="s">
        <v>5</v>
      </c>
    </row>
    <row r="4" spans="1:4" x14ac:dyDescent="0.3">
      <c r="A4">
        <v>1</v>
      </c>
      <c r="B4" t="s">
        <v>6</v>
      </c>
      <c r="D4">
        <v>0</v>
      </c>
    </row>
    <row r="5" spans="1:4" x14ac:dyDescent="0.3">
      <c r="A5">
        <v>2</v>
      </c>
      <c r="B5" t="s">
        <v>7</v>
      </c>
      <c r="D5">
        <v>0</v>
      </c>
    </row>
    <row r="6" spans="1:4" x14ac:dyDescent="0.3">
      <c r="A6">
        <v>3</v>
      </c>
      <c r="B6" t="s">
        <v>8</v>
      </c>
      <c r="D6">
        <v>0</v>
      </c>
    </row>
    <row r="7" spans="1:4" x14ac:dyDescent="0.3">
      <c r="B7" t="s">
        <v>9</v>
      </c>
      <c r="D7">
        <v>0</v>
      </c>
    </row>
    <row r="8" spans="1:4" x14ac:dyDescent="0.3">
      <c r="B8" t="s">
        <v>9</v>
      </c>
      <c r="D8">
        <v>0</v>
      </c>
    </row>
    <row r="9" spans="1:4" x14ac:dyDescent="0.3">
      <c r="B9" t="s">
        <v>9</v>
      </c>
      <c r="D9">
        <v>0</v>
      </c>
    </row>
    <row r="10" spans="1:4" x14ac:dyDescent="0.3">
      <c r="B10" t="s">
        <v>9</v>
      </c>
      <c r="D10">
        <v>0</v>
      </c>
    </row>
    <row r="11" spans="1:4" x14ac:dyDescent="0.3">
      <c r="B11" t="s">
        <v>9</v>
      </c>
      <c r="D11">
        <v>0</v>
      </c>
    </row>
    <row r="12" spans="1:4" x14ac:dyDescent="0.3">
      <c r="B12" t="s">
        <v>9</v>
      </c>
      <c r="D12">
        <v>0</v>
      </c>
    </row>
    <row r="13" spans="1:4" x14ac:dyDescent="0.3">
      <c r="B13" t="s">
        <v>9</v>
      </c>
      <c r="D13">
        <v>0</v>
      </c>
    </row>
    <row r="14" spans="1:4" x14ac:dyDescent="0.3">
      <c r="B14" t="s">
        <v>9</v>
      </c>
      <c r="D14">
        <v>0</v>
      </c>
    </row>
    <row r="15" spans="1:4" x14ac:dyDescent="0.3">
      <c r="B15" t="s">
        <v>9</v>
      </c>
      <c r="D15">
        <v>0</v>
      </c>
    </row>
    <row r="16" spans="1:4" x14ac:dyDescent="0.3">
      <c r="B16" t="s">
        <v>9</v>
      </c>
      <c r="D16">
        <v>0</v>
      </c>
    </row>
    <row r="17" spans="1:4" x14ac:dyDescent="0.3">
      <c r="B17" t="s">
        <v>9</v>
      </c>
      <c r="D17">
        <v>0</v>
      </c>
    </row>
    <row r="18" spans="1:4" x14ac:dyDescent="0.3">
      <c r="A18">
        <v>3</v>
      </c>
      <c r="B18" t="s">
        <v>10</v>
      </c>
      <c r="D18">
        <f>SUM(D4:D17)</f>
        <v>0</v>
      </c>
    </row>
    <row r="19" spans="1:4" x14ac:dyDescent="0.3">
      <c r="A19">
        <v>1</v>
      </c>
      <c r="B19" t="s">
        <v>11</v>
      </c>
      <c r="D19">
        <v>0</v>
      </c>
    </row>
    <row r="20" spans="1:4" x14ac:dyDescent="0.3">
      <c r="A20">
        <v>2</v>
      </c>
      <c r="B20" t="s">
        <v>12</v>
      </c>
      <c r="D20">
        <v>0</v>
      </c>
    </row>
    <row r="21" spans="1:4" x14ac:dyDescent="0.3">
      <c r="A21">
        <v>3</v>
      </c>
      <c r="B21" t="s">
        <v>13</v>
      </c>
      <c r="D21">
        <v>0</v>
      </c>
    </row>
    <row r="22" spans="1:4" x14ac:dyDescent="0.3">
      <c r="A22">
        <v>4</v>
      </c>
      <c r="B22" t="s">
        <v>14</v>
      </c>
      <c r="D22">
        <v>0</v>
      </c>
    </row>
    <row r="23" spans="1:4" x14ac:dyDescent="0.3">
      <c r="A23">
        <v>5</v>
      </c>
      <c r="B23" t="s">
        <v>15</v>
      </c>
      <c r="D23">
        <v>0</v>
      </c>
    </row>
    <row r="24" spans="1:4" x14ac:dyDescent="0.3">
      <c r="A24">
        <v>6</v>
      </c>
      <c r="B24" t="s">
        <v>16</v>
      </c>
      <c r="D24">
        <v>0</v>
      </c>
    </row>
    <row r="25" spans="1:4" x14ac:dyDescent="0.3">
      <c r="A25">
        <v>7</v>
      </c>
      <c r="B25" t="s">
        <v>17</v>
      </c>
      <c r="D25">
        <v>0</v>
      </c>
    </row>
    <row r="26" spans="1:4" x14ac:dyDescent="0.3">
      <c r="B26" t="s">
        <v>9</v>
      </c>
      <c r="D26">
        <v>0</v>
      </c>
    </row>
    <row r="27" spans="1:4" x14ac:dyDescent="0.3">
      <c r="B27" t="s">
        <v>9</v>
      </c>
      <c r="D27">
        <v>0</v>
      </c>
    </row>
    <row r="28" spans="1:4" x14ac:dyDescent="0.3">
      <c r="B28" t="s">
        <v>9</v>
      </c>
      <c r="D28">
        <v>0</v>
      </c>
    </row>
    <row r="29" spans="1:4" x14ac:dyDescent="0.3">
      <c r="B29" t="s">
        <v>9</v>
      </c>
      <c r="D29">
        <v>0</v>
      </c>
    </row>
    <row r="30" spans="1:4" x14ac:dyDescent="0.3">
      <c r="B30" t="s">
        <v>9</v>
      </c>
      <c r="D30">
        <v>0</v>
      </c>
    </row>
    <row r="31" spans="1:4" x14ac:dyDescent="0.3">
      <c r="B31" t="s">
        <v>9</v>
      </c>
      <c r="D31">
        <v>0</v>
      </c>
    </row>
    <row r="32" spans="1:4" x14ac:dyDescent="0.3">
      <c r="B32" t="s">
        <v>9</v>
      </c>
      <c r="D32">
        <v>0</v>
      </c>
    </row>
    <row r="33" spans="1:4" x14ac:dyDescent="0.3">
      <c r="A33">
        <v>8</v>
      </c>
      <c r="B33" t="s">
        <v>18</v>
      </c>
      <c r="D33">
        <v>0</v>
      </c>
    </row>
    <row r="34" spans="1:4" x14ac:dyDescent="0.3">
      <c r="A34">
        <v>9</v>
      </c>
      <c r="B34" t="s">
        <v>19</v>
      </c>
      <c r="D34">
        <v>0</v>
      </c>
    </row>
    <row r="35" spans="1:4" x14ac:dyDescent="0.3">
      <c r="A35">
        <v>10</v>
      </c>
      <c r="B35" t="s">
        <v>20</v>
      </c>
      <c r="D35">
        <v>0</v>
      </c>
    </row>
    <row r="36" spans="1:4" x14ac:dyDescent="0.3">
      <c r="B36" t="s">
        <v>9</v>
      </c>
      <c r="D36">
        <v>0</v>
      </c>
    </row>
    <row r="37" spans="1:4" x14ac:dyDescent="0.3">
      <c r="B37" t="s">
        <v>9</v>
      </c>
      <c r="D37">
        <v>0</v>
      </c>
    </row>
    <row r="38" spans="1:4" x14ac:dyDescent="0.3">
      <c r="B38" t="s">
        <v>9</v>
      </c>
      <c r="D38">
        <v>0</v>
      </c>
    </row>
    <row r="39" spans="1:4" x14ac:dyDescent="0.3">
      <c r="B39" t="s">
        <v>9</v>
      </c>
      <c r="D39">
        <v>0</v>
      </c>
    </row>
    <row r="40" spans="1:4" x14ac:dyDescent="0.3">
      <c r="B40" t="s">
        <v>9</v>
      </c>
      <c r="D40">
        <v>0</v>
      </c>
    </row>
    <row r="41" spans="1:4" x14ac:dyDescent="0.3">
      <c r="B41" t="s">
        <v>9</v>
      </c>
      <c r="D41">
        <v>0</v>
      </c>
    </row>
    <row r="42" spans="1:4" x14ac:dyDescent="0.3">
      <c r="B42" t="s">
        <v>9</v>
      </c>
      <c r="D42">
        <v>0</v>
      </c>
    </row>
    <row r="43" spans="1:4" x14ac:dyDescent="0.3">
      <c r="B43" t="s">
        <v>9</v>
      </c>
      <c r="D43">
        <v>0</v>
      </c>
    </row>
    <row r="44" spans="1:4" x14ac:dyDescent="0.3">
      <c r="B44" t="s">
        <v>9</v>
      </c>
      <c r="D44">
        <v>0</v>
      </c>
    </row>
    <row r="45" spans="1:4" x14ac:dyDescent="0.3">
      <c r="A45">
        <v>11</v>
      </c>
      <c r="B45" t="s">
        <v>21</v>
      </c>
      <c r="D45">
        <v>0</v>
      </c>
    </row>
    <row r="46" spans="1:4" x14ac:dyDescent="0.3">
      <c r="A46">
        <v>12</v>
      </c>
      <c r="B46" t="s">
        <v>22</v>
      </c>
      <c r="D46">
        <v>0</v>
      </c>
    </row>
    <row r="47" spans="1:4" x14ac:dyDescent="0.3">
      <c r="A47">
        <v>13</v>
      </c>
      <c r="B47" t="s">
        <v>23</v>
      </c>
      <c r="D47">
        <v>0</v>
      </c>
    </row>
    <row r="48" spans="1:4" x14ac:dyDescent="0.3">
      <c r="A48">
        <v>14</v>
      </c>
      <c r="B48" t="s">
        <v>24</v>
      </c>
      <c r="D48">
        <v>0</v>
      </c>
    </row>
    <row r="49" spans="1:4" x14ac:dyDescent="0.3">
      <c r="A49">
        <v>15</v>
      </c>
      <c r="B49" t="s">
        <v>25</v>
      </c>
      <c r="D49">
        <v>0</v>
      </c>
    </row>
    <row r="50" spans="1:4" x14ac:dyDescent="0.3">
      <c r="B50" t="s">
        <v>9</v>
      </c>
      <c r="D50">
        <v>0</v>
      </c>
    </row>
    <row r="51" spans="1:4" x14ac:dyDescent="0.3">
      <c r="B51" t="s">
        <v>9</v>
      </c>
      <c r="D51">
        <v>0</v>
      </c>
    </row>
    <row r="52" spans="1:4" x14ac:dyDescent="0.3">
      <c r="B52" t="s">
        <v>9</v>
      </c>
      <c r="D52">
        <v>0</v>
      </c>
    </row>
    <row r="53" spans="1:4" x14ac:dyDescent="0.3">
      <c r="B53" t="s">
        <v>9</v>
      </c>
      <c r="D53">
        <v>0</v>
      </c>
    </row>
    <row r="54" spans="1:4" x14ac:dyDescent="0.3">
      <c r="B54" t="s">
        <v>9</v>
      </c>
      <c r="D54">
        <v>0</v>
      </c>
    </row>
    <row r="55" spans="1:4" x14ac:dyDescent="0.3">
      <c r="B55" t="s">
        <v>9</v>
      </c>
      <c r="D55">
        <v>0</v>
      </c>
    </row>
    <row r="56" spans="1:4" x14ac:dyDescent="0.3">
      <c r="A56">
        <v>15</v>
      </c>
      <c r="B56" t="s">
        <v>26</v>
      </c>
      <c r="D56">
        <f>SUM(D19:D55)</f>
        <v>0</v>
      </c>
    </row>
    <row r="57" spans="1:4" x14ac:dyDescent="0.3">
      <c r="A57">
        <v>1</v>
      </c>
      <c r="B57" t="s">
        <v>27</v>
      </c>
      <c r="D57">
        <v>0</v>
      </c>
    </row>
    <row r="58" spans="1:4" x14ac:dyDescent="0.3">
      <c r="A58">
        <v>2</v>
      </c>
      <c r="B58" t="s">
        <v>28</v>
      </c>
      <c r="D58">
        <v>0</v>
      </c>
    </row>
    <row r="59" spans="1:4" x14ac:dyDescent="0.3">
      <c r="B59" t="s">
        <v>29</v>
      </c>
      <c r="D59">
        <v>0</v>
      </c>
    </row>
    <row r="60" spans="1:4" x14ac:dyDescent="0.3">
      <c r="B60" t="s">
        <v>29</v>
      </c>
      <c r="D60">
        <v>0</v>
      </c>
    </row>
    <row r="61" spans="1:4" x14ac:dyDescent="0.3">
      <c r="B61" t="s">
        <v>29</v>
      </c>
      <c r="D61">
        <v>0</v>
      </c>
    </row>
    <row r="62" spans="1:4" x14ac:dyDescent="0.3">
      <c r="A62">
        <v>3</v>
      </c>
      <c r="B62" t="s">
        <v>30</v>
      </c>
      <c r="D62">
        <v>0</v>
      </c>
    </row>
    <row r="63" spans="1:4" x14ac:dyDescent="0.3">
      <c r="A63">
        <v>4</v>
      </c>
      <c r="B63" t="s">
        <v>31</v>
      </c>
      <c r="D63">
        <v>0</v>
      </c>
    </row>
    <row r="64" spans="1:4" x14ac:dyDescent="0.3">
      <c r="B64" t="s">
        <v>32</v>
      </c>
      <c r="D64">
        <v>0</v>
      </c>
    </row>
    <row r="65" spans="1:4" x14ac:dyDescent="0.3">
      <c r="B65" t="s">
        <v>32</v>
      </c>
      <c r="D65">
        <v>0</v>
      </c>
    </row>
    <row r="66" spans="1:4" x14ac:dyDescent="0.3">
      <c r="B66" t="s">
        <v>32</v>
      </c>
      <c r="D66">
        <v>0</v>
      </c>
    </row>
    <row r="67" spans="1:4" x14ac:dyDescent="0.3">
      <c r="B67" t="s">
        <v>32</v>
      </c>
      <c r="D67">
        <v>0</v>
      </c>
    </row>
    <row r="68" spans="1:4" x14ac:dyDescent="0.3">
      <c r="A68">
        <v>5</v>
      </c>
      <c r="B68" t="s">
        <v>33</v>
      </c>
      <c r="D68">
        <v>0</v>
      </c>
    </row>
    <row r="69" spans="1:4" x14ac:dyDescent="0.3">
      <c r="A69">
        <v>6</v>
      </c>
      <c r="B69" t="s">
        <v>34</v>
      </c>
      <c r="D69">
        <v>0</v>
      </c>
    </row>
    <row r="70" spans="1:4" x14ac:dyDescent="0.3">
      <c r="A70">
        <v>0</v>
      </c>
      <c r="B70" t="s">
        <v>35</v>
      </c>
      <c r="D70">
        <v>0</v>
      </c>
    </row>
    <row r="71" spans="1:4" x14ac:dyDescent="0.3">
      <c r="A71">
        <v>7</v>
      </c>
      <c r="B71" t="s">
        <v>36</v>
      </c>
      <c r="D71">
        <v>0</v>
      </c>
    </row>
    <row r="72" spans="1:4" x14ac:dyDescent="0.3">
      <c r="A72">
        <v>8</v>
      </c>
      <c r="B72" t="s">
        <v>37</v>
      </c>
      <c r="D72">
        <v>0</v>
      </c>
    </row>
    <row r="73" spans="1:4" x14ac:dyDescent="0.3">
      <c r="A73">
        <v>9</v>
      </c>
      <c r="B73" t="s">
        <v>38</v>
      </c>
      <c r="D73">
        <v>0</v>
      </c>
    </row>
    <row r="74" spans="1:4" x14ac:dyDescent="0.3">
      <c r="A74">
        <v>10</v>
      </c>
      <c r="B74" t="s">
        <v>39</v>
      </c>
      <c r="D74">
        <v>0</v>
      </c>
    </row>
    <row r="75" spans="1:4" x14ac:dyDescent="0.3">
      <c r="A75">
        <v>11</v>
      </c>
      <c r="B75" t="s">
        <v>40</v>
      </c>
      <c r="D75">
        <v>0</v>
      </c>
    </row>
    <row r="76" spans="1:4" x14ac:dyDescent="0.3">
      <c r="A76">
        <v>12</v>
      </c>
      <c r="B76" t="s">
        <v>41</v>
      </c>
      <c r="D76">
        <v>0</v>
      </c>
    </row>
    <row r="77" spans="1:4" x14ac:dyDescent="0.3">
      <c r="A77">
        <v>13</v>
      </c>
      <c r="B77" t="s">
        <v>42</v>
      </c>
      <c r="D77">
        <v>0</v>
      </c>
    </row>
    <row r="78" spans="1:4" x14ac:dyDescent="0.3">
      <c r="A78">
        <v>14</v>
      </c>
      <c r="B78" t="s">
        <v>43</v>
      </c>
      <c r="D78">
        <v>0</v>
      </c>
    </row>
    <row r="79" spans="1:4" x14ac:dyDescent="0.3">
      <c r="A79">
        <v>15</v>
      </c>
      <c r="B79" t="s">
        <v>44</v>
      </c>
      <c r="D79">
        <v>0</v>
      </c>
    </row>
    <row r="80" spans="1:4" x14ac:dyDescent="0.3">
      <c r="A80">
        <v>0</v>
      </c>
      <c r="D80">
        <v>0</v>
      </c>
    </row>
    <row r="81" spans="1:4" x14ac:dyDescent="0.3">
      <c r="A81">
        <v>16</v>
      </c>
      <c r="B81" t="s">
        <v>45</v>
      </c>
      <c r="D81">
        <v>0</v>
      </c>
    </row>
    <row r="82" spans="1:4" x14ac:dyDescent="0.3">
      <c r="A82">
        <v>17</v>
      </c>
      <c r="B82" t="s">
        <v>46</v>
      </c>
      <c r="D82">
        <v>0</v>
      </c>
    </row>
    <row r="83" spans="1:4" x14ac:dyDescent="0.3">
      <c r="A83">
        <v>18</v>
      </c>
      <c r="B83" t="s">
        <v>47</v>
      </c>
      <c r="D83">
        <v>0</v>
      </c>
    </row>
    <row r="84" spans="1:4" x14ac:dyDescent="0.3">
      <c r="A84">
        <v>19</v>
      </c>
      <c r="B84" t="s">
        <v>48</v>
      </c>
      <c r="D84">
        <v>0</v>
      </c>
    </row>
    <row r="85" spans="1:4" x14ac:dyDescent="0.3">
      <c r="A85">
        <v>20</v>
      </c>
      <c r="B85" t="s">
        <v>49</v>
      </c>
      <c r="D85">
        <v>0</v>
      </c>
    </row>
    <row r="86" spans="1:4" x14ac:dyDescent="0.3">
      <c r="B86" t="s">
        <v>9</v>
      </c>
      <c r="D86">
        <v>0</v>
      </c>
    </row>
    <row r="87" spans="1:4" x14ac:dyDescent="0.3">
      <c r="B87" t="s">
        <v>9</v>
      </c>
      <c r="D87">
        <v>0</v>
      </c>
    </row>
    <row r="88" spans="1:4" x14ac:dyDescent="0.3">
      <c r="B88" t="s">
        <v>9</v>
      </c>
      <c r="D88">
        <v>0</v>
      </c>
    </row>
    <row r="89" spans="1:4" x14ac:dyDescent="0.3">
      <c r="B89" t="s">
        <v>9</v>
      </c>
      <c r="D89">
        <v>0</v>
      </c>
    </row>
    <row r="90" spans="1:4" x14ac:dyDescent="0.3">
      <c r="B90" t="s">
        <v>9</v>
      </c>
      <c r="D90">
        <v>0</v>
      </c>
    </row>
    <row r="91" spans="1:4" x14ac:dyDescent="0.3">
      <c r="B91" t="s">
        <v>9</v>
      </c>
      <c r="D91">
        <v>0</v>
      </c>
    </row>
    <row r="92" spans="1:4" x14ac:dyDescent="0.3">
      <c r="B92" t="s">
        <v>9</v>
      </c>
      <c r="D92">
        <v>0</v>
      </c>
    </row>
    <row r="93" spans="1:4" x14ac:dyDescent="0.3">
      <c r="B93" t="s">
        <v>9</v>
      </c>
      <c r="D93">
        <v>0</v>
      </c>
    </row>
    <row r="94" spans="1:4" x14ac:dyDescent="0.3">
      <c r="B94" t="s">
        <v>9</v>
      </c>
      <c r="D94">
        <v>0</v>
      </c>
    </row>
    <row r="95" spans="1:4" x14ac:dyDescent="0.3">
      <c r="B95" t="s">
        <v>9</v>
      </c>
      <c r="D95">
        <v>0</v>
      </c>
    </row>
    <row r="96" spans="1:4" x14ac:dyDescent="0.3">
      <c r="B96" t="s">
        <v>9</v>
      </c>
      <c r="D96">
        <v>0</v>
      </c>
    </row>
    <row r="97" spans="1:4" x14ac:dyDescent="0.3">
      <c r="B97" t="s">
        <v>9</v>
      </c>
      <c r="D97">
        <v>0</v>
      </c>
    </row>
    <row r="98" spans="1:4" x14ac:dyDescent="0.3">
      <c r="B98" t="s">
        <v>9</v>
      </c>
      <c r="D98">
        <v>0</v>
      </c>
    </row>
    <row r="99" spans="1:4" x14ac:dyDescent="0.3">
      <c r="B99" t="s">
        <v>9</v>
      </c>
      <c r="D99">
        <v>0</v>
      </c>
    </row>
    <row r="100" spans="1:4" x14ac:dyDescent="0.3">
      <c r="B100" t="s">
        <v>9</v>
      </c>
      <c r="D100">
        <v>0</v>
      </c>
    </row>
    <row r="101" spans="1:4" x14ac:dyDescent="0.3">
      <c r="A101">
        <v>20</v>
      </c>
      <c r="B101" t="s">
        <v>50</v>
      </c>
      <c r="D101">
        <f>SUM(D57:D100)</f>
        <v>0</v>
      </c>
    </row>
    <row r="102" spans="1:4" x14ac:dyDescent="0.3">
      <c r="A102">
        <v>1</v>
      </c>
      <c r="B102" t="s">
        <v>51</v>
      </c>
      <c r="D102">
        <v>0</v>
      </c>
    </row>
    <row r="103" spans="1:4" x14ac:dyDescent="0.3">
      <c r="A103">
        <v>2</v>
      </c>
      <c r="B103" t="s">
        <v>52</v>
      </c>
      <c r="D103">
        <v>0</v>
      </c>
    </row>
    <row r="104" spans="1:4" x14ac:dyDescent="0.3">
      <c r="A104">
        <v>3</v>
      </c>
      <c r="B104" t="s">
        <v>53</v>
      </c>
      <c r="D104">
        <v>0</v>
      </c>
    </row>
    <row r="105" spans="1:4" x14ac:dyDescent="0.3">
      <c r="A105">
        <v>4</v>
      </c>
      <c r="B105" t="s">
        <v>54</v>
      </c>
      <c r="D105">
        <v>0</v>
      </c>
    </row>
    <row r="106" spans="1:4" x14ac:dyDescent="0.3">
      <c r="A106">
        <v>5</v>
      </c>
      <c r="B106" t="s">
        <v>55</v>
      </c>
      <c r="D106">
        <v>0</v>
      </c>
    </row>
    <row r="107" spans="1:4" x14ac:dyDescent="0.3">
      <c r="A107">
        <v>6</v>
      </c>
      <c r="B107" t="s">
        <v>56</v>
      </c>
      <c r="D107">
        <v>0</v>
      </c>
    </row>
    <row r="108" spans="1:4" x14ac:dyDescent="0.3">
      <c r="A108">
        <v>7</v>
      </c>
      <c r="B108" t="s">
        <v>57</v>
      </c>
      <c r="D108">
        <v>0</v>
      </c>
    </row>
    <row r="109" spans="1:4" x14ac:dyDescent="0.3">
      <c r="B109" t="s">
        <v>9</v>
      </c>
      <c r="D109">
        <v>0</v>
      </c>
    </row>
    <row r="110" spans="1:4" x14ac:dyDescent="0.3">
      <c r="B110" t="s">
        <v>9</v>
      </c>
      <c r="D110">
        <v>0</v>
      </c>
    </row>
    <row r="111" spans="1:4" x14ac:dyDescent="0.3">
      <c r="B111" t="s">
        <v>9</v>
      </c>
      <c r="D111">
        <v>0</v>
      </c>
    </row>
    <row r="112" spans="1:4" x14ac:dyDescent="0.3">
      <c r="B112" t="s">
        <v>9</v>
      </c>
      <c r="D112">
        <v>0</v>
      </c>
    </row>
    <row r="113" spans="1:4" x14ac:dyDescent="0.3">
      <c r="B113" t="s">
        <v>9</v>
      </c>
      <c r="D113">
        <v>0</v>
      </c>
    </row>
    <row r="114" spans="1:4" x14ac:dyDescent="0.3">
      <c r="B114" t="s">
        <v>9</v>
      </c>
      <c r="D114">
        <v>0</v>
      </c>
    </row>
    <row r="115" spans="1:4" x14ac:dyDescent="0.3">
      <c r="B115" t="s">
        <v>9</v>
      </c>
      <c r="D115">
        <v>0</v>
      </c>
    </row>
    <row r="116" spans="1:4" x14ac:dyDescent="0.3">
      <c r="B116" t="s">
        <v>9</v>
      </c>
      <c r="D116">
        <v>0</v>
      </c>
    </row>
    <row r="117" spans="1:4" x14ac:dyDescent="0.3">
      <c r="B117" t="s">
        <v>9</v>
      </c>
      <c r="D117">
        <v>0</v>
      </c>
    </row>
    <row r="118" spans="1:4" x14ac:dyDescent="0.3">
      <c r="A118">
        <v>6</v>
      </c>
      <c r="B118" t="s">
        <v>58</v>
      </c>
      <c r="D118">
        <f>SUM(D102:D117)</f>
        <v>0</v>
      </c>
    </row>
    <row r="119" spans="1:4" x14ac:dyDescent="0.3">
      <c r="A119">
        <f t="shared" ref="A119" si="0">SUM(A18,A56,A101)</f>
        <v>38</v>
      </c>
      <c r="B119" t="s">
        <v>59</v>
      </c>
      <c r="D119">
        <f>SUM(D18,D56,D101)</f>
        <v>0</v>
      </c>
    </row>
    <row r="120" spans="1:4" x14ac:dyDescent="0.3">
      <c r="A120">
        <f>SUM(A18,A56,A101,A118)</f>
        <v>44</v>
      </c>
      <c r="B120" t="s">
        <v>60</v>
      </c>
      <c r="D120">
        <f t="shared" ref="D120" si="1">SUM(D18,D56,D101,D118)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506C-69FD-4FAF-97D3-B2E1B298F79B}">
  <dimension ref="A1:Q118"/>
  <sheetViews>
    <sheetView rightToLeft="1" zoomScale="40" zoomScaleNormal="40" workbookViewId="0">
      <selection activeCell="B6" sqref="B6"/>
    </sheetView>
  </sheetViews>
  <sheetFormatPr defaultRowHeight="14.4" x14ac:dyDescent="0.3"/>
  <cols>
    <col min="1" max="1" width="10.44140625" bestFit="1" customWidth="1"/>
    <col min="2" max="2" width="26.21875" bestFit="1" customWidth="1"/>
    <col min="3" max="16" width="22.77734375" customWidth="1"/>
    <col min="17" max="17" width="32.6640625" bestFit="1" customWidth="1"/>
  </cols>
  <sheetData>
    <row r="1" spans="1:17" x14ac:dyDescent="0.3">
      <c r="A1" s="44" t="s">
        <v>61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17" s="43" customFormat="1" ht="43.2" x14ac:dyDescent="0.3">
      <c r="A2" s="45" t="s">
        <v>62</v>
      </c>
      <c r="B2" s="45" t="s">
        <v>63</v>
      </c>
      <c r="C2" s="45" t="s">
        <v>64</v>
      </c>
      <c r="D2" s="45" t="s">
        <v>65</v>
      </c>
      <c r="E2" s="45" t="s">
        <v>66</v>
      </c>
      <c r="F2" s="45" t="s">
        <v>67</v>
      </c>
      <c r="G2" s="45" t="s">
        <v>68</v>
      </c>
      <c r="H2" s="45" t="s">
        <v>69</v>
      </c>
      <c r="I2" s="45" t="s">
        <v>70</v>
      </c>
      <c r="J2" s="45" t="s">
        <v>71</v>
      </c>
      <c r="K2" s="45" t="s">
        <v>72</v>
      </c>
      <c r="L2" s="45" t="s">
        <v>73</v>
      </c>
      <c r="M2" s="45" t="s">
        <v>74</v>
      </c>
      <c r="N2" s="45" t="s">
        <v>75</v>
      </c>
      <c r="O2" s="45" t="s">
        <v>76</v>
      </c>
      <c r="P2" s="45" t="s">
        <v>77</v>
      </c>
      <c r="Q2" s="45" t="s">
        <v>78</v>
      </c>
    </row>
    <row r="3" spans="1:17" x14ac:dyDescent="0.3">
      <c r="A3" s="44"/>
      <c r="B3" s="44" t="s">
        <v>79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</row>
    <row r="4" spans="1:17" x14ac:dyDescent="0.3">
      <c r="A4" s="44">
        <f>مرتبات!A4</f>
        <v>1</v>
      </c>
      <c r="B4" s="44" t="str">
        <f>مرتبات!B4</f>
        <v>د/هانى صلاح الدين محمد سري الدين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f>SUM(C4:E4)+L4</f>
        <v>0</v>
      </c>
      <c r="N4" s="2">
        <f>SUM(I4:K4)</f>
        <v>0</v>
      </c>
      <c r="O4" s="2">
        <f>SUM(G4:H4)</f>
        <v>0</v>
      </c>
      <c r="P4" s="2">
        <f>SUM(M4:O4)</f>
        <v>0</v>
      </c>
      <c r="Q4" s="44"/>
    </row>
    <row r="5" spans="1:17" x14ac:dyDescent="0.3">
      <c r="A5" s="44">
        <f>مرتبات!A5</f>
        <v>2</v>
      </c>
      <c r="B5" s="44" t="str">
        <f>مرتبات!B5</f>
        <v>أ/أميرة محمد على شريف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f t="shared" ref="M5:M68" si="0">SUM(C5:E5)+L5</f>
        <v>0</v>
      </c>
      <c r="N5" s="2">
        <f t="shared" ref="N5:N68" si="1">SUM(I5:K5)</f>
        <v>0</v>
      </c>
      <c r="O5" s="2">
        <f t="shared" ref="O5:O68" si="2">SUM(G5:H5)</f>
        <v>0</v>
      </c>
      <c r="P5" s="2">
        <f t="shared" ref="P5:P68" si="3">SUM(M5:O5)</f>
        <v>0</v>
      </c>
      <c r="Q5" s="44"/>
    </row>
    <row r="6" spans="1:17" x14ac:dyDescent="0.3">
      <c r="A6" s="44">
        <f>مرتبات!A6</f>
        <v>3</v>
      </c>
      <c r="B6" s="44" t="str">
        <f>مرتبات!B6</f>
        <v>أ/إيهاب حمدى ابراهيم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f t="shared" si="0"/>
        <v>0</v>
      </c>
      <c r="N6" s="2">
        <f t="shared" si="1"/>
        <v>0</v>
      </c>
      <c r="O6" s="2">
        <f t="shared" si="2"/>
        <v>0</v>
      </c>
      <c r="P6" s="2">
        <f t="shared" si="3"/>
        <v>0</v>
      </c>
      <c r="Q6" s="44"/>
    </row>
    <row r="7" spans="1:17" x14ac:dyDescent="0.3">
      <c r="A7" s="44">
        <f>مرتبات!A7</f>
        <v>0</v>
      </c>
      <c r="B7" s="44" t="str">
        <f>مرتبات!B7</f>
        <v>Spare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f t="shared" si="0"/>
        <v>0</v>
      </c>
      <c r="N7" s="2">
        <f t="shared" si="1"/>
        <v>0</v>
      </c>
      <c r="O7" s="2">
        <f t="shared" si="2"/>
        <v>0</v>
      </c>
      <c r="P7" s="2">
        <f t="shared" si="3"/>
        <v>0</v>
      </c>
      <c r="Q7" s="44"/>
    </row>
    <row r="8" spans="1:17" x14ac:dyDescent="0.3">
      <c r="A8" s="44">
        <f>مرتبات!A8</f>
        <v>0</v>
      </c>
      <c r="B8" s="44" t="str">
        <f>مرتبات!B8</f>
        <v>Spare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f t="shared" si="0"/>
        <v>0</v>
      </c>
      <c r="N8" s="2">
        <f t="shared" si="1"/>
        <v>0</v>
      </c>
      <c r="O8" s="2">
        <f t="shared" si="2"/>
        <v>0</v>
      </c>
      <c r="P8" s="2">
        <f t="shared" si="3"/>
        <v>0</v>
      </c>
      <c r="Q8" s="44"/>
    </row>
    <row r="9" spans="1:17" x14ac:dyDescent="0.3">
      <c r="A9" s="44">
        <f>مرتبات!A9</f>
        <v>0</v>
      </c>
      <c r="B9" s="44" t="str">
        <f>مرتبات!B9</f>
        <v>Spare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f t="shared" si="0"/>
        <v>0</v>
      </c>
      <c r="N9" s="2">
        <f t="shared" si="1"/>
        <v>0</v>
      </c>
      <c r="O9" s="2">
        <f t="shared" si="2"/>
        <v>0</v>
      </c>
      <c r="P9" s="2">
        <f t="shared" si="3"/>
        <v>0</v>
      </c>
      <c r="Q9" s="44"/>
    </row>
    <row r="10" spans="1:17" x14ac:dyDescent="0.3">
      <c r="A10" s="44">
        <f>مرتبات!A10</f>
        <v>0</v>
      </c>
      <c r="B10" s="44" t="str">
        <f>مرتبات!B10</f>
        <v>Spare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f t="shared" si="0"/>
        <v>0</v>
      </c>
      <c r="N10" s="2">
        <f t="shared" si="1"/>
        <v>0</v>
      </c>
      <c r="O10" s="2">
        <f t="shared" si="2"/>
        <v>0</v>
      </c>
      <c r="P10" s="2">
        <f t="shared" si="3"/>
        <v>0</v>
      </c>
      <c r="Q10" s="44"/>
    </row>
    <row r="11" spans="1:17" x14ac:dyDescent="0.3">
      <c r="A11" s="44">
        <f>مرتبات!A11</f>
        <v>0</v>
      </c>
      <c r="B11" s="44" t="str">
        <f>مرتبات!B11</f>
        <v>Spare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f t="shared" si="0"/>
        <v>0</v>
      </c>
      <c r="N11" s="2">
        <f t="shared" si="1"/>
        <v>0</v>
      </c>
      <c r="O11" s="2">
        <f t="shared" si="2"/>
        <v>0</v>
      </c>
      <c r="P11" s="2">
        <f t="shared" si="3"/>
        <v>0</v>
      </c>
      <c r="Q11" s="44"/>
    </row>
    <row r="12" spans="1:17" x14ac:dyDescent="0.3">
      <c r="A12" s="44">
        <f>مرتبات!A12</f>
        <v>0</v>
      </c>
      <c r="B12" s="44" t="str">
        <f>مرتبات!B12</f>
        <v>Spare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f t="shared" si="0"/>
        <v>0</v>
      </c>
      <c r="N12" s="2">
        <f t="shared" si="1"/>
        <v>0</v>
      </c>
      <c r="O12" s="2">
        <f t="shared" si="2"/>
        <v>0</v>
      </c>
      <c r="P12" s="2">
        <f t="shared" si="3"/>
        <v>0</v>
      </c>
      <c r="Q12" s="44"/>
    </row>
    <row r="13" spans="1:17" x14ac:dyDescent="0.3">
      <c r="A13" s="44">
        <f>مرتبات!A13</f>
        <v>0</v>
      </c>
      <c r="B13" s="44" t="str">
        <f>مرتبات!B13</f>
        <v>Spare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f t="shared" si="0"/>
        <v>0</v>
      </c>
      <c r="N13" s="2">
        <f t="shared" si="1"/>
        <v>0</v>
      </c>
      <c r="O13" s="2">
        <f t="shared" si="2"/>
        <v>0</v>
      </c>
      <c r="P13" s="2">
        <f t="shared" si="3"/>
        <v>0</v>
      </c>
      <c r="Q13" s="44"/>
    </row>
    <row r="14" spans="1:17" x14ac:dyDescent="0.3">
      <c r="A14" s="44">
        <f>مرتبات!A14</f>
        <v>0</v>
      </c>
      <c r="B14" s="44" t="str">
        <f>مرتبات!B14</f>
        <v>Spare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f t="shared" si="0"/>
        <v>0</v>
      </c>
      <c r="N14" s="2">
        <f t="shared" si="1"/>
        <v>0</v>
      </c>
      <c r="O14" s="2">
        <f t="shared" si="2"/>
        <v>0</v>
      </c>
      <c r="P14" s="2">
        <f t="shared" si="3"/>
        <v>0</v>
      </c>
      <c r="Q14" s="44"/>
    </row>
    <row r="15" spans="1:17" x14ac:dyDescent="0.3">
      <c r="A15" s="44">
        <f>مرتبات!A15</f>
        <v>0</v>
      </c>
      <c r="B15" s="44" t="str">
        <f>مرتبات!B15</f>
        <v>Spare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f t="shared" si="0"/>
        <v>0</v>
      </c>
      <c r="N15" s="2">
        <f t="shared" si="1"/>
        <v>0</v>
      </c>
      <c r="O15" s="2">
        <f t="shared" si="2"/>
        <v>0</v>
      </c>
      <c r="P15" s="2">
        <f t="shared" si="3"/>
        <v>0</v>
      </c>
      <c r="Q15" s="44"/>
    </row>
    <row r="16" spans="1:17" x14ac:dyDescent="0.3">
      <c r="A16" s="44">
        <f>مرتبات!A16</f>
        <v>0</v>
      </c>
      <c r="B16" s="44" t="str">
        <f>مرتبات!B16</f>
        <v>Spare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f t="shared" si="0"/>
        <v>0</v>
      </c>
      <c r="N16" s="2">
        <f t="shared" si="1"/>
        <v>0</v>
      </c>
      <c r="O16" s="2">
        <f t="shared" si="2"/>
        <v>0</v>
      </c>
      <c r="P16" s="2">
        <f t="shared" si="3"/>
        <v>0</v>
      </c>
      <c r="Q16" s="44"/>
    </row>
    <row r="17" spans="1:17" x14ac:dyDescent="0.3">
      <c r="A17" s="44">
        <f>مرتبات!A17</f>
        <v>0</v>
      </c>
      <c r="B17" s="44" t="str">
        <f>مرتبات!B17</f>
        <v>Spare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f t="shared" si="0"/>
        <v>0</v>
      </c>
      <c r="N17" s="2">
        <f t="shared" si="1"/>
        <v>0</v>
      </c>
      <c r="O17" s="2">
        <f t="shared" si="2"/>
        <v>0</v>
      </c>
      <c r="P17" s="2">
        <f t="shared" si="3"/>
        <v>0</v>
      </c>
      <c r="Q17" s="44"/>
    </row>
    <row r="18" spans="1:17" x14ac:dyDescent="0.3">
      <c r="A18" s="44">
        <f>مرتبات!A18</f>
        <v>3</v>
      </c>
      <c r="B18" s="44" t="s">
        <v>80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44"/>
    </row>
    <row r="19" spans="1:17" x14ac:dyDescent="0.3">
      <c r="A19" s="44">
        <f>مرتبات!A19</f>
        <v>1</v>
      </c>
      <c r="B19" s="44" t="str">
        <f>مرتبات!B19</f>
        <v>أ/ناجى رمضان أمين محمد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f t="shared" si="0"/>
        <v>0</v>
      </c>
      <c r="N19" s="2">
        <f t="shared" si="1"/>
        <v>0</v>
      </c>
      <c r="O19" s="2">
        <f t="shared" si="2"/>
        <v>0</v>
      </c>
      <c r="P19" s="2">
        <f t="shared" si="3"/>
        <v>0</v>
      </c>
      <c r="Q19" s="44"/>
    </row>
    <row r="20" spans="1:17" x14ac:dyDescent="0.3">
      <c r="A20" s="44">
        <f>مرتبات!A20</f>
        <v>2</v>
      </c>
      <c r="B20" s="44" t="str">
        <f>مرتبات!B20</f>
        <v>أ/محمد عبد العزيز عبدالحافظ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f t="shared" si="0"/>
        <v>0</v>
      </c>
      <c r="N20" s="2">
        <f t="shared" si="1"/>
        <v>0</v>
      </c>
      <c r="O20" s="2">
        <f t="shared" si="2"/>
        <v>0</v>
      </c>
      <c r="P20" s="2">
        <f t="shared" si="3"/>
        <v>0</v>
      </c>
      <c r="Q20" s="44"/>
    </row>
    <row r="21" spans="1:17" x14ac:dyDescent="0.3">
      <c r="A21" s="44">
        <f>مرتبات!A21</f>
        <v>3</v>
      </c>
      <c r="B21" s="44" t="str">
        <f>مرتبات!B21</f>
        <v>أ/ أحمد سعيد أحمد محمد علي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f t="shared" si="0"/>
        <v>0</v>
      </c>
      <c r="N21" s="2">
        <f t="shared" si="1"/>
        <v>0</v>
      </c>
      <c r="O21" s="2">
        <f t="shared" si="2"/>
        <v>0</v>
      </c>
      <c r="P21" s="2">
        <f t="shared" si="3"/>
        <v>0</v>
      </c>
      <c r="Q21" s="44"/>
    </row>
    <row r="22" spans="1:17" x14ac:dyDescent="0.3">
      <c r="A22" s="44">
        <f>مرتبات!A22</f>
        <v>4</v>
      </c>
      <c r="B22" s="44" t="str">
        <f>مرتبات!B22</f>
        <v>أ/منة الله البلتاجى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f t="shared" si="0"/>
        <v>0</v>
      </c>
      <c r="N22" s="2">
        <f t="shared" si="1"/>
        <v>0</v>
      </c>
      <c r="O22" s="2">
        <f t="shared" si="2"/>
        <v>0</v>
      </c>
      <c r="P22" s="2">
        <f t="shared" si="3"/>
        <v>0</v>
      </c>
      <c r="Q22" s="44"/>
    </row>
    <row r="23" spans="1:17" x14ac:dyDescent="0.3">
      <c r="A23" s="44">
        <f>مرتبات!A23</f>
        <v>5</v>
      </c>
      <c r="B23" s="44" t="str">
        <f>مرتبات!B23</f>
        <v>أ/نهى عمرو محمد رضوان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f t="shared" si="0"/>
        <v>0</v>
      </c>
      <c r="N23" s="2">
        <f t="shared" si="1"/>
        <v>0</v>
      </c>
      <c r="O23" s="2">
        <f t="shared" si="2"/>
        <v>0</v>
      </c>
      <c r="P23" s="2">
        <f t="shared" si="3"/>
        <v>0</v>
      </c>
      <c r="Q23" s="44"/>
    </row>
    <row r="24" spans="1:17" x14ac:dyDescent="0.3">
      <c r="A24" s="44">
        <f>مرتبات!A24</f>
        <v>6</v>
      </c>
      <c r="B24" s="44" t="str">
        <f>مرتبات!B24</f>
        <v>أ/عبد الله عمرو حافظ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f t="shared" si="0"/>
        <v>0</v>
      </c>
      <c r="N24" s="2">
        <f t="shared" si="1"/>
        <v>0</v>
      </c>
      <c r="O24" s="2">
        <f t="shared" si="2"/>
        <v>0</v>
      </c>
      <c r="P24" s="2">
        <f t="shared" si="3"/>
        <v>0</v>
      </c>
      <c r="Q24" s="44"/>
    </row>
    <row r="25" spans="1:17" x14ac:dyDescent="0.3">
      <c r="A25" s="44">
        <f>مرتبات!A25</f>
        <v>7</v>
      </c>
      <c r="B25" s="44" t="str">
        <f>مرتبات!B25</f>
        <v>أ/محمد حمدى كامل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f t="shared" si="0"/>
        <v>0</v>
      </c>
      <c r="N25" s="2">
        <f t="shared" si="1"/>
        <v>0</v>
      </c>
      <c r="O25" s="2">
        <f t="shared" si="2"/>
        <v>0</v>
      </c>
      <c r="P25" s="2">
        <f t="shared" si="3"/>
        <v>0</v>
      </c>
      <c r="Q25" s="44"/>
    </row>
    <row r="26" spans="1:17" x14ac:dyDescent="0.3">
      <c r="A26" s="44">
        <f>مرتبات!A26</f>
        <v>0</v>
      </c>
      <c r="B26" s="44" t="str">
        <f>مرتبات!B26</f>
        <v>Spare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f t="shared" si="0"/>
        <v>0</v>
      </c>
      <c r="N26" s="2">
        <f t="shared" si="1"/>
        <v>0</v>
      </c>
      <c r="O26" s="2">
        <f t="shared" si="2"/>
        <v>0</v>
      </c>
      <c r="P26" s="2">
        <f t="shared" si="3"/>
        <v>0</v>
      </c>
      <c r="Q26" s="44"/>
    </row>
    <row r="27" spans="1:17" x14ac:dyDescent="0.3">
      <c r="A27" s="44">
        <f>مرتبات!A27</f>
        <v>0</v>
      </c>
      <c r="B27" s="44" t="str">
        <f>مرتبات!B27</f>
        <v>Spare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f t="shared" si="0"/>
        <v>0</v>
      </c>
      <c r="N27" s="2">
        <f t="shared" si="1"/>
        <v>0</v>
      </c>
      <c r="O27" s="2">
        <f t="shared" si="2"/>
        <v>0</v>
      </c>
      <c r="P27" s="2">
        <f t="shared" si="3"/>
        <v>0</v>
      </c>
      <c r="Q27" s="44"/>
    </row>
    <row r="28" spans="1:17" x14ac:dyDescent="0.3">
      <c r="A28" s="44">
        <f>مرتبات!A28</f>
        <v>0</v>
      </c>
      <c r="B28" s="44" t="str">
        <f>مرتبات!B28</f>
        <v>Spare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f t="shared" si="0"/>
        <v>0</v>
      </c>
      <c r="N28" s="2">
        <f t="shared" si="1"/>
        <v>0</v>
      </c>
      <c r="O28" s="2">
        <f t="shared" si="2"/>
        <v>0</v>
      </c>
      <c r="P28" s="2">
        <f t="shared" si="3"/>
        <v>0</v>
      </c>
      <c r="Q28" s="44"/>
    </row>
    <row r="29" spans="1:17" x14ac:dyDescent="0.3">
      <c r="A29" s="44">
        <f>مرتبات!A29</f>
        <v>0</v>
      </c>
      <c r="B29" s="44" t="str">
        <f>مرتبات!B29</f>
        <v>Spare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f t="shared" si="0"/>
        <v>0</v>
      </c>
      <c r="N29" s="2">
        <f t="shared" si="1"/>
        <v>0</v>
      </c>
      <c r="O29" s="2">
        <f t="shared" si="2"/>
        <v>0</v>
      </c>
      <c r="P29" s="2">
        <f t="shared" si="3"/>
        <v>0</v>
      </c>
      <c r="Q29" s="44"/>
    </row>
    <row r="30" spans="1:17" x14ac:dyDescent="0.3">
      <c r="A30" s="44">
        <f>مرتبات!A30</f>
        <v>0</v>
      </c>
      <c r="B30" s="44" t="str">
        <f>مرتبات!B30</f>
        <v>Spare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f t="shared" si="0"/>
        <v>0</v>
      </c>
      <c r="N30" s="2">
        <f t="shared" si="1"/>
        <v>0</v>
      </c>
      <c r="O30" s="2">
        <f t="shared" si="2"/>
        <v>0</v>
      </c>
      <c r="P30" s="2">
        <f t="shared" si="3"/>
        <v>0</v>
      </c>
      <c r="Q30" s="44"/>
    </row>
    <row r="31" spans="1:17" x14ac:dyDescent="0.3">
      <c r="A31" s="44">
        <f>مرتبات!A31</f>
        <v>0</v>
      </c>
      <c r="B31" s="44" t="str">
        <f>مرتبات!B31</f>
        <v>Spare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f t="shared" si="0"/>
        <v>0</v>
      </c>
      <c r="N31" s="2">
        <f t="shared" si="1"/>
        <v>0</v>
      </c>
      <c r="O31" s="2">
        <f t="shared" si="2"/>
        <v>0</v>
      </c>
      <c r="P31" s="2">
        <f t="shared" si="3"/>
        <v>0</v>
      </c>
      <c r="Q31" s="44"/>
    </row>
    <row r="32" spans="1:17" x14ac:dyDescent="0.3">
      <c r="A32" s="44">
        <f>مرتبات!A32</f>
        <v>0</v>
      </c>
      <c r="B32" s="44" t="str">
        <f>مرتبات!B32</f>
        <v>Spare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f t="shared" si="0"/>
        <v>0</v>
      </c>
      <c r="N32" s="2">
        <f t="shared" si="1"/>
        <v>0</v>
      </c>
      <c r="O32" s="2">
        <f t="shared" si="2"/>
        <v>0</v>
      </c>
      <c r="P32" s="2">
        <f t="shared" si="3"/>
        <v>0</v>
      </c>
      <c r="Q32" s="44"/>
    </row>
    <row r="33" spans="1:17" x14ac:dyDescent="0.3">
      <c r="A33" s="44">
        <f>مرتبات!A33</f>
        <v>8</v>
      </c>
      <c r="B33" s="44" t="str">
        <f>مرتبات!B33</f>
        <v>أ/أحمد سيف الدين أبو بكر سري الدين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f t="shared" si="0"/>
        <v>0</v>
      </c>
      <c r="N33" s="2">
        <f t="shared" si="1"/>
        <v>0</v>
      </c>
      <c r="O33" s="2">
        <f t="shared" si="2"/>
        <v>0</v>
      </c>
      <c r="P33" s="2">
        <f t="shared" si="3"/>
        <v>0</v>
      </c>
      <c r="Q33" s="44"/>
    </row>
    <row r="34" spans="1:17" x14ac:dyDescent="0.3">
      <c r="A34" s="44">
        <f>مرتبات!A34</f>
        <v>9</v>
      </c>
      <c r="B34" s="44" t="str">
        <f>مرتبات!B34</f>
        <v>أ/هاني أحمد الدالي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f t="shared" si="0"/>
        <v>0</v>
      </c>
      <c r="N34" s="2">
        <f t="shared" si="1"/>
        <v>0</v>
      </c>
      <c r="O34" s="2">
        <f t="shared" si="2"/>
        <v>0</v>
      </c>
      <c r="P34" s="2">
        <f t="shared" si="3"/>
        <v>0</v>
      </c>
      <c r="Q34" s="44"/>
    </row>
    <row r="35" spans="1:17" x14ac:dyDescent="0.3">
      <c r="A35" s="44">
        <f>مرتبات!A35</f>
        <v>10</v>
      </c>
      <c r="B35" s="44" t="str">
        <f>مرتبات!B35</f>
        <v>أ/عبدالرحمن أحمد عبدالعزيز حسن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f t="shared" si="0"/>
        <v>0</v>
      </c>
      <c r="N35" s="2">
        <f t="shared" si="1"/>
        <v>0</v>
      </c>
      <c r="O35" s="2">
        <f t="shared" si="2"/>
        <v>0</v>
      </c>
      <c r="P35" s="2">
        <f t="shared" si="3"/>
        <v>0</v>
      </c>
      <c r="Q35" s="44"/>
    </row>
    <row r="36" spans="1:17" x14ac:dyDescent="0.3">
      <c r="A36" s="44">
        <f>مرتبات!A36</f>
        <v>0</v>
      </c>
      <c r="B36" s="44" t="str">
        <f>مرتبات!B36</f>
        <v>Spare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f t="shared" si="0"/>
        <v>0</v>
      </c>
      <c r="N36" s="2">
        <f t="shared" si="1"/>
        <v>0</v>
      </c>
      <c r="O36" s="2">
        <f t="shared" si="2"/>
        <v>0</v>
      </c>
      <c r="P36" s="2">
        <f t="shared" si="3"/>
        <v>0</v>
      </c>
      <c r="Q36" s="44"/>
    </row>
    <row r="37" spans="1:17" x14ac:dyDescent="0.3">
      <c r="A37" s="44">
        <f>مرتبات!A37</f>
        <v>0</v>
      </c>
      <c r="B37" s="44" t="str">
        <f>مرتبات!B37</f>
        <v>Spare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f t="shared" si="0"/>
        <v>0</v>
      </c>
      <c r="N37" s="2">
        <f t="shared" si="1"/>
        <v>0</v>
      </c>
      <c r="O37" s="2">
        <f t="shared" si="2"/>
        <v>0</v>
      </c>
      <c r="P37" s="2">
        <f t="shared" si="3"/>
        <v>0</v>
      </c>
      <c r="Q37" s="44"/>
    </row>
    <row r="38" spans="1:17" x14ac:dyDescent="0.3">
      <c r="A38" s="44">
        <f>مرتبات!A38</f>
        <v>0</v>
      </c>
      <c r="B38" s="44" t="str">
        <f>مرتبات!B38</f>
        <v>Spare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f t="shared" si="0"/>
        <v>0</v>
      </c>
      <c r="N38" s="2">
        <f t="shared" si="1"/>
        <v>0</v>
      </c>
      <c r="O38" s="2">
        <f t="shared" si="2"/>
        <v>0</v>
      </c>
      <c r="P38" s="2">
        <f t="shared" si="3"/>
        <v>0</v>
      </c>
      <c r="Q38" s="44"/>
    </row>
    <row r="39" spans="1:17" x14ac:dyDescent="0.3">
      <c r="A39" s="44">
        <f>مرتبات!A39</f>
        <v>0</v>
      </c>
      <c r="B39" s="44" t="str">
        <f>مرتبات!B39</f>
        <v>Spare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f t="shared" si="0"/>
        <v>0</v>
      </c>
      <c r="N39" s="2">
        <f t="shared" si="1"/>
        <v>0</v>
      </c>
      <c r="O39" s="2">
        <f t="shared" si="2"/>
        <v>0</v>
      </c>
      <c r="P39" s="2">
        <f t="shared" si="3"/>
        <v>0</v>
      </c>
      <c r="Q39" s="44"/>
    </row>
    <row r="40" spans="1:17" x14ac:dyDescent="0.3">
      <c r="A40" s="44">
        <f>مرتبات!A40</f>
        <v>0</v>
      </c>
      <c r="B40" s="44" t="str">
        <f>مرتبات!B40</f>
        <v>Spare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f t="shared" si="0"/>
        <v>0</v>
      </c>
      <c r="N40" s="2">
        <f t="shared" si="1"/>
        <v>0</v>
      </c>
      <c r="O40" s="2">
        <f t="shared" si="2"/>
        <v>0</v>
      </c>
      <c r="P40" s="2">
        <f t="shared" si="3"/>
        <v>0</v>
      </c>
      <c r="Q40" s="44"/>
    </row>
    <row r="41" spans="1:17" x14ac:dyDescent="0.3">
      <c r="A41" s="44">
        <f>مرتبات!A41</f>
        <v>0</v>
      </c>
      <c r="B41" s="44" t="str">
        <f>مرتبات!B41</f>
        <v>Spare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f t="shared" si="0"/>
        <v>0</v>
      </c>
      <c r="N41" s="2">
        <f t="shared" si="1"/>
        <v>0</v>
      </c>
      <c r="O41" s="2">
        <f t="shared" si="2"/>
        <v>0</v>
      </c>
      <c r="P41" s="2">
        <f t="shared" si="3"/>
        <v>0</v>
      </c>
      <c r="Q41" s="44"/>
    </row>
    <row r="42" spans="1:17" x14ac:dyDescent="0.3">
      <c r="A42" s="44">
        <f>مرتبات!A42</f>
        <v>0</v>
      </c>
      <c r="B42" s="44" t="str">
        <f>مرتبات!B42</f>
        <v>Spare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f t="shared" si="0"/>
        <v>0</v>
      </c>
      <c r="N42" s="2">
        <f t="shared" si="1"/>
        <v>0</v>
      </c>
      <c r="O42" s="2">
        <f t="shared" si="2"/>
        <v>0</v>
      </c>
      <c r="P42" s="2">
        <f t="shared" si="3"/>
        <v>0</v>
      </c>
      <c r="Q42" s="44"/>
    </row>
    <row r="43" spans="1:17" x14ac:dyDescent="0.3">
      <c r="A43" s="44">
        <f>مرتبات!A43</f>
        <v>0</v>
      </c>
      <c r="B43" s="44" t="str">
        <f>مرتبات!B43</f>
        <v>Spare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f t="shared" si="0"/>
        <v>0</v>
      </c>
      <c r="N43" s="2">
        <f t="shared" si="1"/>
        <v>0</v>
      </c>
      <c r="O43" s="2">
        <f t="shared" si="2"/>
        <v>0</v>
      </c>
      <c r="P43" s="2">
        <f t="shared" si="3"/>
        <v>0</v>
      </c>
      <c r="Q43" s="44"/>
    </row>
    <row r="44" spans="1:17" x14ac:dyDescent="0.3">
      <c r="A44" s="44">
        <f>مرتبات!A44</f>
        <v>0</v>
      </c>
      <c r="B44" s="44" t="str">
        <f>مرتبات!B44</f>
        <v>Spare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f t="shared" si="0"/>
        <v>0</v>
      </c>
      <c r="N44" s="2">
        <f t="shared" si="1"/>
        <v>0</v>
      </c>
      <c r="O44" s="2">
        <f t="shared" si="2"/>
        <v>0</v>
      </c>
      <c r="P44" s="2">
        <f t="shared" si="3"/>
        <v>0</v>
      </c>
      <c r="Q44" s="44"/>
    </row>
    <row r="45" spans="1:17" x14ac:dyDescent="0.3">
      <c r="A45" s="44">
        <f>مرتبات!A45</f>
        <v>11</v>
      </c>
      <c r="B45" s="44" t="str">
        <f>مرتبات!B45</f>
        <v>أ/حبيبة محمود سمير محمود عيسى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f t="shared" si="0"/>
        <v>0</v>
      </c>
      <c r="N45" s="2">
        <f t="shared" si="1"/>
        <v>0</v>
      </c>
      <c r="O45" s="2">
        <f t="shared" si="2"/>
        <v>0</v>
      </c>
      <c r="P45" s="2">
        <f t="shared" si="3"/>
        <v>0</v>
      </c>
      <c r="Q45" s="44"/>
    </row>
    <row r="46" spans="1:17" x14ac:dyDescent="0.3">
      <c r="A46" s="44">
        <f>مرتبات!A46</f>
        <v>12</v>
      </c>
      <c r="B46" s="44" t="str">
        <f>مرتبات!B46</f>
        <v>أ/احمد ابو العباس محمد الاتربي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f t="shared" si="0"/>
        <v>0</v>
      </c>
      <c r="N46" s="2">
        <f t="shared" si="1"/>
        <v>0</v>
      </c>
      <c r="O46" s="2">
        <f t="shared" si="2"/>
        <v>0</v>
      </c>
      <c r="P46" s="2">
        <f t="shared" si="3"/>
        <v>0</v>
      </c>
      <c r="Q46" s="44"/>
    </row>
    <row r="47" spans="1:17" x14ac:dyDescent="0.3">
      <c r="A47" s="44">
        <f>مرتبات!A47</f>
        <v>13</v>
      </c>
      <c r="B47" s="44" t="str">
        <f>مرتبات!B47</f>
        <v>أ/ليلي امين محمد امين طموم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f t="shared" si="0"/>
        <v>0</v>
      </c>
      <c r="N47" s="2">
        <f t="shared" si="1"/>
        <v>0</v>
      </c>
      <c r="O47" s="2">
        <f t="shared" si="2"/>
        <v>0</v>
      </c>
      <c r="P47" s="2">
        <f t="shared" si="3"/>
        <v>0</v>
      </c>
      <c r="Q47" s="44"/>
    </row>
    <row r="48" spans="1:17" x14ac:dyDescent="0.3">
      <c r="A48" s="44">
        <f>مرتبات!A48</f>
        <v>14</v>
      </c>
      <c r="B48" s="44" t="str">
        <f>مرتبات!B48</f>
        <v>أ/كريم ايمن محمد عادل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f t="shared" si="0"/>
        <v>0</v>
      </c>
      <c r="N48" s="2">
        <f t="shared" si="1"/>
        <v>0</v>
      </c>
      <c r="O48" s="2">
        <f t="shared" si="2"/>
        <v>0</v>
      </c>
      <c r="P48" s="2">
        <f t="shared" si="3"/>
        <v>0</v>
      </c>
      <c r="Q48" s="44"/>
    </row>
    <row r="49" spans="1:17" x14ac:dyDescent="0.3">
      <c r="A49" s="44">
        <f>مرتبات!A49</f>
        <v>15</v>
      </c>
      <c r="B49" s="44" t="str">
        <f>مرتبات!B49</f>
        <v>عمرو محمد عبدالحليم أبو سليم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f t="shared" si="0"/>
        <v>0</v>
      </c>
      <c r="N49" s="2">
        <f t="shared" si="1"/>
        <v>0</v>
      </c>
      <c r="O49" s="2">
        <f t="shared" si="2"/>
        <v>0</v>
      </c>
      <c r="P49" s="2">
        <f t="shared" si="3"/>
        <v>0</v>
      </c>
      <c r="Q49" s="44"/>
    </row>
    <row r="50" spans="1:17" x14ac:dyDescent="0.3">
      <c r="A50" s="44">
        <f>مرتبات!A50</f>
        <v>0</v>
      </c>
      <c r="B50" s="44" t="str">
        <f>مرتبات!B50</f>
        <v>Spare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f t="shared" si="0"/>
        <v>0</v>
      </c>
      <c r="N50" s="2">
        <f t="shared" si="1"/>
        <v>0</v>
      </c>
      <c r="O50" s="2">
        <f t="shared" si="2"/>
        <v>0</v>
      </c>
      <c r="P50" s="2">
        <f t="shared" si="3"/>
        <v>0</v>
      </c>
      <c r="Q50" s="44"/>
    </row>
    <row r="51" spans="1:17" x14ac:dyDescent="0.3">
      <c r="A51" s="44">
        <f>مرتبات!A51</f>
        <v>0</v>
      </c>
      <c r="B51" s="44" t="str">
        <f>مرتبات!B51</f>
        <v>Spare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f t="shared" si="0"/>
        <v>0</v>
      </c>
      <c r="N51" s="2">
        <f t="shared" si="1"/>
        <v>0</v>
      </c>
      <c r="O51" s="2">
        <f t="shared" si="2"/>
        <v>0</v>
      </c>
      <c r="P51" s="2">
        <f t="shared" si="3"/>
        <v>0</v>
      </c>
      <c r="Q51" s="44"/>
    </row>
    <row r="52" spans="1:17" x14ac:dyDescent="0.3">
      <c r="A52" s="44">
        <f>مرتبات!A52</f>
        <v>0</v>
      </c>
      <c r="B52" s="44" t="str">
        <f>مرتبات!B52</f>
        <v>Spare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f t="shared" si="0"/>
        <v>0</v>
      </c>
      <c r="N52" s="2">
        <f t="shared" si="1"/>
        <v>0</v>
      </c>
      <c r="O52" s="2">
        <f t="shared" si="2"/>
        <v>0</v>
      </c>
      <c r="P52" s="2">
        <f t="shared" si="3"/>
        <v>0</v>
      </c>
      <c r="Q52" s="44"/>
    </row>
    <row r="53" spans="1:17" x14ac:dyDescent="0.3">
      <c r="A53" s="44">
        <f>مرتبات!A53</f>
        <v>0</v>
      </c>
      <c r="B53" s="44" t="str">
        <f>مرتبات!B53</f>
        <v>Spare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f t="shared" si="0"/>
        <v>0</v>
      </c>
      <c r="N53" s="2">
        <f t="shared" si="1"/>
        <v>0</v>
      </c>
      <c r="O53" s="2">
        <f t="shared" si="2"/>
        <v>0</v>
      </c>
      <c r="P53" s="2">
        <f t="shared" si="3"/>
        <v>0</v>
      </c>
      <c r="Q53" s="44"/>
    </row>
    <row r="54" spans="1:17" x14ac:dyDescent="0.3">
      <c r="A54" s="44">
        <f>مرتبات!A54</f>
        <v>0</v>
      </c>
      <c r="B54" s="44" t="str">
        <f>مرتبات!B54</f>
        <v>Spare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f t="shared" si="0"/>
        <v>0</v>
      </c>
      <c r="N54" s="2">
        <f t="shared" si="1"/>
        <v>0</v>
      </c>
      <c r="O54" s="2">
        <f t="shared" si="2"/>
        <v>0</v>
      </c>
      <c r="P54" s="2">
        <f t="shared" si="3"/>
        <v>0</v>
      </c>
      <c r="Q54" s="44"/>
    </row>
    <row r="55" spans="1:17" x14ac:dyDescent="0.3">
      <c r="A55" s="44">
        <f>مرتبات!A55</f>
        <v>0</v>
      </c>
      <c r="B55" s="44" t="str">
        <f>مرتبات!B55</f>
        <v>Spare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f t="shared" si="0"/>
        <v>0</v>
      </c>
      <c r="N55" s="2">
        <f t="shared" si="1"/>
        <v>0</v>
      </c>
      <c r="O55" s="2">
        <f t="shared" si="2"/>
        <v>0</v>
      </c>
      <c r="P55" s="2">
        <f t="shared" si="3"/>
        <v>0</v>
      </c>
      <c r="Q55" s="44"/>
    </row>
    <row r="56" spans="1:17" x14ac:dyDescent="0.3">
      <c r="A56" s="44">
        <f>مرتبات!A56</f>
        <v>15</v>
      </c>
      <c r="B56" s="44" t="s">
        <v>81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44"/>
    </row>
    <row r="57" spans="1:17" x14ac:dyDescent="0.3">
      <c r="A57" s="44">
        <f>مرتبات!A57</f>
        <v>1</v>
      </c>
      <c r="B57" s="44" t="str">
        <f>مرتبات!B57</f>
        <v>أ/دعاء عبد الدايم إبراهيم نصار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f t="shared" si="0"/>
        <v>0</v>
      </c>
      <c r="N57" s="2">
        <f t="shared" si="1"/>
        <v>0</v>
      </c>
      <c r="O57" s="2">
        <f t="shared" si="2"/>
        <v>0</v>
      </c>
      <c r="P57" s="2">
        <f t="shared" si="3"/>
        <v>0</v>
      </c>
      <c r="Q57" s="44"/>
    </row>
    <row r="58" spans="1:17" x14ac:dyDescent="0.3">
      <c r="A58" s="44">
        <f>مرتبات!A58</f>
        <v>2</v>
      </c>
      <c r="B58" s="44" t="str">
        <f>مرتبات!B58</f>
        <v>أ/أحمد محمد رزق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f t="shared" si="0"/>
        <v>0</v>
      </c>
      <c r="N58" s="2">
        <f t="shared" si="1"/>
        <v>0</v>
      </c>
      <c r="O58" s="2">
        <f t="shared" si="2"/>
        <v>0</v>
      </c>
      <c r="P58" s="2">
        <f t="shared" si="3"/>
        <v>0</v>
      </c>
      <c r="Q58" s="44"/>
    </row>
    <row r="59" spans="1:17" x14ac:dyDescent="0.3">
      <c r="A59" s="44">
        <f>مرتبات!A59</f>
        <v>0</v>
      </c>
      <c r="B59" s="44" t="str">
        <f>مرتبات!B59</f>
        <v>Manager Spare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f t="shared" si="0"/>
        <v>0</v>
      </c>
      <c r="N59" s="2">
        <f t="shared" si="1"/>
        <v>0</v>
      </c>
      <c r="O59" s="2">
        <f t="shared" si="2"/>
        <v>0</v>
      </c>
      <c r="P59" s="2">
        <f t="shared" si="3"/>
        <v>0</v>
      </c>
      <c r="Q59" s="44"/>
    </row>
    <row r="60" spans="1:17" x14ac:dyDescent="0.3">
      <c r="A60" s="44">
        <f>مرتبات!A60</f>
        <v>0</v>
      </c>
      <c r="B60" s="44" t="str">
        <f>مرتبات!B60</f>
        <v>Manager Spare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f t="shared" si="0"/>
        <v>0</v>
      </c>
      <c r="N60" s="2">
        <f t="shared" si="1"/>
        <v>0</v>
      </c>
      <c r="O60" s="2">
        <f t="shared" si="2"/>
        <v>0</v>
      </c>
      <c r="P60" s="2">
        <f t="shared" si="3"/>
        <v>0</v>
      </c>
      <c r="Q60" s="44"/>
    </row>
    <row r="61" spans="1:17" x14ac:dyDescent="0.3">
      <c r="A61" s="44">
        <f>مرتبات!A61</f>
        <v>0</v>
      </c>
      <c r="B61" s="44" t="str">
        <f>مرتبات!B61</f>
        <v>Manager Spare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f t="shared" si="0"/>
        <v>0</v>
      </c>
      <c r="N61" s="2">
        <f t="shared" si="1"/>
        <v>0</v>
      </c>
      <c r="O61" s="2">
        <f t="shared" si="2"/>
        <v>0</v>
      </c>
      <c r="P61" s="2">
        <f t="shared" si="3"/>
        <v>0</v>
      </c>
      <c r="Q61" s="44"/>
    </row>
    <row r="62" spans="1:17" x14ac:dyDescent="0.3">
      <c r="A62" s="44">
        <f>مرتبات!A62</f>
        <v>3</v>
      </c>
      <c r="B62" s="44" t="str">
        <f>مرتبات!B62</f>
        <v>أ/خالد محمد حلمى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f t="shared" si="0"/>
        <v>0</v>
      </c>
      <c r="N62" s="2">
        <f t="shared" si="1"/>
        <v>0</v>
      </c>
      <c r="O62" s="2">
        <f t="shared" si="2"/>
        <v>0</v>
      </c>
      <c r="P62" s="2">
        <f t="shared" si="3"/>
        <v>0</v>
      </c>
      <c r="Q62" s="44"/>
    </row>
    <row r="63" spans="1:17" x14ac:dyDescent="0.3">
      <c r="A63" s="44">
        <f>مرتبات!A63</f>
        <v>4</v>
      </c>
      <c r="B63" s="44" t="str">
        <f>مرتبات!B63</f>
        <v>أ/ نيرمين عصمت محمد حجازي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f t="shared" si="0"/>
        <v>0</v>
      </c>
      <c r="N63" s="2">
        <f t="shared" si="1"/>
        <v>0</v>
      </c>
      <c r="O63" s="2">
        <f t="shared" si="2"/>
        <v>0</v>
      </c>
      <c r="P63" s="2">
        <f t="shared" si="3"/>
        <v>0</v>
      </c>
      <c r="Q63" s="44"/>
    </row>
    <row r="64" spans="1:17" x14ac:dyDescent="0.3">
      <c r="A64" s="44">
        <f>مرتبات!A64</f>
        <v>0</v>
      </c>
      <c r="B64" s="44" t="str">
        <f>مرتبات!B64</f>
        <v>Senior Spare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f t="shared" si="0"/>
        <v>0</v>
      </c>
      <c r="N64" s="2">
        <f t="shared" si="1"/>
        <v>0</v>
      </c>
      <c r="O64" s="2">
        <f t="shared" si="2"/>
        <v>0</v>
      </c>
      <c r="P64" s="2">
        <f t="shared" si="3"/>
        <v>0</v>
      </c>
      <c r="Q64" s="44"/>
    </row>
    <row r="65" spans="1:17" x14ac:dyDescent="0.3">
      <c r="A65" s="44">
        <f>مرتبات!A65</f>
        <v>0</v>
      </c>
      <c r="B65" s="44" t="str">
        <f>مرتبات!B65</f>
        <v>Senior Spare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f t="shared" si="0"/>
        <v>0</v>
      </c>
      <c r="N65" s="2">
        <f t="shared" si="1"/>
        <v>0</v>
      </c>
      <c r="O65" s="2">
        <f t="shared" si="2"/>
        <v>0</v>
      </c>
      <c r="P65" s="2">
        <f t="shared" si="3"/>
        <v>0</v>
      </c>
      <c r="Q65" s="44"/>
    </row>
    <row r="66" spans="1:17" x14ac:dyDescent="0.3">
      <c r="A66" s="44">
        <f>مرتبات!A66</f>
        <v>0</v>
      </c>
      <c r="B66" s="44" t="str">
        <f>مرتبات!B66</f>
        <v>Senior Spare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f t="shared" si="0"/>
        <v>0</v>
      </c>
      <c r="N66" s="2">
        <f t="shared" si="1"/>
        <v>0</v>
      </c>
      <c r="O66" s="2">
        <f t="shared" si="2"/>
        <v>0</v>
      </c>
      <c r="P66" s="2">
        <f t="shared" si="3"/>
        <v>0</v>
      </c>
      <c r="Q66" s="44"/>
    </row>
    <row r="67" spans="1:17" x14ac:dyDescent="0.3">
      <c r="A67" s="44">
        <f>مرتبات!A67</f>
        <v>0</v>
      </c>
      <c r="B67" s="44" t="str">
        <f>مرتبات!B67</f>
        <v>Senior Spare</v>
      </c>
      <c r="C67" s="2">
        <v>0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f t="shared" si="0"/>
        <v>0</v>
      </c>
      <c r="N67" s="2">
        <f t="shared" si="1"/>
        <v>0</v>
      </c>
      <c r="O67" s="2">
        <f t="shared" si="2"/>
        <v>0</v>
      </c>
      <c r="P67" s="2">
        <f t="shared" si="3"/>
        <v>0</v>
      </c>
      <c r="Q67" s="44"/>
    </row>
    <row r="68" spans="1:17" x14ac:dyDescent="0.3">
      <c r="A68" s="44">
        <f>مرتبات!A68</f>
        <v>5</v>
      </c>
      <c r="B68" s="44" t="str">
        <f>مرتبات!B68</f>
        <v>أ/مروة شريف عبدالحميد سلامة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f t="shared" si="0"/>
        <v>0</v>
      </c>
      <c r="N68" s="2">
        <f t="shared" si="1"/>
        <v>0</v>
      </c>
      <c r="O68" s="2">
        <f t="shared" si="2"/>
        <v>0</v>
      </c>
      <c r="P68" s="2">
        <f t="shared" si="3"/>
        <v>0</v>
      </c>
      <c r="Q68" s="44"/>
    </row>
    <row r="69" spans="1:17" x14ac:dyDescent="0.3">
      <c r="A69" s="44">
        <f>مرتبات!A69</f>
        <v>6</v>
      </c>
      <c r="B69" s="44" t="str">
        <f>مرتبات!B69</f>
        <v>أ/حازم ابراهيم عبد الحميد محمد فتاتة</v>
      </c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f t="shared" ref="M69:M100" si="4">SUM(C69:E69)+L69</f>
        <v>0</v>
      </c>
      <c r="N69" s="2">
        <f t="shared" ref="N69:N100" si="5">SUM(I69:K69)</f>
        <v>0</v>
      </c>
      <c r="O69" s="2">
        <f t="shared" ref="O69:O100" si="6">SUM(G69:H69)</f>
        <v>0</v>
      </c>
      <c r="P69" s="2">
        <f t="shared" ref="P69:P100" si="7">SUM(M69:O69)</f>
        <v>0</v>
      </c>
      <c r="Q69" s="44"/>
    </row>
    <row r="70" spans="1:17" x14ac:dyDescent="0.3">
      <c r="A70" s="44">
        <f>مرتبات!A70</f>
        <v>0</v>
      </c>
      <c r="B70" s="44" t="str">
        <f>مرتبات!B70</f>
        <v xml:space="preserve">أ/أحمد سمير حسن السيد </v>
      </c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f t="shared" si="4"/>
        <v>0</v>
      </c>
      <c r="N70" s="2">
        <f t="shared" si="5"/>
        <v>0</v>
      </c>
      <c r="O70" s="2">
        <f t="shared" si="6"/>
        <v>0</v>
      </c>
      <c r="P70" s="2">
        <f t="shared" si="7"/>
        <v>0</v>
      </c>
      <c r="Q70" s="44"/>
    </row>
    <row r="71" spans="1:17" x14ac:dyDescent="0.3">
      <c r="A71" s="44">
        <f>مرتبات!A71</f>
        <v>7</v>
      </c>
      <c r="B71" s="44" t="str">
        <f>مرتبات!B71</f>
        <v>أ/إيمان صبحى شكرى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f t="shared" si="4"/>
        <v>0</v>
      </c>
      <c r="N71" s="2">
        <f t="shared" si="5"/>
        <v>0</v>
      </c>
      <c r="O71" s="2">
        <f t="shared" si="6"/>
        <v>0</v>
      </c>
      <c r="P71" s="2">
        <f t="shared" si="7"/>
        <v>0</v>
      </c>
      <c r="Q71" s="44"/>
    </row>
    <row r="72" spans="1:17" x14ac:dyDescent="0.3">
      <c r="A72" s="44">
        <f>مرتبات!A72</f>
        <v>8</v>
      </c>
      <c r="B72" s="44" t="str">
        <f>مرتبات!B72</f>
        <v>أ/شريف شكرى محمد</v>
      </c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f t="shared" si="4"/>
        <v>0</v>
      </c>
      <c r="N72" s="2">
        <f t="shared" si="5"/>
        <v>0</v>
      </c>
      <c r="O72" s="2">
        <f t="shared" si="6"/>
        <v>0</v>
      </c>
      <c r="P72" s="2">
        <f t="shared" si="7"/>
        <v>0</v>
      </c>
      <c r="Q72" s="44"/>
    </row>
    <row r="73" spans="1:17" x14ac:dyDescent="0.3">
      <c r="A73" s="44">
        <f>مرتبات!A73</f>
        <v>9</v>
      </c>
      <c r="B73" s="44" t="str">
        <f>مرتبات!B73</f>
        <v>أ/محمد حسن محمد كامل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f t="shared" si="4"/>
        <v>0</v>
      </c>
      <c r="N73" s="2">
        <f t="shared" si="5"/>
        <v>0</v>
      </c>
      <c r="O73" s="2">
        <f t="shared" si="6"/>
        <v>0</v>
      </c>
      <c r="P73" s="2">
        <f t="shared" si="7"/>
        <v>0</v>
      </c>
      <c r="Q73" s="44"/>
    </row>
    <row r="74" spans="1:17" x14ac:dyDescent="0.3">
      <c r="A74" s="44">
        <f>مرتبات!A74</f>
        <v>10</v>
      </c>
      <c r="B74" s="44" t="str">
        <f>مرتبات!B74</f>
        <v>أ/سامي ابراهيم محمد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f t="shared" si="4"/>
        <v>0</v>
      </c>
      <c r="N74" s="2">
        <f t="shared" si="5"/>
        <v>0</v>
      </c>
      <c r="O74" s="2">
        <f t="shared" si="6"/>
        <v>0</v>
      </c>
      <c r="P74" s="2">
        <f t="shared" si="7"/>
        <v>0</v>
      </c>
      <c r="Q74" s="44"/>
    </row>
    <row r="75" spans="1:17" x14ac:dyDescent="0.3">
      <c r="A75" s="44">
        <f>مرتبات!A75</f>
        <v>11</v>
      </c>
      <c r="B75" s="44" t="str">
        <f>مرتبات!B75</f>
        <v>أ/محمود على محمود حسين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f t="shared" si="4"/>
        <v>0</v>
      </c>
      <c r="N75" s="2">
        <f t="shared" si="5"/>
        <v>0</v>
      </c>
      <c r="O75" s="2">
        <f t="shared" si="6"/>
        <v>0</v>
      </c>
      <c r="P75" s="2">
        <f t="shared" si="7"/>
        <v>0</v>
      </c>
      <c r="Q75" s="44"/>
    </row>
    <row r="76" spans="1:17" x14ac:dyDescent="0.3">
      <c r="A76" s="44">
        <f>مرتبات!A76</f>
        <v>12</v>
      </c>
      <c r="B76" s="44" t="str">
        <f>مرتبات!B76</f>
        <v>أ/عمرو عبد الكريم صقر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f t="shared" si="4"/>
        <v>0</v>
      </c>
      <c r="N76" s="2">
        <f t="shared" si="5"/>
        <v>0</v>
      </c>
      <c r="O76" s="2">
        <f t="shared" si="6"/>
        <v>0</v>
      </c>
      <c r="P76" s="2">
        <f t="shared" si="7"/>
        <v>0</v>
      </c>
      <c r="Q76" s="44"/>
    </row>
    <row r="77" spans="1:17" x14ac:dyDescent="0.3">
      <c r="A77" s="44">
        <f>مرتبات!A77</f>
        <v>13</v>
      </c>
      <c r="B77" s="44" t="str">
        <f>مرتبات!B77</f>
        <v>أ/مختار احمد المجدلي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f t="shared" si="4"/>
        <v>0</v>
      </c>
      <c r="N77" s="2">
        <f t="shared" si="5"/>
        <v>0</v>
      </c>
      <c r="O77" s="2">
        <f t="shared" si="6"/>
        <v>0</v>
      </c>
      <c r="P77" s="2">
        <f t="shared" si="7"/>
        <v>0</v>
      </c>
      <c r="Q77" s="44"/>
    </row>
    <row r="78" spans="1:17" x14ac:dyDescent="0.3">
      <c r="A78" s="44">
        <f>مرتبات!A78</f>
        <v>14</v>
      </c>
      <c r="B78" s="44" t="str">
        <f>مرتبات!B78</f>
        <v>أ/طارق محمد جمعه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f t="shared" si="4"/>
        <v>0</v>
      </c>
      <c r="N78" s="2">
        <f t="shared" si="5"/>
        <v>0</v>
      </c>
      <c r="O78" s="2">
        <f t="shared" si="6"/>
        <v>0</v>
      </c>
      <c r="P78" s="2">
        <f t="shared" si="7"/>
        <v>0</v>
      </c>
      <c r="Q78" s="44"/>
    </row>
    <row r="79" spans="1:17" x14ac:dyDescent="0.3">
      <c r="A79" s="44">
        <f>مرتبات!A79</f>
        <v>15</v>
      </c>
      <c r="B79" s="44" t="str">
        <f>مرتبات!B79</f>
        <v>أ/ أحمد محمد عبدالسلام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f t="shared" si="4"/>
        <v>0</v>
      </c>
      <c r="N79" s="2">
        <f t="shared" si="5"/>
        <v>0</v>
      </c>
      <c r="O79" s="2">
        <f t="shared" si="6"/>
        <v>0</v>
      </c>
      <c r="P79" s="2">
        <f t="shared" si="7"/>
        <v>0</v>
      </c>
      <c r="Q79" s="44"/>
    </row>
    <row r="80" spans="1:17" x14ac:dyDescent="0.3">
      <c r="A80" s="44">
        <f>مرتبات!A80</f>
        <v>0</v>
      </c>
      <c r="B80" s="44">
        <f>مرتبات!B80</f>
        <v>0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f t="shared" si="4"/>
        <v>0</v>
      </c>
      <c r="N80" s="2">
        <f t="shared" si="5"/>
        <v>0</v>
      </c>
      <c r="O80" s="2">
        <f t="shared" si="6"/>
        <v>0</v>
      </c>
      <c r="P80" s="2">
        <f t="shared" si="7"/>
        <v>0</v>
      </c>
      <c r="Q80" s="44"/>
    </row>
    <row r="81" spans="1:17" x14ac:dyDescent="0.3">
      <c r="A81" s="44">
        <f>مرتبات!A81</f>
        <v>16</v>
      </c>
      <c r="B81" s="44" t="str">
        <f>مرتبات!B81</f>
        <v>أ/محمد عبدالجواد محمد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f t="shared" si="4"/>
        <v>0</v>
      </c>
      <c r="N81" s="2">
        <f t="shared" si="5"/>
        <v>0</v>
      </c>
      <c r="O81" s="2">
        <f t="shared" si="6"/>
        <v>0</v>
      </c>
      <c r="P81" s="2">
        <f t="shared" si="7"/>
        <v>0</v>
      </c>
      <c r="Q81" s="44"/>
    </row>
    <row r="82" spans="1:17" x14ac:dyDescent="0.3">
      <c r="A82" s="44">
        <f>مرتبات!A82</f>
        <v>17</v>
      </c>
      <c r="B82" s="44" t="str">
        <f>مرتبات!B82</f>
        <v>أ/ منة الله محب عبدالغفار السيد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f t="shared" si="4"/>
        <v>0</v>
      </c>
      <c r="N82" s="2">
        <f t="shared" si="5"/>
        <v>0</v>
      </c>
      <c r="O82" s="2">
        <f t="shared" si="6"/>
        <v>0</v>
      </c>
      <c r="P82" s="2">
        <f t="shared" si="7"/>
        <v>0</v>
      </c>
      <c r="Q82" s="44"/>
    </row>
    <row r="83" spans="1:17" x14ac:dyDescent="0.3">
      <c r="A83" s="44">
        <f>مرتبات!A83</f>
        <v>18</v>
      </c>
      <c r="B83" s="44" t="str">
        <f>مرتبات!B83</f>
        <v>أ/عاصم محمد سعيد عبده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f t="shared" si="4"/>
        <v>0</v>
      </c>
      <c r="N83" s="2">
        <f t="shared" si="5"/>
        <v>0</v>
      </c>
      <c r="O83" s="2">
        <f t="shared" si="6"/>
        <v>0</v>
      </c>
      <c r="P83" s="2">
        <f t="shared" si="7"/>
        <v>0</v>
      </c>
      <c r="Q83" s="44"/>
    </row>
    <row r="84" spans="1:17" x14ac:dyDescent="0.3">
      <c r="A84" s="44">
        <f>مرتبات!A84</f>
        <v>19</v>
      </c>
      <c r="B84" s="44" t="str">
        <f>مرتبات!B84</f>
        <v>أ/ نجوى إبراهيم محمود غنيم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f t="shared" si="4"/>
        <v>0</v>
      </c>
      <c r="N84" s="2">
        <f t="shared" si="5"/>
        <v>0</v>
      </c>
      <c r="O84" s="2">
        <f t="shared" si="6"/>
        <v>0</v>
      </c>
      <c r="P84" s="2">
        <f t="shared" si="7"/>
        <v>0</v>
      </c>
      <c r="Q84" s="44"/>
    </row>
    <row r="85" spans="1:17" x14ac:dyDescent="0.3">
      <c r="A85" s="44">
        <f>مرتبات!A85</f>
        <v>20</v>
      </c>
      <c r="B85" s="44" t="str">
        <f>مرتبات!B85</f>
        <v>محمد حسين محمد محمد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f t="shared" si="4"/>
        <v>0</v>
      </c>
      <c r="N85" s="2">
        <f t="shared" si="5"/>
        <v>0</v>
      </c>
      <c r="O85" s="2">
        <f t="shared" si="6"/>
        <v>0</v>
      </c>
      <c r="P85" s="2">
        <f t="shared" si="7"/>
        <v>0</v>
      </c>
      <c r="Q85" s="44"/>
    </row>
    <row r="86" spans="1:17" x14ac:dyDescent="0.3">
      <c r="A86" s="44">
        <f>مرتبات!A86</f>
        <v>0</v>
      </c>
      <c r="B86" s="44" t="str">
        <f>مرتبات!B86</f>
        <v>Spare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f t="shared" si="4"/>
        <v>0</v>
      </c>
      <c r="N86" s="2">
        <f t="shared" si="5"/>
        <v>0</v>
      </c>
      <c r="O86" s="2">
        <f t="shared" si="6"/>
        <v>0</v>
      </c>
      <c r="P86" s="2">
        <f t="shared" si="7"/>
        <v>0</v>
      </c>
      <c r="Q86" s="44"/>
    </row>
    <row r="87" spans="1:17" x14ac:dyDescent="0.3">
      <c r="A87" s="44">
        <f>مرتبات!A87</f>
        <v>0</v>
      </c>
      <c r="B87" s="44" t="str">
        <f>مرتبات!B87</f>
        <v>Spare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f t="shared" si="4"/>
        <v>0</v>
      </c>
      <c r="N87" s="2">
        <f t="shared" si="5"/>
        <v>0</v>
      </c>
      <c r="O87" s="2">
        <f t="shared" si="6"/>
        <v>0</v>
      </c>
      <c r="P87" s="2">
        <f t="shared" si="7"/>
        <v>0</v>
      </c>
      <c r="Q87" s="44"/>
    </row>
    <row r="88" spans="1:17" x14ac:dyDescent="0.3">
      <c r="A88" s="44">
        <f>مرتبات!A88</f>
        <v>0</v>
      </c>
      <c r="B88" s="44" t="str">
        <f>مرتبات!B88</f>
        <v>Spare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f t="shared" si="4"/>
        <v>0</v>
      </c>
      <c r="N88" s="2">
        <f t="shared" si="5"/>
        <v>0</v>
      </c>
      <c r="O88" s="2">
        <f t="shared" si="6"/>
        <v>0</v>
      </c>
      <c r="P88" s="2">
        <f t="shared" si="7"/>
        <v>0</v>
      </c>
      <c r="Q88" s="44"/>
    </row>
    <row r="89" spans="1:17" x14ac:dyDescent="0.3">
      <c r="A89" s="44">
        <f>مرتبات!A89</f>
        <v>0</v>
      </c>
      <c r="B89" s="44" t="str">
        <f>مرتبات!B89</f>
        <v>Spare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f t="shared" si="4"/>
        <v>0</v>
      </c>
      <c r="N89" s="2">
        <f t="shared" si="5"/>
        <v>0</v>
      </c>
      <c r="O89" s="2">
        <f t="shared" si="6"/>
        <v>0</v>
      </c>
      <c r="P89" s="2">
        <f t="shared" si="7"/>
        <v>0</v>
      </c>
      <c r="Q89" s="44"/>
    </row>
    <row r="90" spans="1:17" x14ac:dyDescent="0.3">
      <c r="A90" s="44">
        <f>مرتبات!A90</f>
        <v>0</v>
      </c>
      <c r="B90" s="44" t="str">
        <f>مرتبات!B90</f>
        <v>Spare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f t="shared" si="4"/>
        <v>0</v>
      </c>
      <c r="N90" s="2">
        <f t="shared" si="5"/>
        <v>0</v>
      </c>
      <c r="O90" s="2">
        <f t="shared" si="6"/>
        <v>0</v>
      </c>
      <c r="P90" s="2">
        <f t="shared" si="7"/>
        <v>0</v>
      </c>
      <c r="Q90" s="44"/>
    </row>
    <row r="91" spans="1:17" x14ac:dyDescent="0.3">
      <c r="A91" s="44">
        <f>مرتبات!A91</f>
        <v>0</v>
      </c>
      <c r="B91" s="44" t="str">
        <f>مرتبات!B91</f>
        <v>Spare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f t="shared" si="4"/>
        <v>0</v>
      </c>
      <c r="N91" s="2">
        <f t="shared" si="5"/>
        <v>0</v>
      </c>
      <c r="O91" s="2">
        <f t="shared" si="6"/>
        <v>0</v>
      </c>
      <c r="P91" s="2">
        <f t="shared" si="7"/>
        <v>0</v>
      </c>
      <c r="Q91" s="44"/>
    </row>
    <row r="92" spans="1:17" x14ac:dyDescent="0.3">
      <c r="A92" s="44">
        <f>مرتبات!A92</f>
        <v>0</v>
      </c>
      <c r="B92" s="44" t="str">
        <f>مرتبات!B92</f>
        <v>Spare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f t="shared" si="4"/>
        <v>0</v>
      </c>
      <c r="N92" s="2">
        <f t="shared" si="5"/>
        <v>0</v>
      </c>
      <c r="O92" s="2">
        <f t="shared" si="6"/>
        <v>0</v>
      </c>
      <c r="P92" s="2">
        <f t="shared" si="7"/>
        <v>0</v>
      </c>
      <c r="Q92" s="44"/>
    </row>
    <row r="93" spans="1:17" x14ac:dyDescent="0.3">
      <c r="A93" s="44">
        <f>مرتبات!A93</f>
        <v>0</v>
      </c>
      <c r="B93" s="44" t="str">
        <f>مرتبات!B93</f>
        <v>Spare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f t="shared" si="4"/>
        <v>0</v>
      </c>
      <c r="N93" s="2">
        <f t="shared" si="5"/>
        <v>0</v>
      </c>
      <c r="O93" s="2">
        <f t="shared" si="6"/>
        <v>0</v>
      </c>
      <c r="P93" s="2">
        <f t="shared" si="7"/>
        <v>0</v>
      </c>
      <c r="Q93" s="44"/>
    </row>
    <row r="94" spans="1:17" x14ac:dyDescent="0.3">
      <c r="A94" s="44">
        <f>مرتبات!A94</f>
        <v>0</v>
      </c>
      <c r="B94" s="44" t="str">
        <f>مرتبات!B94</f>
        <v>Spare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f t="shared" si="4"/>
        <v>0</v>
      </c>
      <c r="N94" s="2">
        <f t="shared" si="5"/>
        <v>0</v>
      </c>
      <c r="O94" s="2">
        <f t="shared" si="6"/>
        <v>0</v>
      </c>
      <c r="P94" s="2">
        <f t="shared" si="7"/>
        <v>0</v>
      </c>
      <c r="Q94" s="44"/>
    </row>
    <row r="95" spans="1:17" x14ac:dyDescent="0.3">
      <c r="A95" s="44">
        <f>مرتبات!A95</f>
        <v>0</v>
      </c>
      <c r="B95" s="44" t="str">
        <f>مرتبات!B95</f>
        <v>Spare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f t="shared" si="4"/>
        <v>0</v>
      </c>
      <c r="N95" s="2">
        <f t="shared" si="5"/>
        <v>0</v>
      </c>
      <c r="O95" s="2">
        <f t="shared" si="6"/>
        <v>0</v>
      </c>
      <c r="P95" s="2">
        <f t="shared" si="7"/>
        <v>0</v>
      </c>
      <c r="Q95" s="44"/>
    </row>
    <row r="96" spans="1:17" x14ac:dyDescent="0.3">
      <c r="A96" s="44">
        <f>مرتبات!A96</f>
        <v>0</v>
      </c>
      <c r="B96" s="44" t="str">
        <f>مرتبات!B96</f>
        <v>Spare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f t="shared" si="4"/>
        <v>0</v>
      </c>
      <c r="N96" s="2">
        <f t="shared" si="5"/>
        <v>0</v>
      </c>
      <c r="O96" s="2">
        <f t="shared" si="6"/>
        <v>0</v>
      </c>
      <c r="P96" s="2">
        <f t="shared" si="7"/>
        <v>0</v>
      </c>
      <c r="Q96" s="44"/>
    </row>
    <row r="97" spans="1:17" x14ac:dyDescent="0.3">
      <c r="A97" s="44">
        <f>مرتبات!A97</f>
        <v>0</v>
      </c>
      <c r="B97" s="44" t="str">
        <f>مرتبات!B97</f>
        <v>Spare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f t="shared" si="4"/>
        <v>0</v>
      </c>
      <c r="N97" s="2">
        <f t="shared" si="5"/>
        <v>0</v>
      </c>
      <c r="O97" s="2">
        <f t="shared" si="6"/>
        <v>0</v>
      </c>
      <c r="P97" s="2">
        <f t="shared" si="7"/>
        <v>0</v>
      </c>
      <c r="Q97" s="44"/>
    </row>
    <row r="98" spans="1:17" x14ac:dyDescent="0.3">
      <c r="A98" s="44">
        <f>مرتبات!A98</f>
        <v>0</v>
      </c>
      <c r="B98" s="44" t="str">
        <f>مرتبات!B98</f>
        <v>Spare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f t="shared" si="4"/>
        <v>0</v>
      </c>
      <c r="N98" s="2">
        <f t="shared" si="5"/>
        <v>0</v>
      </c>
      <c r="O98" s="2">
        <f t="shared" si="6"/>
        <v>0</v>
      </c>
      <c r="P98" s="2">
        <f t="shared" si="7"/>
        <v>0</v>
      </c>
      <c r="Q98" s="44"/>
    </row>
    <row r="99" spans="1:17" x14ac:dyDescent="0.3">
      <c r="A99" s="44">
        <f>مرتبات!A99</f>
        <v>0</v>
      </c>
      <c r="B99" s="44" t="str">
        <f>مرتبات!B99</f>
        <v>Spare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f t="shared" si="4"/>
        <v>0</v>
      </c>
      <c r="N99" s="2">
        <f t="shared" si="5"/>
        <v>0</v>
      </c>
      <c r="O99" s="2">
        <f t="shared" si="6"/>
        <v>0</v>
      </c>
      <c r="P99" s="2">
        <f t="shared" si="7"/>
        <v>0</v>
      </c>
      <c r="Q99" s="44"/>
    </row>
    <row r="100" spans="1:17" x14ac:dyDescent="0.3">
      <c r="A100" s="44">
        <f>مرتبات!A100</f>
        <v>0</v>
      </c>
      <c r="B100" s="44" t="str">
        <f>مرتبات!B100</f>
        <v>Spare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f t="shared" si="4"/>
        <v>0</v>
      </c>
      <c r="N100" s="2">
        <f t="shared" si="5"/>
        <v>0</v>
      </c>
      <c r="O100" s="2">
        <f t="shared" si="6"/>
        <v>0</v>
      </c>
      <c r="P100" s="2">
        <f t="shared" si="7"/>
        <v>0</v>
      </c>
      <c r="Q100" s="44"/>
    </row>
    <row r="101" spans="1:17" x14ac:dyDescent="0.3">
      <c r="A101" s="44">
        <v>19</v>
      </c>
      <c r="B101" s="44" t="s">
        <v>82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44"/>
    </row>
    <row r="102" spans="1:17" x14ac:dyDescent="0.3">
      <c r="A102" s="44">
        <f>مرتبات!A102</f>
        <v>1</v>
      </c>
      <c r="B102" s="44" t="str">
        <f>مرتبات!B102</f>
        <v>أ/هالة فوزي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f t="shared" ref="M102:M118" si="8">SUM(C102:E102)+L102</f>
        <v>0</v>
      </c>
      <c r="N102" s="2">
        <f t="shared" ref="N102:N118" si="9">SUM(I102:K102)</f>
        <v>0</v>
      </c>
      <c r="O102" s="2">
        <f t="shared" ref="O102:O118" si="10">SUM(G102:H102)</f>
        <v>0</v>
      </c>
      <c r="P102" s="2">
        <f t="shared" ref="P102:P118" si="11">SUM(M102:O102)</f>
        <v>0</v>
      </c>
      <c r="Q102" s="44"/>
    </row>
    <row r="103" spans="1:17" x14ac:dyDescent="0.3">
      <c r="A103" s="44">
        <f>مرتبات!A103</f>
        <v>2</v>
      </c>
      <c r="B103" s="44" t="str">
        <f>مرتبات!B103</f>
        <v>د/أمجد سعيد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f t="shared" si="8"/>
        <v>0</v>
      </c>
      <c r="N103" s="2">
        <f t="shared" si="9"/>
        <v>0</v>
      </c>
      <c r="O103" s="2">
        <f t="shared" si="10"/>
        <v>0</v>
      </c>
      <c r="P103" s="2">
        <f t="shared" si="11"/>
        <v>0</v>
      </c>
      <c r="Q103" s="44"/>
    </row>
    <row r="104" spans="1:17" x14ac:dyDescent="0.3">
      <c r="A104" s="44">
        <f>مرتبات!A104</f>
        <v>3</v>
      </c>
      <c r="B104" s="44" t="str">
        <f>مرتبات!B104</f>
        <v>د/وليد رزق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f t="shared" si="8"/>
        <v>0</v>
      </c>
      <c r="N104" s="2">
        <f t="shared" si="9"/>
        <v>0</v>
      </c>
      <c r="O104" s="2">
        <f t="shared" si="10"/>
        <v>0</v>
      </c>
      <c r="P104" s="2">
        <f t="shared" si="11"/>
        <v>0</v>
      </c>
      <c r="Q104" s="44"/>
    </row>
    <row r="105" spans="1:17" x14ac:dyDescent="0.3">
      <c r="A105" s="44">
        <f>مرتبات!A105</f>
        <v>4</v>
      </c>
      <c r="B105" s="44" t="str">
        <f>مرتبات!B105</f>
        <v>د/أمينة العطيفي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f t="shared" si="8"/>
        <v>0</v>
      </c>
      <c r="N105" s="2">
        <f t="shared" si="9"/>
        <v>0</v>
      </c>
      <c r="O105" s="2">
        <f t="shared" si="10"/>
        <v>0</v>
      </c>
      <c r="P105" s="2">
        <f t="shared" si="11"/>
        <v>0</v>
      </c>
      <c r="Q105" s="44"/>
    </row>
    <row r="106" spans="1:17" x14ac:dyDescent="0.3">
      <c r="A106" s="44">
        <f>مرتبات!A106</f>
        <v>5</v>
      </c>
      <c r="B106" s="44" t="str">
        <f>مرتبات!B106</f>
        <v>أ/ محمد فاروق عبد الحليم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f t="shared" si="8"/>
        <v>0</v>
      </c>
      <c r="N106" s="2">
        <f t="shared" si="9"/>
        <v>0</v>
      </c>
      <c r="O106" s="2">
        <f t="shared" si="10"/>
        <v>0</v>
      </c>
      <c r="P106" s="2">
        <f t="shared" si="11"/>
        <v>0</v>
      </c>
      <c r="Q106" s="44"/>
    </row>
    <row r="107" spans="1:17" x14ac:dyDescent="0.3">
      <c r="A107" s="44">
        <f>مرتبات!A107</f>
        <v>6</v>
      </c>
      <c r="B107" s="44" t="str">
        <f>مرتبات!B107</f>
        <v>د/ أحمد بغدادي رشدي محمد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f t="shared" si="8"/>
        <v>0</v>
      </c>
      <c r="N107" s="2">
        <f t="shared" si="9"/>
        <v>0</v>
      </c>
      <c r="O107" s="2">
        <f t="shared" si="10"/>
        <v>0</v>
      </c>
      <c r="P107" s="2">
        <f t="shared" si="11"/>
        <v>0</v>
      </c>
      <c r="Q107" s="44"/>
    </row>
    <row r="108" spans="1:17" x14ac:dyDescent="0.3">
      <c r="A108" s="44">
        <f>مرتبات!A108</f>
        <v>7</v>
      </c>
      <c r="B108" s="44" t="s">
        <v>83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f t="shared" si="8"/>
        <v>0</v>
      </c>
      <c r="N108" s="2">
        <f t="shared" si="9"/>
        <v>0</v>
      </c>
      <c r="O108" s="2">
        <f t="shared" si="10"/>
        <v>0</v>
      </c>
      <c r="P108" s="2">
        <f t="shared" si="11"/>
        <v>0</v>
      </c>
      <c r="Q108" s="44"/>
    </row>
    <row r="109" spans="1:17" x14ac:dyDescent="0.3">
      <c r="A109" s="44">
        <f>مرتبات!A109</f>
        <v>0</v>
      </c>
      <c r="B109" s="44" t="str">
        <f>مرتبات!B109</f>
        <v>Spare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f t="shared" si="8"/>
        <v>0</v>
      </c>
      <c r="N109" s="2">
        <f t="shared" si="9"/>
        <v>0</v>
      </c>
      <c r="O109" s="2">
        <f t="shared" si="10"/>
        <v>0</v>
      </c>
      <c r="P109" s="2">
        <f t="shared" si="11"/>
        <v>0</v>
      </c>
      <c r="Q109" s="44"/>
    </row>
    <row r="110" spans="1:17" x14ac:dyDescent="0.3">
      <c r="A110" s="44">
        <f>مرتبات!A110</f>
        <v>0</v>
      </c>
      <c r="B110" s="44" t="str">
        <f>مرتبات!B110</f>
        <v>Spare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f t="shared" si="8"/>
        <v>0</v>
      </c>
      <c r="N110" s="2">
        <f t="shared" si="9"/>
        <v>0</v>
      </c>
      <c r="O110" s="2">
        <f t="shared" si="10"/>
        <v>0</v>
      </c>
      <c r="P110" s="2">
        <f t="shared" si="11"/>
        <v>0</v>
      </c>
      <c r="Q110" s="44"/>
    </row>
    <row r="111" spans="1:17" x14ac:dyDescent="0.3">
      <c r="A111" s="44">
        <f>مرتبات!A111</f>
        <v>0</v>
      </c>
      <c r="B111" s="44" t="str">
        <f>مرتبات!B111</f>
        <v>Spare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f t="shared" si="8"/>
        <v>0</v>
      </c>
      <c r="N111" s="2">
        <f t="shared" si="9"/>
        <v>0</v>
      </c>
      <c r="O111" s="2">
        <f t="shared" si="10"/>
        <v>0</v>
      </c>
      <c r="P111" s="2">
        <f t="shared" si="11"/>
        <v>0</v>
      </c>
      <c r="Q111" s="44"/>
    </row>
    <row r="112" spans="1:17" x14ac:dyDescent="0.3">
      <c r="A112" s="44">
        <f>مرتبات!A112</f>
        <v>0</v>
      </c>
      <c r="B112" s="44" t="str">
        <f>مرتبات!B112</f>
        <v>Spare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f t="shared" si="8"/>
        <v>0</v>
      </c>
      <c r="N112" s="2">
        <f t="shared" si="9"/>
        <v>0</v>
      </c>
      <c r="O112" s="2">
        <f t="shared" si="10"/>
        <v>0</v>
      </c>
      <c r="P112" s="2">
        <f t="shared" si="11"/>
        <v>0</v>
      </c>
      <c r="Q112" s="44"/>
    </row>
    <row r="113" spans="1:17" x14ac:dyDescent="0.3">
      <c r="A113" s="44">
        <f>مرتبات!A113</f>
        <v>0</v>
      </c>
      <c r="B113" s="44" t="str">
        <f>مرتبات!B113</f>
        <v>Spare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f t="shared" si="8"/>
        <v>0</v>
      </c>
      <c r="N113" s="2">
        <f t="shared" si="9"/>
        <v>0</v>
      </c>
      <c r="O113" s="2">
        <f t="shared" si="10"/>
        <v>0</v>
      </c>
      <c r="P113" s="2">
        <f t="shared" si="11"/>
        <v>0</v>
      </c>
      <c r="Q113" s="44"/>
    </row>
    <row r="114" spans="1:17" x14ac:dyDescent="0.3">
      <c r="A114" s="44">
        <f>مرتبات!A114</f>
        <v>0</v>
      </c>
      <c r="B114" s="44" t="str">
        <f>مرتبات!B114</f>
        <v>Spare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f t="shared" si="8"/>
        <v>0</v>
      </c>
      <c r="N114" s="2">
        <f t="shared" si="9"/>
        <v>0</v>
      </c>
      <c r="O114" s="2">
        <f t="shared" si="10"/>
        <v>0</v>
      </c>
      <c r="P114" s="2">
        <f t="shared" si="11"/>
        <v>0</v>
      </c>
      <c r="Q114" s="44"/>
    </row>
    <row r="115" spans="1:17" x14ac:dyDescent="0.3">
      <c r="A115" s="44">
        <f>مرتبات!A115</f>
        <v>0</v>
      </c>
      <c r="B115" s="44" t="str">
        <f>مرتبات!B115</f>
        <v>Spare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f t="shared" si="8"/>
        <v>0</v>
      </c>
      <c r="N115" s="2">
        <f t="shared" si="9"/>
        <v>0</v>
      </c>
      <c r="O115" s="2">
        <f t="shared" si="10"/>
        <v>0</v>
      </c>
      <c r="P115" s="2">
        <f t="shared" si="11"/>
        <v>0</v>
      </c>
      <c r="Q115" s="44"/>
    </row>
    <row r="116" spans="1:17" x14ac:dyDescent="0.3">
      <c r="A116" s="44">
        <f>مرتبات!A116</f>
        <v>0</v>
      </c>
      <c r="B116" s="44" t="str">
        <f>مرتبات!B116</f>
        <v>Spare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f t="shared" si="8"/>
        <v>0</v>
      </c>
      <c r="N116" s="2">
        <f t="shared" si="9"/>
        <v>0</v>
      </c>
      <c r="O116" s="2">
        <f t="shared" si="10"/>
        <v>0</v>
      </c>
      <c r="P116" s="2">
        <f t="shared" si="11"/>
        <v>0</v>
      </c>
      <c r="Q116" s="44"/>
    </row>
    <row r="117" spans="1:17" x14ac:dyDescent="0.3">
      <c r="A117" s="44">
        <f>مرتبات!A117</f>
        <v>0</v>
      </c>
      <c r="B117" s="44" t="str">
        <f>مرتبات!B117</f>
        <v>Spare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f t="shared" si="8"/>
        <v>0</v>
      </c>
      <c r="N117" s="2">
        <f t="shared" si="9"/>
        <v>0</v>
      </c>
      <c r="O117" s="2">
        <f t="shared" si="10"/>
        <v>0</v>
      </c>
      <c r="P117" s="2">
        <f t="shared" si="11"/>
        <v>0</v>
      </c>
      <c r="Q117" s="44"/>
    </row>
    <row r="118" spans="1:17" x14ac:dyDescent="0.3">
      <c r="A118" s="44">
        <f>مرتبات!A118</f>
        <v>6</v>
      </c>
      <c r="B118" s="44" t="s">
        <v>84</v>
      </c>
      <c r="C118" s="2">
        <f t="shared" ref="C118:L118" si="12">SUM(C4:C17)+SUM(C19:C55)+SUM(C57:C100)+SUM(C102:C117)</f>
        <v>0</v>
      </c>
      <c r="D118" s="2">
        <f t="shared" si="12"/>
        <v>0</v>
      </c>
      <c r="E118" s="2">
        <f t="shared" si="12"/>
        <v>0</v>
      </c>
      <c r="F118" s="2">
        <f t="shared" si="12"/>
        <v>0</v>
      </c>
      <c r="G118" s="2">
        <f t="shared" si="12"/>
        <v>0</v>
      </c>
      <c r="H118" s="2">
        <f t="shared" si="12"/>
        <v>0</v>
      </c>
      <c r="I118" s="2">
        <f t="shared" si="12"/>
        <v>0</v>
      </c>
      <c r="J118" s="2">
        <f t="shared" si="12"/>
        <v>0</v>
      </c>
      <c r="K118" s="2">
        <f t="shared" si="12"/>
        <v>0</v>
      </c>
      <c r="L118" s="2">
        <f t="shared" si="12"/>
        <v>0</v>
      </c>
      <c r="M118" s="2">
        <f t="shared" si="8"/>
        <v>0</v>
      </c>
      <c r="N118" s="2">
        <f t="shared" si="9"/>
        <v>0</v>
      </c>
      <c r="O118" s="2">
        <f t="shared" si="10"/>
        <v>0</v>
      </c>
      <c r="P118" s="2">
        <f t="shared" si="11"/>
        <v>0</v>
      </c>
      <c r="Q118" s="4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BFDA8-BF74-4049-815A-1E798993C700}">
  <dimension ref="A1:M118"/>
  <sheetViews>
    <sheetView rightToLeft="1" workbookViewId="0">
      <selection sqref="A1:M118"/>
    </sheetView>
  </sheetViews>
  <sheetFormatPr defaultRowHeight="14.4" x14ac:dyDescent="0.3"/>
  <sheetData>
    <row r="1" spans="1:13" x14ac:dyDescent="0.3">
      <c r="B1" t="s">
        <v>85</v>
      </c>
    </row>
    <row r="2" spans="1:13" x14ac:dyDescent="0.3">
      <c r="A2" t="s">
        <v>62</v>
      </c>
      <c r="B2" t="s">
        <v>86</v>
      </c>
      <c r="C2" t="s">
        <v>87</v>
      </c>
      <c r="D2" t="s">
        <v>88</v>
      </c>
      <c r="E2" t="s">
        <v>89</v>
      </c>
      <c r="F2" t="s">
        <v>90</v>
      </c>
      <c r="G2" t="s">
        <v>91</v>
      </c>
      <c r="H2" t="s">
        <v>92</v>
      </c>
      <c r="I2" t="s">
        <v>93</v>
      </c>
      <c r="J2" t="s">
        <v>94</v>
      </c>
      <c r="K2" t="s">
        <v>95</v>
      </c>
      <c r="L2" t="s">
        <v>96</v>
      </c>
      <c r="M2" t="s">
        <v>78</v>
      </c>
    </row>
    <row r="3" spans="1:13" x14ac:dyDescent="0.3">
      <c r="B3" t="s">
        <v>79</v>
      </c>
    </row>
    <row r="4" spans="1:13" x14ac:dyDescent="0.3">
      <c r="A4">
        <f>مرتبات!A4</f>
        <v>1</v>
      </c>
      <c r="B4" t="str">
        <f>مرتبات!B4</f>
        <v>د/هانى صلاح الدين محمد سري الدين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f t="shared" ref="L4:L67" si="0">SUM(C4:K4)</f>
        <v>0</v>
      </c>
    </row>
    <row r="5" spans="1:13" x14ac:dyDescent="0.3">
      <c r="A5">
        <f>مرتبات!A5</f>
        <v>2</v>
      </c>
      <c r="B5" t="str">
        <f>مرتبات!B5</f>
        <v>أ/أميرة محمد على شريف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f t="shared" si="0"/>
        <v>0</v>
      </c>
    </row>
    <row r="6" spans="1:13" x14ac:dyDescent="0.3">
      <c r="A6">
        <f>مرتبات!A6</f>
        <v>3</v>
      </c>
      <c r="B6" t="str">
        <f>مرتبات!B6</f>
        <v>أ/إيهاب حمدى ابراهيم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f t="shared" si="0"/>
        <v>0</v>
      </c>
    </row>
    <row r="7" spans="1:13" x14ac:dyDescent="0.3">
      <c r="A7">
        <f>مرتبات!A7</f>
        <v>0</v>
      </c>
      <c r="B7" t="str">
        <f>مرتبات!B7</f>
        <v>Spare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f t="shared" si="0"/>
        <v>0</v>
      </c>
    </row>
    <row r="8" spans="1:13" x14ac:dyDescent="0.3">
      <c r="A8">
        <f>مرتبات!A8</f>
        <v>0</v>
      </c>
      <c r="B8" t="str">
        <f>مرتبات!B8</f>
        <v>Spare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f t="shared" si="0"/>
        <v>0</v>
      </c>
    </row>
    <row r="9" spans="1:13" x14ac:dyDescent="0.3">
      <c r="A9">
        <f>مرتبات!A9</f>
        <v>0</v>
      </c>
      <c r="B9" t="str">
        <f>مرتبات!B9</f>
        <v>Spare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f t="shared" si="0"/>
        <v>0</v>
      </c>
    </row>
    <row r="10" spans="1:13" x14ac:dyDescent="0.3">
      <c r="A10">
        <f>مرتبات!A10</f>
        <v>0</v>
      </c>
      <c r="B10" t="str">
        <f>مرتبات!B10</f>
        <v>Spare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 t="shared" si="0"/>
        <v>0</v>
      </c>
    </row>
    <row r="11" spans="1:13" x14ac:dyDescent="0.3">
      <c r="A11">
        <f>مرتبات!A11</f>
        <v>0</v>
      </c>
      <c r="B11" t="str">
        <f>مرتبات!B11</f>
        <v>Spare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0"/>
        <v>0</v>
      </c>
    </row>
    <row r="12" spans="1:13" x14ac:dyDescent="0.3">
      <c r="A12">
        <f>مرتبات!A12</f>
        <v>0</v>
      </c>
      <c r="B12" t="str">
        <f>مرتبات!B12</f>
        <v>Spare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f t="shared" si="0"/>
        <v>0</v>
      </c>
    </row>
    <row r="13" spans="1:13" x14ac:dyDescent="0.3">
      <c r="A13">
        <f>مرتبات!A13</f>
        <v>0</v>
      </c>
      <c r="B13" t="str">
        <f>مرتبات!B13</f>
        <v>Spare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f t="shared" si="0"/>
        <v>0</v>
      </c>
    </row>
    <row r="14" spans="1:13" x14ac:dyDescent="0.3">
      <c r="A14">
        <f>مرتبات!A14</f>
        <v>0</v>
      </c>
      <c r="B14" t="str">
        <f>مرتبات!B14</f>
        <v>Spare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f t="shared" si="0"/>
        <v>0</v>
      </c>
    </row>
    <row r="15" spans="1:13" x14ac:dyDescent="0.3">
      <c r="A15">
        <f>مرتبات!A15</f>
        <v>0</v>
      </c>
      <c r="B15" t="str">
        <f>مرتبات!B15</f>
        <v>Spare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f t="shared" si="0"/>
        <v>0</v>
      </c>
    </row>
    <row r="16" spans="1:13" x14ac:dyDescent="0.3">
      <c r="A16">
        <f>مرتبات!A16</f>
        <v>0</v>
      </c>
      <c r="B16" t="str">
        <f>مرتبات!B16</f>
        <v>Spare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f t="shared" si="0"/>
        <v>0</v>
      </c>
    </row>
    <row r="17" spans="1:12" x14ac:dyDescent="0.3">
      <c r="A17">
        <f>مرتبات!A17</f>
        <v>0</v>
      </c>
      <c r="B17" t="str">
        <f>مرتبات!B17</f>
        <v>Spare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f t="shared" si="0"/>
        <v>0</v>
      </c>
    </row>
    <row r="18" spans="1:12" x14ac:dyDescent="0.3">
      <c r="A18">
        <f>مرتبات!A18</f>
        <v>3</v>
      </c>
      <c r="B18" t="s">
        <v>80</v>
      </c>
    </row>
    <row r="19" spans="1:12" x14ac:dyDescent="0.3">
      <c r="A19">
        <f>مرتبات!A19</f>
        <v>1</v>
      </c>
      <c r="B19" t="str">
        <f>مرتبات!B19</f>
        <v>أ/ناجى رمضان أمين محمد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f t="shared" si="0"/>
        <v>0</v>
      </c>
    </row>
    <row r="20" spans="1:12" x14ac:dyDescent="0.3">
      <c r="A20">
        <f>مرتبات!A20</f>
        <v>2</v>
      </c>
      <c r="B20" t="str">
        <f>مرتبات!B20</f>
        <v>أ/محمد عبد العزيز عبدالحافظ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f t="shared" si="0"/>
        <v>0</v>
      </c>
    </row>
    <row r="21" spans="1:12" x14ac:dyDescent="0.3">
      <c r="A21">
        <f>مرتبات!A21</f>
        <v>3</v>
      </c>
      <c r="B21" t="str">
        <f>مرتبات!B21</f>
        <v>أ/ أحمد سعيد أحمد محمد علي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f t="shared" si="0"/>
        <v>0</v>
      </c>
    </row>
    <row r="22" spans="1:12" x14ac:dyDescent="0.3">
      <c r="A22">
        <f>مرتبات!A22</f>
        <v>4</v>
      </c>
      <c r="B22" t="str">
        <f>مرتبات!B22</f>
        <v>أ/منة الله البلتاجى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f t="shared" si="0"/>
        <v>0</v>
      </c>
    </row>
    <row r="23" spans="1:12" x14ac:dyDescent="0.3">
      <c r="A23">
        <f>مرتبات!A23</f>
        <v>5</v>
      </c>
      <c r="B23" t="str">
        <f>مرتبات!B23</f>
        <v>أ/نهى عمرو محمد رضوان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f t="shared" si="0"/>
        <v>0</v>
      </c>
    </row>
    <row r="24" spans="1:12" x14ac:dyDescent="0.3">
      <c r="A24">
        <f>مرتبات!A24</f>
        <v>6</v>
      </c>
      <c r="B24" t="str">
        <f>مرتبات!B24</f>
        <v>أ/عبد الله عمرو حافظ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f t="shared" si="0"/>
        <v>0</v>
      </c>
    </row>
    <row r="25" spans="1:12" x14ac:dyDescent="0.3">
      <c r="A25">
        <f>مرتبات!A25</f>
        <v>7</v>
      </c>
      <c r="B25" t="str">
        <f>مرتبات!B25</f>
        <v>أ/محمد حمدى كامل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f t="shared" si="0"/>
        <v>0</v>
      </c>
    </row>
    <row r="26" spans="1:12" x14ac:dyDescent="0.3">
      <c r="A26">
        <f>مرتبات!A26</f>
        <v>0</v>
      </c>
      <c r="B26" t="str">
        <f>مرتبات!B26</f>
        <v>Spare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f t="shared" si="0"/>
        <v>0</v>
      </c>
    </row>
    <row r="27" spans="1:12" x14ac:dyDescent="0.3">
      <c r="A27">
        <f>مرتبات!A27</f>
        <v>0</v>
      </c>
      <c r="B27" t="str">
        <f>مرتبات!B27</f>
        <v>Spare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f t="shared" si="0"/>
        <v>0</v>
      </c>
    </row>
    <row r="28" spans="1:12" x14ac:dyDescent="0.3">
      <c r="A28">
        <f>مرتبات!A28</f>
        <v>0</v>
      </c>
      <c r="B28" t="str">
        <f>مرتبات!B28</f>
        <v>Spare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f t="shared" si="0"/>
        <v>0</v>
      </c>
    </row>
    <row r="29" spans="1:12" x14ac:dyDescent="0.3">
      <c r="A29">
        <f>مرتبات!A29</f>
        <v>0</v>
      </c>
      <c r="B29" t="str">
        <f>مرتبات!B29</f>
        <v>Spare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f t="shared" si="0"/>
        <v>0</v>
      </c>
    </row>
    <row r="30" spans="1:12" x14ac:dyDescent="0.3">
      <c r="A30">
        <f>مرتبات!A30</f>
        <v>0</v>
      </c>
      <c r="B30" t="str">
        <f>مرتبات!B30</f>
        <v>Spare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f t="shared" si="0"/>
        <v>0</v>
      </c>
    </row>
    <row r="31" spans="1:12" x14ac:dyDescent="0.3">
      <c r="A31">
        <f>مرتبات!A31</f>
        <v>0</v>
      </c>
      <c r="B31" t="str">
        <f>مرتبات!B31</f>
        <v>Spare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f t="shared" si="0"/>
        <v>0</v>
      </c>
    </row>
    <row r="32" spans="1:12" x14ac:dyDescent="0.3">
      <c r="A32">
        <f>مرتبات!A32</f>
        <v>0</v>
      </c>
      <c r="B32" t="str">
        <f>مرتبات!B32</f>
        <v>Spare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f t="shared" si="0"/>
        <v>0</v>
      </c>
    </row>
    <row r="33" spans="1:12" x14ac:dyDescent="0.3">
      <c r="A33">
        <f>مرتبات!A33</f>
        <v>8</v>
      </c>
      <c r="B33" t="str">
        <f>مرتبات!B33</f>
        <v>أ/أحمد سيف الدين أبو بكر سري الدين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f t="shared" si="0"/>
        <v>0</v>
      </c>
    </row>
    <row r="34" spans="1:12" x14ac:dyDescent="0.3">
      <c r="A34">
        <f>مرتبات!A34</f>
        <v>9</v>
      </c>
      <c r="B34" t="str">
        <f>مرتبات!B34</f>
        <v>أ/هاني أحمد الدالي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f t="shared" si="0"/>
        <v>0</v>
      </c>
    </row>
    <row r="35" spans="1:12" x14ac:dyDescent="0.3">
      <c r="A35">
        <f>مرتبات!A35</f>
        <v>10</v>
      </c>
      <c r="B35" t="str">
        <f>مرتبات!B35</f>
        <v>أ/عبدالرحمن أحمد عبدالعزيز حسن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f t="shared" si="0"/>
        <v>0</v>
      </c>
    </row>
    <row r="36" spans="1:12" x14ac:dyDescent="0.3">
      <c r="A36">
        <f>مرتبات!A36</f>
        <v>0</v>
      </c>
      <c r="B36" t="str">
        <f>مرتبات!B36</f>
        <v>Spare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f t="shared" si="0"/>
        <v>0</v>
      </c>
    </row>
    <row r="37" spans="1:12" x14ac:dyDescent="0.3">
      <c r="A37">
        <f>مرتبات!A37</f>
        <v>0</v>
      </c>
      <c r="B37" t="str">
        <f>مرتبات!B37</f>
        <v>Spare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f t="shared" si="0"/>
        <v>0</v>
      </c>
    </row>
    <row r="38" spans="1:12" x14ac:dyDescent="0.3">
      <c r="A38">
        <f>مرتبات!A38</f>
        <v>0</v>
      </c>
      <c r="B38" t="str">
        <f>مرتبات!B38</f>
        <v>Spare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f t="shared" si="0"/>
        <v>0</v>
      </c>
    </row>
    <row r="39" spans="1:12" x14ac:dyDescent="0.3">
      <c r="A39">
        <f>مرتبات!A39</f>
        <v>0</v>
      </c>
      <c r="B39" t="str">
        <f>مرتبات!B39</f>
        <v>Spare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f t="shared" si="0"/>
        <v>0</v>
      </c>
    </row>
    <row r="40" spans="1:12" x14ac:dyDescent="0.3">
      <c r="A40">
        <f>مرتبات!A40</f>
        <v>0</v>
      </c>
      <c r="B40" t="str">
        <f>مرتبات!B40</f>
        <v>Spare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f t="shared" si="0"/>
        <v>0</v>
      </c>
    </row>
    <row r="41" spans="1:12" x14ac:dyDescent="0.3">
      <c r="A41">
        <f>مرتبات!A41</f>
        <v>0</v>
      </c>
      <c r="B41" t="str">
        <f>مرتبات!B41</f>
        <v>Spare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f t="shared" si="0"/>
        <v>0</v>
      </c>
    </row>
    <row r="42" spans="1:12" x14ac:dyDescent="0.3">
      <c r="A42">
        <f>مرتبات!A42</f>
        <v>0</v>
      </c>
      <c r="B42" t="str">
        <f>مرتبات!B42</f>
        <v>Spare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f t="shared" si="0"/>
        <v>0</v>
      </c>
    </row>
    <row r="43" spans="1:12" x14ac:dyDescent="0.3">
      <c r="A43">
        <f>مرتبات!A43</f>
        <v>0</v>
      </c>
      <c r="B43" t="str">
        <f>مرتبات!B43</f>
        <v>Spare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f t="shared" si="0"/>
        <v>0</v>
      </c>
    </row>
    <row r="44" spans="1:12" x14ac:dyDescent="0.3">
      <c r="A44">
        <f>مرتبات!A44</f>
        <v>0</v>
      </c>
      <c r="B44" t="str">
        <f>مرتبات!B44</f>
        <v>Spare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f t="shared" si="0"/>
        <v>0</v>
      </c>
    </row>
    <row r="45" spans="1:12" x14ac:dyDescent="0.3">
      <c r="A45">
        <f>مرتبات!A45</f>
        <v>11</v>
      </c>
      <c r="B45" t="str">
        <f>مرتبات!B45</f>
        <v>أ/حبيبة محمود سمير محمود عيسى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f t="shared" si="0"/>
        <v>0</v>
      </c>
    </row>
    <row r="46" spans="1:12" x14ac:dyDescent="0.3">
      <c r="A46">
        <f>مرتبات!A46</f>
        <v>12</v>
      </c>
      <c r="B46" t="str">
        <f>مرتبات!B46</f>
        <v>أ/احمد ابو العباس محمد الاتربي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f t="shared" si="0"/>
        <v>0</v>
      </c>
    </row>
    <row r="47" spans="1:12" x14ac:dyDescent="0.3">
      <c r="A47">
        <f>مرتبات!A47</f>
        <v>13</v>
      </c>
      <c r="B47" t="str">
        <f>مرتبات!B47</f>
        <v>أ/ليلي امين محمد امين طموم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f t="shared" si="0"/>
        <v>0</v>
      </c>
    </row>
    <row r="48" spans="1:12" x14ac:dyDescent="0.3">
      <c r="A48">
        <f>مرتبات!A48</f>
        <v>14</v>
      </c>
      <c r="B48" t="str">
        <f>مرتبات!B48</f>
        <v>أ/كريم ايمن محمد عادل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f t="shared" si="0"/>
        <v>0</v>
      </c>
    </row>
    <row r="49" spans="1:12" x14ac:dyDescent="0.3">
      <c r="A49">
        <f>مرتبات!A49</f>
        <v>15</v>
      </c>
      <c r="B49" t="str">
        <f>مرتبات!B49</f>
        <v>عمرو محمد عبدالحليم أبو سليم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f t="shared" si="0"/>
        <v>0</v>
      </c>
    </row>
    <row r="50" spans="1:12" x14ac:dyDescent="0.3">
      <c r="A50">
        <f>مرتبات!A50</f>
        <v>0</v>
      </c>
      <c r="B50" t="str">
        <f>مرتبات!B50</f>
        <v>Spare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f t="shared" si="0"/>
        <v>0</v>
      </c>
    </row>
    <row r="51" spans="1:12" x14ac:dyDescent="0.3">
      <c r="A51">
        <f>مرتبات!A51</f>
        <v>0</v>
      </c>
      <c r="B51" t="str">
        <f>مرتبات!B51</f>
        <v>Spare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f t="shared" si="0"/>
        <v>0</v>
      </c>
    </row>
    <row r="52" spans="1:12" x14ac:dyDescent="0.3">
      <c r="A52">
        <f>مرتبات!A52</f>
        <v>0</v>
      </c>
      <c r="B52" t="str">
        <f>مرتبات!B52</f>
        <v>Spare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f t="shared" si="0"/>
        <v>0</v>
      </c>
    </row>
    <row r="53" spans="1:12" x14ac:dyDescent="0.3">
      <c r="A53">
        <f>مرتبات!A53</f>
        <v>0</v>
      </c>
      <c r="B53" t="str">
        <f>مرتبات!B53</f>
        <v>Spare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f t="shared" si="0"/>
        <v>0</v>
      </c>
    </row>
    <row r="54" spans="1:12" x14ac:dyDescent="0.3">
      <c r="A54">
        <f>مرتبات!A54</f>
        <v>0</v>
      </c>
      <c r="B54" t="str">
        <f>مرتبات!B54</f>
        <v>Spare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f t="shared" si="0"/>
        <v>0</v>
      </c>
    </row>
    <row r="55" spans="1:12" x14ac:dyDescent="0.3">
      <c r="A55">
        <f>مرتبات!A55</f>
        <v>0</v>
      </c>
      <c r="B55" t="str">
        <f>مرتبات!B55</f>
        <v>Spare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f t="shared" si="0"/>
        <v>0</v>
      </c>
    </row>
    <row r="56" spans="1:12" x14ac:dyDescent="0.3">
      <c r="A56">
        <f>مرتبات!A56</f>
        <v>15</v>
      </c>
      <c r="B56" t="s">
        <v>81</v>
      </c>
    </row>
    <row r="57" spans="1:12" x14ac:dyDescent="0.3">
      <c r="A57">
        <f>مرتبات!A57</f>
        <v>1</v>
      </c>
      <c r="B57" t="str">
        <f>مرتبات!B57</f>
        <v>أ/دعاء عبد الدايم إبراهيم نصار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f t="shared" si="0"/>
        <v>0</v>
      </c>
    </row>
    <row r="58" spans="1:12" x14ac:dyDescent="0.3">
      <c r="A58">
        <f>مرتبات!A58</f>
        <v>2</v>
      </c>
      <c r="B58" t="str">
        <f>مرتبات!B58</f>
        <v>أ/أحمد محمد رزق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f t="shared" si="0"/>
        <v>0</v>
      </c>
    </row>
    <row r="59" spans="1:12" x14ac:dyDescent="0.3">
      <c r="A59">
        <f>مرتبات!A59</f>
        <v>0</v>
      </c>
      <c r="B59" t="str">
        <f>مرتبات!B59</f>
        <v>Manager Spare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f t="shared" si="0"/>
        <v>0</v>
      </c>
    </row>
    <row r="60" spans="1:12" x14ac:dyDescent="0.3">
      <c r="A60">
        <f>مرتبات!A60</f>
        <v>0</v>
      </c>
      <c r="B60" t="str">
        <f>مرتبات!B60</f>
        <v>Manager Spare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f t="shared" si="0"/>
        <v>0</v>
      </c>
    </row>
    <row r="61" spans="1:12" x14ac:dyDescent="0.3">
      <c r="A61">
        <f>مرتبات!A61</f>
        <v>0</v>
      </c>
      <c r="B61" t="str">
        <f>مرتبات!B61</f>
        <v>Manager Spare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f t="shared" si="0"/>
        <v>0</v>
      </c>
    </row>
    <row r="62" spans="1:12" x14ac:dyDescent="0.3">
      <c r="A62">
        <f>مرتبات!A62</f>
        <v>3</v>
      </c>
      <c r="B62" t="str">
        <f>مرتبات!B62</f>
        <v>أ/خالد محمد حلمى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f t="shared" si="0"/>
        <v>0</v>
      </c>
    </row>
    <row r="63" spans="1:12" x14ac:dyDescent="0.3">
      <c r="A63">
        <f>مرتبات!A63</f>
        <v>4</v>
      </c>
      <c r="B63" t="str">
        <f>مرتبات!B63</f>
        <v>أ/ نيرمين عصمت محمد حجازي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f t="shared" si="0"/>
        <v>0</v>
      </c>
    </row>
    <row r="64" spans="1:12" x14ac:dyDescent="0.3">
      <c r="A64">
        <f>مرتبات!A64</f>
        <v>0</v>
      </c>
      <c r="B64" t="str">
        <f>مرتبات!B64</f>
        <v>Senior Spare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f t="shared" si="0"/>
        <v>0</v>
      </c>
    </row>
    <row r="65" spans="1:12" x14ac:dyDescent="0.3">
      <c r="A65">
        <f>مرتبات!A65</f>
        <v>0</v>
      </c>
      <c r="B65" t="str">
        <f>مرتبات!B65</f>
        <v>Senior Spare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f t="shared" si="0"/>
        <v>0</v>
      </c>
    </row>
    <row r="66" spans="1:12" x14ac:dyDescent="0.3">
      <c r="A66">
        <f>مرتبات!A66</f>
        <v>0</v>
      </c>
      <c r="B66" t="str">
        <f>مرتبات!B66</f>
        <v>Senior Spare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f t="shared" si="0"/>
        <v>0</v>
      </c>
    </row>
    <row r="67" spans="1:12" x14ac:dyDescent="0.3">
      <c r="A67">
        <f>مرتبات!A67</f>
        <v>0</v>
      </c>
      <c r="B67" t="str">
        <f>مرتبات!B67</f>
        <v>Senior Spare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f t="shared" si="0"/>
        <v>0</v>
      </c>
    </row>
    <row r="68" spans="1:12" x14ac:dyDescent="0.3">
      <c r="A68">
        <f>مرتبات!A68</f>
        <v>5</v>
      </c>
      <c r="B68" t="str">
        <f>مرتبات!B68</f>
        <v>أ/مروة شريف عبدالحميد سلامة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f t="shared" ref="L68:L117" si="1">SUM(C68:K68)</f>
        <v>0</v>
      </c>
    </row>
    <row r="69" spans="1:12" x14ac:dyDescent="0.3">
      <c r="A69">
        <f>مرتبات!A69</f>
        <v>6</v>
      </c>
      <c r="B69" t="str">
        <f>مرتبات!B69</f>
        <v>أ/حازم ابراهيم عبد الحميد محمد فتاتة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f t="shared" si="1"/>
        <v>0</v>
      </c>
    </row>
    <row r="70" spans="1:12" x14ac:dyDescent="0.3">
      <c r="A70">
        <v>0</v>
      </c>
      <c r="B70" t="str">
        <f>مرتبات!B70</f>
        <v xml:space="preserve">أ/أحمد سمير حسن السيد 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f t="shared" si="1"/>
        <v>0</v>
      </c>
    </row>
    <row r="71" spans="1:12" x14ac:dyDescent="0.3">
      <c r="A71">
        <v>7</v>
      </c>
      <c r="B71" t="str">
        <f>مرتبات!B71</f>
        <v>أ/إيمان صبحى شكرى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f t="shared" si="1"/>
        <v>0</v>
      </c>
    </row>
    <row r="72" spans="1:12" x14ac:dyDescent="0.3">
      <c r="A72">
        <v>8</v>
      </c>
      <c r="B72" t="str">
        <f>مرتبات!B72</f>
        <v>أ/شريف شكرى محمد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f t="shared" si="1"/>
        <v>0</v>
      </c>
    </row>
    <row r="73" spans="1:12" x14ac:dyDescent="0.3">
      <c r="A73">
        <v>9</v>
      </c>
      <c r="B73" t="str">
        <f>مرتبات!B73</f>
        <v>أ/محمد حسن محمد كامل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f t="shared" si="1"/>
        <v>0</v>
      </c>
    </row>
    <row r="74" spans="1:12" x14ac:dyDescent="0.3">
      <c r="A74">
        <v>10</v>
      </c>
      <c r="B74" t="str">
        <f>مرتبات!B74</f>
        <v>أ/سامي ابراهيم محمد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f t="shared" si="1"/>
        <v>0</v>
      </c>
    </row>
    <row r="75" spans="1:12" x14ac:dyDescent="0.3">
      <c r="A75">
        <v>11</v>
      </c>
      <c r="B75" t="str">
        <f>مرتبات!B75</f>
        <v>أ/محمود على محمود حسين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f t="shared" si="1"/>
        <v>0</v>
      </c>
    </row>
    <row r="76" spans="1:12" x14ac:dyDescent="0.3">
      <c r="A76">
        <v>12</v>
      </c>
      <c r="B76" t="str">
        <f>مرتبات!B76</f>
        <v>أ/عمرو عبد الكريم صقر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f t="shared" si="1"/>
        <v>0</v>
      </c>
    </row>
    <row r="77" spans="1:12" x14ac:dyDescent="0.3">
      <c r="A77">
        <v>13</v>
      </c>
      <c r="B77" t="str">
        <f>مرتبات!B77</f>
        <v>أ/مختار احمد المجدلي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f t="shared" si="1"/>
        <v>0</v>
      </c>
    </row>
    <row r="78" spans="1:12" x14ac:dyDescent="0.3">
      <c r="A78">
        <v>14</v>
      </c>
      <c r="B78" t="str">
        <f>مرتبات!B78</f>
        <v>أ/طارق محمد جمعه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f t="shared" si="1"/>
        <v>0</v>
      </c>
    </row>
    <row r="79" spans="1:12" x14ac:dyDescent="0.3">
      <c r="A79">
        <v>15</v>
      </c>
      <c r="B79" t="str">
        <f>مرتبات!B79</f>
        <v>أ/ أحمد محمد عبدالسلام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f t="shared" si="1"/>
        <v>0</v>
      </c>
    </row>
    <row r="80" spans="1:12" x14ac:dyDescent="0.3">
      <c r="A80">
        <f>مرتبات!A80</f>
        <v>0</v>
      </c>
      <c r="B80">
        <f>مرتبات!B80</f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f t="shared" si="1"/>
        <v>0</v>
      </c>
    </row>
    <row r="81" spans="1:12" x14ac:dyDescent="0.3">
      <c r="A81">
        <v>16</v>
      </c>
      <c r="B81" t="str">
        <f>مرتبات!B81</f>
        <v>أ/محمد عبدالجواد محمد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f t="shared" si="1"/>
        <v>0</v>
      </c>
    </row>
    <row r="82" spans="1:12" x14ac:dyDescent="0.3">
      <c r="A82">
        <v>17</v>
      </c>
      <c r="B82" t="str">
        <f>مرتبات!B82</f>
        <v>أ/ منة الله محب عبدالغفار السيد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f t="shared" si="1"/>
        <v>0</v>
      </c>
    </row>
    <row r="83" spans="1:12" x14ac:dyDescent="0.3">
      <c r="A83">
        <v>18</v>
      </c>
      <c r="B83" t="str">
        <f>مرتبات!B83</f>
        <v>أ/عاصم محمد سعيد عبده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f t="shared" si="1"/>
        <v>0</v>
      </c>
    </row>
    <row r="84" spans="1:12" x14ac:dyDescent="0.3">
      <c r="A84">
        <v>19</v>
      </c>
      <c r="B84" t="str">
        <f>مرتبات!B84</f>
        <v>أ/ نجوى إبراهيم محمود غنيم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f t="shared" si="1"/>
        <v>0</v>
      </c>
    </row>
    <row r="85" spans="1:12" x14ac:dyDescent="0.3">
      <c r="A85">
        <v>20</v>
      </c>
      <c r="B85" t="s">
        <v>49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f t="shared" si="1"/>
        <v>0</v>
      </c>
    </row>
    <row r="86" spans="1:12" x14ac:dyDescent="0.3">
      <c r="A86">
        <f>مرتبات!A86</f>
        <v>0</v>
      </c>
      <c r="B86" t="str">
        <f>مرتبات!B86</f>
        <v>Spare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f t="shared" si="1"/>
        <v>0</v>
      </c>
    </row>
    <row r="87" spans="1:12" x14ac:dyDescent="0.3">
      <c r="A87">
        <f>مرتبات!A87</f>
        <v>0</v>
      </c>
      <c r="B87" t="str">
        <f>مرتبات!B87</f>
        <v>Spare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f t="shared" si="1"/>
        <v>0</v>
      </c>
    </row>
    <row r="88" spans="1:12" x14ac:dyDescent="0.3">
      <c r="A88">
        <f>مرتبات!A88</f>
        <v>0</v>
      </c>
      <c r="B88" t="str">
        <f>مرتبات!B88</f>
        <v>Spare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f t="shared" si="1"/>
        <v>0</v>
      </c>
    </row>
    <row r="89" spans="1:12" x14ac:dyDescent="0.3">
      <c r="A89">
        <f>مرتبات!A89</f>
        <v>0</v>
      </c>
      <c r="B89" t="str">
        <f>مرتبات!B89</f>
        <v>Spare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f t="shared" si="1"/>
        <v>0</v>
      </c>
    </row>
    <row r="90" spans="1:12" x14ac:dyDescent="0.3">
      <c r="A90">
        <f>مرتبات!A90</f>
        <v>0</v>
      </c>
      <c r="B90" t="str">
        <f>مرتبات!B90</f>
        <v>Spare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f t="shared" si="1"/>
        <v>0</v>
      </c>
    </row>
    <row r="91" spans="1:12" x14ac:dyDescent="0.3">
      <c r="A91">
        <f>مرتبات!A91</f>
        <v>0</v>
      </c>
      <c r="B91" t="str">
        <f>مرتبات!B91</f>
        <v>Spare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f t="shared" si="1"/>
        <v>0</v>
      </c>
    </row>
    <row r="92" spans="1:12" x14ac:dyDescent="0.3">
      <c r="A92">
        <f>مرتبات!A92</f>
        <v>0</v>
      </c>
      <c r="B92" t="str">
        <f>مرتبات!B92</f>
        <v>Spare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f t="shared" si="1"/>
        <v>0</v>
      </c>
    </row>
    <row r="93" spans="1:12" x14ac:dyDescent="0.3">
      <c r="A93">
        <f>مرتبات!A93</f>
        <v>0</v>
      </c>
      <c r="B93" t="str">
        <f>مرتبات!B93</f>
        <v>Spare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f t="shared" si="1"/>
        <v>0</v>
      </c>
    </row>
    <row r="94" spans="1:12" x14ac:dyDescent="0.3">
      <c r="A94">
        <f>مرتبات!A94</f>
        <v>0</v>
      </c>
      <c r="B94" t="str">
        <f>مرتبات!B94</f>
        <v>Spare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f t="shared" si="1"/>
        <v>0</v>
      </c>
    </row>
    <row r="95" spans="1:12" x14ac:dyDescent="0.3">
      <c r="A95">
        <f>مرتبات!A95</f>
        <v>0</v>
      </c>
      <c r="B95" t="str">
        <f>مرتبات!B95</f>
        <v>Spare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f t="shared" si="1"/>
        <v>0</v>
      </c>
    </row>
    <row r="96" spans="1:12" x14ac:dyDescent="0.3">
      <c r="A96">
        <f>مرتبات!A96</f>
        <v>0</v>
      </c>
      <c r="B96" t="str">
        <f>مرتبات!B96</f>
        <v>Spare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f t="shared" si="1"/>
        <v>0</v>
      </c>
    </row>
    <row r="97" spans="1:12" x14ac:dyDescent="0.3">
      <c r="A97">
        <f>مرتبات!A97</f>
        <v>0</v>
      </c>
      <c r="B97" t="str">
        <f>مرتبات!B97</f>
        <v>Spare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f t="shared" si="1"/>
        <v>0</v>
      </c>
    </row>
    <row r="98" spans="1:12" x14ac:dyDescent="0.3">
      <c r="A98">
        <f>مرتبات!A98</f>
        <v>0</v>
      </c>
      <c r="B98" t="str">
        <f>مرتبات!B98</f>
        <v>Spare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f t="shared" si="1"/>
        <v>0</v>
      </c>
    </row>
    <row r="99" spans="1:12" x14ac:dyDescent="0.3">
      <c r="A99">
        <f>مرتبات!A99</f>
        <v>0</v>
      </c>
      <c r="B99" t="str">
        <f>مرتبات!B99</f>
        <v>Spare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f t="shared" si="1"/>
        <v>0</v>
      </c>
    </row>
    <row r="100" spans="1:12" x14ac:dyDescent="0.3">
      <c r="A100">
        <f>مرتبات!A100</f>
        <v>0</v>
      </c>
      <c r="B100" t="str">
        <f>مرتبات!B100</f>
        <v>Spare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f t="shared" si="1"/>
        <v>0</v>
      </c>
    </row>
    <row r="101" spans="1:12" x14ac:dyDescent="0.3">
      <c r="A101">
        <v>20</v>
      </c>
      <c r="B101" t="s">
        <v>82</v>
      </c>
    </row>
    <row r="102" spans="1:12" x14ac:dyDescent="0.3">
      <c r="A102">
        <f>مرتبات!A102</f>
        <v>1</v>
      </c>
      <c r="B102" t="str">
        <f>مرتبات!B102</f>
        <v>أ/هالة فوزي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f t="shared" si="1"/>
        <v>0</v>
      </c>
    </row>
    <row r="103" spans="1:12" x14ac:dyDescent="0.3">
      <c r="A103">
        <f>مرتبات!A103</f>
        <v>2</v>
      </c>
      <c r="B103" t="str">
        <f>مرتبات!B103</f>
        <v>د/أمجد سعيد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f t="shared" si="1"/>
        <v>0</v>
      </c>
    </row>
    <row r="104" spans="1:12" x14ac:dyDescent="0.3">
      <c r="A104">
        <f>مرتبات!A104</f>
        <v>3</v>
      </c>
      <c r="B104" t="str">
        <f>مرتبات!B104</f>
        <v>د/وليد رزق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f t="shared" si="1"/>
        <v>0</v>
      </c>
    </row>
    <row r="105" spans="1:12" x14ac:dyDescent="0.3">
      <c r="A105">
        <f>مرتبات!A105</f>
        <v>4</v>
      </c>
      <c r="B105" t="str">
        <f>مرتبات!B105</f>
        <v>د/أمينة العطيفي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f t="shared" si="1"/>
        <v>0</v>
      </c>
    </row>
    <row r="106" spans="1:12" x14ac:dyDescent="0.3">
      <c r="A106">
        <f>مرتبات!A106</f>
        <v>5</v>
      </c>
      <c r="B106" t="str">
        <f>مرتبات!B106</f>
        <v>أ/ محمد فاروق عبد الحليم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f t="shared" si="1"/>
        <v>0</v>
      </c>
    </row>
    <row r="107" spans="1:12" x14ac:dyDescent="0.3">
      <c r="A107">
        <f>مرتبات!A107</f>
        <v>6</v>
      </c>
      <c r="B107" t="str">
        <f>مرتبات!B107</f>
        <v>د/ أحمد بغدادي رشدي محمد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f t="shared" si="1"/>
        <v>0</v>
      </c>
    </row>
    <row r="108" spans="1:12" x14ac:dyDescent="0.3">
      <c r="A108">
        <v>7</v>
      </c>
      <c r="B108" t="str">
        <f>مرتبات!B108</f>
        <v>المستشار محمد ماهر عبدالواحد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f t="shared" si="1"/>
        <v>0</v>
      </c>
    </row>
    <row r="109" spans="1:12" x14ac:dyDescent="0.3">
      <c r="A109">
        <f>مرتبات!A109</f>
        <v>0</v>
      </c>
      <c r="B109" t="str">
        <f>مرتبات!B109</f>
        <v>Spare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f t="shared" si="1"/>
        <v>0</v>
      </c>
    </row>
    <row r="110" spans="1:12" x14ac:dyDescent="0.3">
      <c r="A110">
        <f>مرتبات!A110</f>
        <v>0</v>
      </c>
      <c r="B110" t="str">
        <f>مرتبات!B110</f>
        <v>Spare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f t="shared" si="1"/>
        <v>0</v>
      </c>
    </row>
    <row r="111" spans="1:12" x14ac:dyDescent="0.3">
      <c r="A111">
        <f>مرتبات!A111</f>
        <v>0</v>
      </c>
      <c r="B111" t="str">
        <f>مرتبات!B111</f>
        <v>Spare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f t="shared" si="1"/>
        <v>0</v>
      </c>
    </row>
    <row r="112" spans="1:12" x14ac:dyDescent="0.3">
      <c r="A112">
        <f>مرتبات!A112</f>
        <v>0</v>
      </c>
      <c r="B112" t="str">
        <f>مرتبات!B112</f>
        <v>Spare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f t="shared" si="1"/>
        <v>0</v>
      </c>
    </row>
    <row r="113" spans="1:12" x14ac:dyDescent="0.3">
      <c r="A113">
        <f>مرتبات!A113</f>
        <v>0</v>
      </c>
      <c r="B113" t="str">
        <f>مرتبات!B113</f>
        <v>Spare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f t="shared" si="1"/>
        <v>0</v>
      </c>
    </row>
    <row r="114" spans="1:12" x14ac:dyDescent="0.3">
      <c r="A114">
        <f>مرتبات!A114</f>
        <v>0</v>
      </c>
      <c r="B114" t="str">
        <f>مرتبات!B114</f>
        <v>Spare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f t="shared" si="1"/>
        <v>0</v>
      </c>
    </row>
    <row r="115" spans="1:12" x14ac:dyDescent="0.3">
      <c r="A115">
        <f>مرتبات!A115</f>
        <v>0</v>
      </c>
      <c r="B115" t="str">
        <f>مرتبات!B115</f>
        <v>Spare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f t="shared" si="1"/>
        <v>0</v>
      </c>
    </row>
    <row r="116" spans="1:12" x14ac:dyDescent="0.3">
      <c r="A116">
        <f>مرتبات!A116</f>
        <v>0</v>
      </c>
      <c r="B116" t="str">
        <f>مرتبات!B116</f>
        <v>Spare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f t="shared" si="1"/>
        <v>0</v>
      </c>
    </row>
    <row r="117" spans="1:12" x14ac:dyDescent="0.3">
      <c r="A117">
        <f>مرتبات!A117</f>
        <v>0</v>
      </c>
      <c r="B117" t="str">
        <f>مرتبات!B117</f>
        <v>Spare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f t="shared" si="1"/>
        <v>0</v>
      </c>
    </row>
    <row r="118" spans="1:12" x14ac:dyDescent="0.3">
      <c r="A118">
        <v>7</v>
      </c>
      <c r="B118" t="s">
        <v>97</v>
      </c>
      <c r="C118">
        <f>SUM(C4:C17)+SUM(C19:C55)+SUM(C57:C100)+SUM(C102:C117)</f>
        <v>0</v>
      </c>
      <c r="D118">
        <f t="shared" ref="D118:K118" si="2">SUM(D4:D17)+SUM(D19:D55)+SUM(D57:D100)+SUM(D102:D117)</f>
        <v>0</v>
      </c>
      <c r="E118">
        <f t="shared" si="2"/>
        <v>0</v>
      </c>
      <c r="F118">
        <f t="shared" si="2"/>
        <v>0</v>
      </c>
      <c r="G118">
        <f t="shared" si="2"/>
        <v>0</v>
      </c>
      <c r="H118">
        <f>SUM(H4:H17)+SUM(H19:H55)+SUM(H57:H100)+SUM(H102:H117)</f>
        <v>0</v>
      </c>
      <c r="I118">
        <f t="shared" si="2"/>
        <v>0</v>
      </c>
      <c r="J118">
        <f t="shared" si="2"/>
        <v>0</v>
      </c>
      <c r="K118">
        <f t="shared" si="2"/>
        <v>0</v>
      </c>
      <c r="L118">
        <f>SUM(C118:K118)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583E-9838-4135-9A24-645F7BBCEA54}">
  <dimension ref="A1:H20"/>
  <sheetViews>
    <sheetView rightToLeft="1" zoomScaleNormal="100" workbookViewId="0">
      <selection activeCell="L9" sqref="L9"/>
    </sheetView>
  </sheetViews>
  <sheetFormatPr defaultRowHeight="14.4" x14ac:dyDescent="0.3"/>
  <cols>
    <col min="1" max="1" width="2.88671875" customWidth="1"/>
    <col min="2" max="2" width="3.21875" customWidth="1"/>
    <col min="3" max="3" width="24.109375" customWidth="1"/>
    <col min="4" max="4" width="19.77734375" customWidth="1"/>
    <col min="5" max="5" width="26" customWidth="1"/>
    <col min="6" max="6" width="25.88671875" customWidth="1"/>
    <col min="7" max="7" width="3.21875" customWidth="1"/>
  </cols>
  <sheetData>
    <row r="1" spans="1:8" ht="15" thickBot="1" x14ac:dyDescent="0.35">
      <c r="A1" s="20"/>
      <c r="B1" s="20"/>
      <c r="C1" s="20"/>
      <c r="D1" s="20"/>
      <c r="E1" s="20"/>
      <c r="F1" s="20"/>
      <c r="G1" s="20"/>
      <c r="H1" s="8"/>
    </row>
    <row r="2" spans="1:8" x14ac:dyDescent="0.3">
      <c r="A2" s="20"/>
      <c r="B2" s="21"/>
      <c r="C2" s="22"/>
      <c r="D2" s="22"/>
      <c r="E2" s="22"/>
      <c r="F2" s="23"/>
      <c r="G2" s="24"/>
      <c r="H2" s="8"/>
    </row>
    <row r="3" spans="1:8" ht="33" customHeight="1" thickBot="1" x14ac:dyDescent="0.35">
      <c r="A3" s="20"/>
      <c r="B3" s="25"/>
      <c r="C3" s="52"/>
      <c r="D3" s="53"/>
      <c r="E3" s="53"/>
      <c r="F3" s="54"/>
      <c r="G3" s="26"/>
      <c r="H3" s="8" t="s">
        <v>98</v>
      </c>
    </row>
    <row r="4" spans="1:8" ht="18.600000000000001" thickTop="1" thickBot="1" x14ac:dyDescent="0.35">
      <c r="A4" s="20"/>
      <c r="B4" s="25"/>
      <c r="C4" s="27" t="s">
        <v>99</v>
      </c>
      <c r="D4" s="9" t="str">
        <f>INDEX(مرتبات!B1:B1066,H4,1)</f>
        <v>أ/محمد عبدالجواد محمد</v>
      </c>
      <c r="E4" s="27" t="s">
        <v>1</v>
      </c>
      <c r="F4" s="10">
        <f>مرتبات!D2</f>
        <v>45992</v>
      </c>
      <c r="G4" s="26"/>
      <c r="H4" s="8">
        <v>81</v>
      </c>
    </row>
    <row r="5" spans="1:8" ht="15.6" thickTop="1" thickBot="1" x14ac:dyDescent="0.35">
      <c r="A5" s="20"/>
      <c r="B5" s="25"/>
      <c r="C5" s="11" t="s">
        <v>100</v>
      </c>
      <c r="D5" s="55">
        <f>SUM((INDEX(مرتبات!D1:D1066,H4,1)),VALUE((INDEX(مرتبات!G1:G1066,H4,1))))</f>
        <v>0</v>
      </c>
      <c r="E5" s="56"/>
      <c r="F5" s="57"/>
      <c r="G5" s="26"/>
      <c r="H5" s="8"/>
    </row>
    <row r="6" spans="1:8" ht="15" thickTop="1" x14ac:dyDescent="0.3">
      <c r="A6" s="20"/>
      <c r="B6" s="25"/>
      <c r="C6" s="58" t="s">
        <v>101</v>
      </c>
      <c r="D6" s="59"/>
      <c r="E6" s="58" t="s">
        <v>102</v>
      </c>
      <c r="F6" s="59"/>
      <c r="G6" s="26"/>
      <c r="H6" s="8"/>
    </row>
    <row r="7" spans="1:8" x14ac:dyDescent="0.3">
      <c r="A7" s="20"/>
      <c r="B7" s="25"/>
      <c r="C7" s="11" t="s">
        <v>103</v>
      </c>
      <c r="D7" s="28">
        <f>INDEX(اضافات!C1:C1069,H4,1)</f>
        <v>0</v>
      </c>
      <c r="E7" s="11" t="s">
        <v>104</v>
      </c>
      <c r="F7" s="29">
        <f>INDEX(خصومات!C1:C1069,H4,1)</f>
        <v>0</v>
      </c>
      <c r="G7" s="26"/>
      <c r="H7" s="8"/>
    </row>
    <row r="8" spans="1:8" x14ac:dyDescent="0.3">
      <c r="A8" s="20"/>
      <c r="B8" s="25"/>
      <c r="C8" s="13" t="s">
        <v>105</v>
      </c>
      <c r="D8" s="28">
        <f>INDEX(اضافات!D1:D1069,H4,1)</f>
        <v>0</v>
      </c>
      <c r="E8" s="13" t="s">
        <v>106</v>
      </c>
      <c r="F8" s="29">
        <f>INDEX(خصومات!E1:E1070,H4,1)</f>
        <v>0</v>
      </c>
      <c r="G8" s="26"/>
      <c r="H8" s="8"/>
    </row>
    <row r="9" spans="1:8" x14ac:dyDescent="0.3">
      <c r="A9" s="20"/>
      <c r="B9" s="25"/>
      <c r="C9" s="14" t="s">
        <v>107</v>
      </c>
      <c r="D9" s="28">
        <f>INDEX(اضافات!E1:E1069,H4,1)</f>
        <v>0</v>
      </c>
      <c r="E9" s="14" t="s">
        <v>108</v>
      </c>
      <c r="F9" s="29">
        <f>INDEX(خصومات!F1:F1071,H4,1)</f>
        <v>0</v>
      </c>
      <c r="G9" s="26"/>
      <c r="H9" s="8"/>
    </row>
    <row r="10" spans="1:8" x14ac:dyDescent="0.3">
      <c r="A10" s="20"/>
      <c r="B10" s="25"/>
      <c r="C10" s="14" t="s">
        <v>109</v>
      </c>
      <c r="D10" s="28">
        <f>INDEX(اضافات!L1:L1069,H4,1)</f>
        <v>0</v>
      </c>
      <c r="E10" s="14" t="s">
        <v>110</v>
      </c>
      <c r="F10" s="29">
        <f>INDEX(خصومات!I1:I1072,H4,1)</f>
        <v>0</v>
      </c>
      <c r="G10" s="26"/>
      <c r="H10" s="8"/>
    </row>
    <row r="11" spans="1:8" x14ac:dyDescent="0.3">
      <c r="A11" s="20"/>
      <c r="B11" s="25"/>
      <c r="C11" s="14" t="s">
        <v>111</v>
      </c>
      <c r="D11" s="28">
        <f>INDEX(اضافات!J1:J1069,H4,1)</f>
        <v>0</v>
      </c>
      <c r="E11" s="14" t="s">
        <v>112</v>
      </c>
      <c r="F11" s="29">
        <f>INDEX(خصومات!H1:H1073,H4,1)</f>
        <v>0</v>
      </c>
      <c r="G11" s="26"/>
      <c r="H11" s="8"/>
    </row>
    <row r="12" spans="1:8" x14ac:dyDescent="0.3">
      <c r="A12" s="20"/>
      <c r="B12" s="25"/>
      <c r="C12" s="14" t="s">
        <v>113</v>
      </c>
      <c r="D12" s="28">
        <f>INDEX(اضافات!I1:I1069,H4,1)</f>
        <v>0</v>
      </c>
      <c r="E12" s="14" t="s">
        <v>114</v>
      </c>
      <c r="F12" s="29">
        <f>INDEX(خصومات!D1:D1074,H4,1)</f>
        <v>0</v>
      </c>
      <c r="G12" s="26"/>
      <c r="H12" s="8"/>
    </row>
    <row r="13" spans="1:8" x14ac:dyDescent="0.3">
      <c r="A13" s="20"/>
      <c r="B13" s="25"/>
      <c r="C13" s="14" t="s">
        <v>115</v>
      </c>
      <c r="D13" s="28">
        <f>INDEX(اضافات!K1:K1069,H4,1)</f>
        <v>0</v>
      </c>
      <c r="E13" s="14" t="s">
        <v>116</v>
      </c>
      <c r="F13" s="29">
        <f>INDEX(خصومات!G1:G1075,H4,1)</f>
        <v>0</v>
      </c>
      <c r="G13" s="26"/>
      <c r="H13" s="8"/>
    </row>
    <row r="14" spans="1:8" x14ac:dyDescent="0.3">
      <c r="A14" s="20"/>
      <c r="B14" s="25"/>
      <c r="C14" s="14"/>
      <c r="D14" s="14"/>
      <c r="E14" s="14" t="s">
        <v>117</v>
      </c>
      <c r="F14" s="29">
        <f>INDEX(خصومات!J1:J1076,H4,1)</f>
        <v>0</v>
      </c>
      <c r="G14" s="26"/>
      <c r="H14" s="8"/>
    </row>
    <row r="15" spans="1:8" ht="15" thickBot="1" x14ac:dyDescent="0.35">
      <c r="A15" s="20"/>
      <c r="B15" s="25"/>
      <c r="C15" s="14"/>
      <c r="D15" s="14"/>
      <c r="E15" s="14" t="s">
        <v>118</v>
      </c>
      <c r="F15" s="29">
        <f>INDEX(خصومات!K1:K1077,H4,1)</f>
        <v>0</v>
      </c>
      <c r="G15" s="26"/>
      <c r="H15" s="8"/>
    </row>
    <row r="16" spans="1:8" ht="15.6" thickTop="1" thickBot="1" x14ac:dyDescent="0.35">
      <c r="A16" s="20"/>
      <c r="B16" s="25"/>
      <c r="C16" s="15" t="s">
        <v>119</v>
      </c>
      <c r="D16" s="55">
        <f>D5+D7+D8+D9+D10+D11+D12+D13</f>
        <v>0</v>
      </c>
      <c r="E16" s="56"/>
      <c r="F16" s="57"/>
      <c r="G16" s="26"/>
      <c r="H16" s="8"/>
    </row>
    <row r="17" spans="1:8" ht="15.6" thickTop="1" thickBot="1" x14ac:dyDescent="0.35">
      <c r="A17" s="20"/>
      <c r="B17" s="25"/>
      <c r="C17" s="16" t="s">
        <v>120</v>
      </c>
      <c r="D17" s="55">
        <f>SUM(D7:D15)</f>
        <v>0</v>
      </c>
      <c r="E17" s="56"/>
      <c r="F17" s="57"/>
      <c r="G17" s="26"/>
      <c r="H17" s="8"/>
    </row>
    <row r="18" spans="1:8" ht="15.6" thickTop="1" thickBot="1" x14ac:dyDescent="0.35">
      <c r="A18" s="20"/>
      <c r="B18" s="25"/>
      <c r="C18" s="15" t="s">
        <v>121</v>
      </c>
      <c r="D18" s="46">
        <f>(SUM(F7:F15))</f>
        <v>0</v>
      </c>
      <c r="E18" s="47"/>
      <c r="F18" s="48"/>
      <c r="G18" s="26"/>
      <c r="H18" s="8"/>
    </row>
    <row r="19" spans="1:8" ht="15.6" thickTop="1" thickBot="1" x14ac:dyDescent="0.35">
      <c r="A19" s="20"/>
      <c r="B19" s="25"/>
      <c r="C19" s="15" t="s">
        <v>122</v>
      </c>
      <c r="D19" s="49">
        <f>D16-D17-D18</f>
        <v>0</v>
      </c>
      <c r="E19" s="50"/>
      <c r="F19" s="51"/>
      <c r="G19" s="26"/>
      <c r="H19" s="8"/>
    </row>
    <row r="20" spans="1:8" ht="15.6" thickTop="1" thickBot="1" x14ac:dyDescent="0.35">
      <c r="A20" s="20"/>
      <c r="B20" s="30"/>
      <c r="C20" s="31"/>
      <c r="D20" s="31"/>
      <c r="E20" s="31"/>
      <c r="F20" s="31"/>
      <c r="G20" s="32"/>
      <c r="H20" s="8"/>
    </row>
  </sheetData>
  <mergeCells count="8">
    <mergeCell ref="D18:F18"/>
    <mergeCell ref="D19:F19"/>
    <mergeCell ref="C3:F3"/>
    <mergeCell ref="D5:F5"/>
    <mergeCell ref="C6:D6"/>
    <mergeCell ref="E6:F6"/>
    <mergeCell ref="D16:F16"/>
    <mergeCell ref="D17:F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7A77E-71B7-4381-AEAC-DE9853371E1D}">
  <dimension ref="B1:H20"/>
  <sheetViews>
    <sheetView workbookViewId="0">
      <selection activeCell="C3" sqref="C3:F3"/>
    </sheetView>
  </sheetViews>
  <sheetFormatPr defaultRowHeight="14.4" x14ac:dyDescent="0.3"/>
  <cols>
    <col min="1" max="1" width="2.88671875" customWidth="1"/>
    <col min="2" max="2" width="3.21875" customWidth="1"/>
    <col min="3" max="3" width="24.109375" customWidth="1"/>
    <col min="4" max="4" width="19.77734375" customWidth="1"/>
    <col min="5" max="5" width="26" customWidth="1"/>
    <col min="6" max="6" width="25.88671875" customWidth="1"/>
    <col min="7" max="7" width="3.21875" customWidth="1"/>
  </cols>
  <sheetData>
    <row r="1" spans="2:8" ht="13.8" customHeight="1" thickBot="1" x14ac:dyDescent="0.35">
      <c r="H1" s="2"/>
    </row>
    <row r="2" spans="2:8" ht="13.2" customHeight="1" x14ac:dyDescent="0.3">
      <c r="B2" s="3"/>
      <c r="C2" s="4"/>
      <c r="D2" s="4"/>
      <c r="E2" s="4"/>
      <c r="F2" s="4"/>
      <c r="G2" s="5"/>
      <c r="H2" s="2"/>
    </row>
    <row r="3" spans="2:8" ht="33" customHeight="1" thickBot="1" x14ac:dyDescent="0.35">
      <c r="B3" s="6"/>
      <c r="C3" s="52"/>
      <c r="D3" s="53"/>
      <c r="E3" s="53"/>
      <c r="F3" s="54"/>
      <c r="G3" s="7"/>
      <c r="H3" s="8" t="s">
        <v>98</v>
      </c>
    </row>
    <row r="4" spans="2:8" ht="16.8" thickTop="1" thickBot="1" x14ac:dyDescent="0.35">
      <c r="B4" s="6"/>
      <c r="C4" s="33" t="s">
        <v>123</v>
      </c>
      <c r="D4" s="34" t="str">
        <f>INDEX(مرتبات!B1:B1066,H4,1)</f>
        <v>أ/ناجى رمضان أمين محمد</v>
      </c>
      <c r="E4" s="33" t="s">
        <v>124</v>
      </c>
      <c r="F4" s="34">
        <f>مرتبات!D2</f>
        <v>45992</v>
      </c>
      <c r="G4" s="7"/>
      <c r="H4" s="2">
        <v>19</v>
      </c>
    </row>
    <row r="5" spans="2:8" ht="15.6" thickTop="1" thickBot="1" x14ac:dyDescent="0.35">
      <c r="B5" s="6"/>
      <c r="C5" s="35" t="s">
        <v>125</v>
      </c>
      <c r="D5" s="60">
        <f>SUM((INDEX(مرتبات!D1:D1066,H4,1)),VALUE((INDEX(مرتبات!G1:G1066,H4,1))))</f>
        <v>0</v>
      </c>
      <c r="E5" s="61"/>
      <c r="F5" s="62"/>
      <c r="G5" s="7"/>
      <c r="H5" s="2"/>
    </row>
    <row r="6" spans="2:8" ht="15" thickTop="1" x14ac:dyDescent="0.3">
      <c r="B6" s="6"/>
      <c r="C6" s="63" t="s">
        <v>126</v>
      </c>
      <c r="D6" s="64"/>
      <c r="E6" s="58" t="s">
        <v>127</v>
      </c>
      <c r="F6" s="59"/>
      <c r="G6" s="7"/>
      <c r="H6" s="2"/>
    </row>
    <row r="7" spans="2:8" x14ac:dyDescent="0.3">
      <c r="B7" s="6"/>
      <c r="C7" s="36" t="s">
        <v>128</v>
      </c>
      <c r="D7" s="12">
        <f>INDEX(اضافات!C1:C1069,H4,1)</f>
        <v>0</v>
      </c>
      <c r="E7" s="36" t="s">
        <v>129</v>
      </c>
      <c r="F7" s="37">
        <f>INDEX(خصومات!C1:C1069,H4,1)</f>
        <v>0</v>
      </c>
      <c r="G7" s="7"/>
      <c r="H7" s="2"/>
    </row>
    <row r="8" spans="2:8" x14ac:dyDescent="0.3">
      <c r="B8" s="6"/>
      <c r="C8" s="38" t="s">
        <v>130</v>
      </c>
      <c r="D8" s="12">
        <f>INDEX(اضافات!D1:D1069,H4,1)</f>
        <v>0</v>
      </c>
      <c r="E8" s="38" t="s">
        <v>131</v>
      </c>
      <c r="F8" s="37">
        <f>INDEX(خصومات!E1:E1070,H4,1)</f>
        <v>0</v>
      </c>
      <c r="G8" s="7"/>
      <c r="H8" s="2"/>
    </row>
    <row r="9" spans="2:8" x14ac:dyDescent="0.3">
      <c r="B9" s="6"/>
      <c r="C9" s="39" t="s">
        <v>132</v>
      </c>
      <c r="D9" s="12">
        <f>INDEX(اضافات!E1:E1069,H4,1)</f>
        <v>0</v>
      </c>
      <c r="E9" s="39" t="s">
        <v>133</v>
      </c>
      <c r="F9" s="37">
        <f>INDEX(خصومات!F1:F1071,H4,1)</f>
        <v>0</v>
      </c>
      <c r="G9" s="7"/>
      <c r="H9" s="2"/>
    </row>
    <row r="10" spans="2:8" x14ac:dyDescent="0.3">
      <c r="B10" s="6"/>
      <c r="C10" s="39" t="s">
        <v>134</v>
      </c>
      <c r="D10" s="12">
        <f>INDEX(اضافات!L1:L1069,H4,1)</f>
        <v>0</v>
      </c>
      <c r="E10" s="39" t="s">
        <v>135</v>
      </c>
      <c r="F10" s="37">
        <f>INDEX(خصومات!I1:I1072,H4,1)</f>
        <v>0</v>
      </c>
      <c r="G10" s="7"/>
      <c r="H10" s="2"/>
    </row>
    <row r="11" spans="2:8" x14ac:dyDescent="0.3">
      <c r="B11" s="6"/>
      <c r="C11" s="39" t="s">
        <v>136</v>
      </c>
      <c r="D11" s="12">
        <f>INDEX(اضافات!J1:J1069,H4,1)</f>
        <v>0</v>
      </c>
      <c r="E11" s="39" t="s">
        <v>137</v>
      </c>
      <c r="F11" s="37">
        <f>INDEX(خصومات!H1:H1073,H4,1)</f>
        <v>0</v>
      </c>
      <c r="G11" s="7"/>
      <c r="H11" s="2"/>
    </row>
    <row r="12" spans="2:8" x14ac:dyDescent="0.3">
      <c r="B12" s="6"/>
      <c r="C12" s="39" t="s">
        <v>138</v>
      </c>
      <c r="D12" s="12">
        <f>INDEX(اضافات!I1:I1069,H4,1)</f>
        <v>0</v>
      </c>
      <c r="E12" s="39" t="s">
        <v>139</v>
      </c>
      <c r="F12" s="37">
        <f>INDEX(خصومات!D1:D1074,H4,1)</f>
        <v>0</v>
      </c>
      <c r="G12" s="7"/>
      <c r="H12" s="2"/>
    </row>
    <row r="13" spans="2:8" x14ac:dyDescent="0.3">
      <c r="B13" s="6"/>
      <c r="C13" s="39" t="s">
        <v>140</v>
      </c>
      <c r="D13" s="12">
        <f>INDEX(اضافات!K1:K1069,H4,1)</f>
        <v>0</v>
      </c>
      <c r="E13" s="39" t="s">
        <v>141</v>
      </c>
      <c r="F13" s="37">
        <f>INDEX(خصومات!G1:G1075,H4,1)</f>
        <v>0</v>
      </c>
      <c r="G13" s="7"/>
      <c r="H13" s="2"/>
    </row>
    <row r="14" spans="2:8" x14ac:dyDescent="0.3">
      <c r="B14" s="6"/>
      <c r="C14" s="14"/>
      <c r="D14" s="14"/>
      <c r="E14" s="39" t="s">
        <v>142</v>
      </c>
      <c r="F14" s="37">
        <f>INDEX(خصومات!J1:J1076,H4,1)</f>
        <v>0</v>
      </c>
      <c r="G14" s="7"/>
      <c r="H14" s="2"/>
    </row>
    <row r="15" spans="2:8" ht="15" thickBot="1" x14ac:dyDescent="0.35">
      <c r="B15" s="6"/>
      <c r="C15" s="14"/>
      <c r="D15" s="14"/>
      <c r="E15" s="39" t="s">
        <v>143</v>
      </c>
      <c r="F15" s="37">
        <f>INDEX(خصومات!K1:K1077,H4,1)</f>
        <v>0</v>
      </c>
      <c r="G15" s="7"/>
      <c r="H15" s="2"/>
    </row>
    <row r="16" spans="2:8" ht="15.6" thickTop="1" thickBot="1" x14ac:dyDescent="0.35">
      <c r="B16" s="6"/>
      <c r="C16" s="40" t="s">
        <v>144</v>
      </c>
      <c r="D16" s="60">
        <f>D5+D7+D8+D9+D10+D11+D12+D13</f>
        <v>0</v>
      </c>
      <c r="E16" s="61"/>
      <c r="F16" s="62"/>
      <c r="G16" s="7"/>
      <c r="H16" s="2"/>
    </row>
    <row r="17" spans="2:8" ht="15.6" thickTop="1" thickBot="1" x14ac:dyDescent="0.35">
      <c r="B17" s="6"/>
      <c r="C17" s="41" t="s">
        <v>145</v>
      </c>
      <c r="D17" s="46">
        <f>SUM(D7:D15)</f>
        <v>0</v>
      </c>
      <c r="E17" s="47"/>
      <c r="F17" s="48"/>
      <c r="G17" s="7"/>
      <c r="H17" s="2"/>
    </row>
    <row r="18" spans="2:8" ht="15.6" thickTop="1" thickBot="1" x14ac:dyDescent="0.35">
      <c r="B18" s="6"/>
      <c r="C18" s="42" t="s">
        <v>127</v>
      </c>
      <c r="D18" s="46">
        <f>(SUM(F7:F15))</f>
        <v>0</v>
      </c>
      <c r="E18" s="47"/>
      <c r="F18" s="48"/>
      <c r="G18" s="7"/>
      <c r="H18" s="2"/>
    </row>
    <row r="19" spans="2:8" ht="15.6" thickTop="1" thickBot="1" x14ac:dyDescent="0.35">
      <c r="B19" s="6"/>
      <c r="C19" s="42" t="s">
        <v>146</v>
      </c>
      <c r="D19" s="49">
        <f>D16-D17-D18</f>
        <v>0</v>
      </c>
      <c r="E19" s="50"/>
      <c r="F19" s="51"/>
      <c r="G19" s="7"/>
      <c r="H19" s="2"/>
    </row>
    <row r="20" spans="2:8" ht="15.6" thickTop="1" thickBot="1" x14ac:dyDescent="0.35">
      <c r="B20" s="17"/>
      <c r="C20" s="18"/>
      <c r="D20" s="18"/>
      <c r="E20" s="18"/>
      <c r="F20" s="18"/>
      <c r="G20" s="19"/>
      <c r="H20" s="2"/>
    </row>
  </sheetData>
  <mergeCells count="8">
    <mergeCell ref="D18:F18"/>
    <mergeCell ref="D19:F19"/>
    <mergeCell ref="C3:F3"/>
    <mergeCell ref="D5:F5"/>
    <mergeCell ref="C6:D6"/>
    <mergeCell ref="E6:F6"/>
    <mergeCell ref="D16:F16"/>
    <mergeCell ref="D17:F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مرتبات</vt:lpstr>
      <vt:lpstr>اضافات</vt:lpstr>
      <vt:lpstr>خصومات</vt:lpstr>
      <vt:lpstr>Pay Clip (AR)</vt:lpstr>
      <vt:lpstr>Pay Clip (EN)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Helmy</dc:creator>
  <cp:lastModifiedBy>Khaled Helmy</cp:lastModifiedBy>
  <dcterms:created xsi:type="dcterms:W3CDTF">2015-06-05T18:17:20Z</dcterms:created>
  <dcterms:modified xsi:type="dcterms:W3CDTF">2025-12-29T13:57:12Z</dcterms:modified>
</cp:coreProperties>
</file>