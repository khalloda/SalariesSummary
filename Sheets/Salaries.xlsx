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Claude\SalariesSummary\Sheets\"/>
    </mc:Choice>
  </mc:AlternateContent>
  <xr:revisionPtr revIDLastSave="0" documentId="13_ncr:1_{C068724F-830D-467D-B7E0-158BC0E486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مرتبات" sheetId="1" r:id="rId1"/>
    <sheet name="اضافات" sheetId="2" r:id="rId2"/>
    <sheet name="خصومات" sheetId="3" r:id="rId3"/>
    <sheet name="Pay Clip (AR)" sheetId="4" r:id="rId4"/>
    <sheet name="Pay Clip (EN)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7" i="1" l="1"/>
  <c r="H117" i="1"/>
  <c r="G117" i="1"/>
  <c r="K117" i="1" s="1"/>
  <c r="F117" i="1"/>
  <c r="E117" i="1"/>
  <c r="J117" i="1" s="1"/>
  <c r="I116" i="1"/>
  <c r="H116" i="1"/>
  <c r="G116" i="1"/>
  <c r="K116" i="1" s="1"/>
  <c r="F116" i="1"/>
  <c r="E116" i="1"/>
  <c r="J116" i="1" s="1"/>
  <c r="I115" i="1"/>
  <c r="H115" i="1"/>
  <c r="G115" i="1"/>
  <c r="K115" i="1" s="1"/>
  <c r="F115" i="1"/>
  <c r="E115" i="1"/>
  <c r="J115" i="1" s="1"/>
  <c r="K114" i="1"/>
  <c r="I114" i="1"/>
  <c r="H114" i="1"/>
  <c r="G114" i="1"/>
  <c r="F114" i="1"/>
  <c r="J114" i="1" s="1"/>
  <c r="E114" i="1"/>
  <c r="K113" i="1"/>
  <c r="I113" i="1"/>
  <c r="H113" i="1"/>
  <c r="G113" i="1"/>
  <c r="F113" i="1"/>
  <c r="J113" i="1" s="1"/>
  <c r="E113" i="1"/>
  <c r="I112" i="1"/>
  <c r="K112" i="1" s="1"/>
  <c r="H112" i="1"/>
  <c r="G112" i="1"/>
  <c r="F112" i="1"/>
  <c r="J112" i="1" s="1"/>
  <c r="E112" i="1"/>
  <c r="I111" i="1"/>
  <c r="H111" i="1"/>
  <c r="K111" i="1" s="1"/>
  <c r="G111" i="1"/>
  <c r="F111" i="1"/>
  <c r="E111" i="1"/>
  <c r="J111" i="1" s="1"/>
  <c r="K110" i="1"/>
  <c r="I110" i="1"/>
  <c r="H110" i="1"/>
  <c r="G110" i="1"/>
  <c r="F110" i="1"/>
  <c r="E110" i="1"/>
  <c r="J110" i="1" s="1"/>
  <c r="I109" i="1"/>
  <c r="H109" i="1"/>
  <c r="G109" i="1"/>
  <c r="K109" i="1" s="1"/>
  <c r="F109" i="1"/>
  <c r="E109" i="1"/>
  <c r="J109" i="1" s="1"/>
  <c r="I108" i="1"/>
  <c r="K108" i="1" s="1"/>
  <c r="H108" i="1"/>
  <c r="G108" i="1"/>
  <c r="F108" i="1"/>
  <c r="E108" i="1"/>
  <c r="J108" i="1" s="1"/>
  <c r="I107" i="1"/>
  <c r="H107" i="1"/>
  <c r="G107" i="1"/>
  <c r="K107" i="1" s="1"/>
  <c r="F107" i="1"/>
  <c r="E107" i="1"/>
  <c r="J107" i="1" s="1"/>
  <c r="I106" i="1"/>
  <c r="H106" i="1"/>
  <c r="G106" i="1"/>
  <c r="K106" i="1" s="1"/>
  <c r="F106" i="1"/>
  <c r="E106" i="1"/>
  <c r="J106" i="1" s="1"/>
  <c r="J105" i="1"/>
  <c r="I105" i="1"/>
  <c r="H105" i="1"/>
  <c r="G105" i="1"/>
  <c r="K105" i="1" s="1"/>
  <c r="F105" i="1"/>
  <c r="E105" i="1"/>
  <c r="I104" i="1"/>
  <c r="H104" i="1"/>
  <c r="G104" i="1"/>
  <c r="K104" i="1" s="1"/>
  <c r="F104" i="1"/>
  <c r="E104" i="1"/>
  <c r="J104" i="1" s="1"/>
  <c r="I103" i="1"/>
  <c r="H103" i="1"/>
  <c r="G103" i="1"/>
  <c r="K103" i="1" s="1"/>
  <c r="F103" i="1"/>
  <c r="E103" i="1"/>
  <c r="J103" i="1" s="1"/>
  <c r="I102" i="1"/>
  <c r="I118" i="1" s="1"/>
  <c r="H102" i="1"/>
  <c r="H118" i="1" s="1"/>
  <c r="G102" i="1"/>
  <c r="K102" i="1" s="1"/>
  <c r="F102" i="1"/>
  <c r="F118" i="1" s="1"/>
  <c r="E102" i="1"/>
  <c r="J102" i="1" s="1"/>
  <c r="I100" i="1"/>
  <c r="H100" i="1"/>
  <c r="G100" i="1"/>
  <c r="K100" i="1" s="1"/>
  <c r="F100" i="1"/>
  <c r="E100" i="1"/>
  <c r="J100" i="1" s="1"/>
  <c r="I99" i="1"/>
  <c r="K99" i="1" s="1"/>
  <c r="H99" i="1"/>
  <c r="G99" i="1"/>
  <c r="F99" i="1"/>
  <c r="E99" i="1"/>
  <c r="J99" i="1" s="1"/>
  <c r="I98" i="1"/>
  <c r="H98" i="1"/>
  <c r="G98" i="1"/>
  <c r="K98" i="1" s="1"/>
  <c r="F98" i="1"/>
  <c r="E98" i="1"/>
  <c r="J98" i="1" s="1"/>
  <c r="I97" i="1"/>
  <c r="H97" i="1"/>
  <c r="G97" i="1"/>
  <c r="K97" i="1" s="1"/>
  <c r="F97" i="1"/>
  <c r="E97" i="1"/>
  <c r="J97" i="1" s="1"/>
  <c r="J96" i="1"/>
  <c r="I96" i="1"/>
  <c r="H96" i="1"/>
  <c r="G96" i="1"/>
  <c r="K96" i="1" s="1"/>
  <c r="F96" i="1"/>
  <c r="E96" i="1"/>
  <c r="I95" i="1"/>
  <c r="H95" i="1"/>
  <c r="G95" i="1"/>
  <c r="K95" i="1" s="1"/>
  <c r="F95" i="1"/>
  <c r="E95" i="1"/>
  <c r="J95" i="1" s="1"/>
  <c r="I94" i="1"/>
  <c r="H94" i="1"/>
  <c r="G94" i="1"/>
  <c r="K94" i="1" s="1"/>
  <c r="F94" i="1"/>
  <c r="E94" i="1"/>
  <c r="J94" i="1" s="1"/>
  <c r="I93" i="1"/>
  <c r="H93" i="1"/>
  <c r="G93" i="1"/>
  <c r="K93" i="1" s="1"/>
  <c r="F93" i="1"/>
  <c r="E93" i="1"/>
  <c r="J93" i="1" s="1"/>
  <c r="I92" i="1"/>
  <c r="H92" i="1"/>
  <c r="G92" i="1"/>
  <c r="K92" i="1" s="1"/>
  <c r="F92" i="1"/>
  <c r="J92" i="1" s="1"/>
  <c r="E92" i="1"/>
  <c r="I91" i="1"/>
  <c r="H91" i="1"/>
  <c r="K91" i="1" s="1"/>
  <c r="G91" i="1"/>
  <c r="F91" i="1"/>
  <c r="E91" i="1"/>
  <c r="J91" i="1" s="1"/>
  <c r="J90" i="1"/>
  <c r="I90" i="1"/>
  <c r="H90" i="1"/>
  <c r="K90" i="1" s="1"/>
  <c r="G90" i="1"/>
  <c r="F90" i="1"/>
  <c r="E90" i="1"/>
  <c r="K89" i="1"/>
  <c r="I89" i="1"/>
  <c r="H89" i="1"/>
  <c r="G89" i="1"/>
  <c r="F89" i="1"/>
  <c r="J89" i="1" s="1"/>
  <c r="E89" i="1"/>
  <c r="I88" i="1"/>
  <c r="H88" i="1"/>
  <c r="K88" i="1" s="1"/>
  <c r="G88" i="1"/>
  <c r="F88" i="1"/>
  <c r="J88" i="1" s="1"/>
  <c r="E88" i="1"/>
  <c r="J87" i="1"/>
  <c r="I87" i="1"/>
  <c r="H87" i="1"/>
  <c r="K87" i="1" s="1"/>
  <c r="G87" i="1"/>
  <c r="F87" i="1"/>
  <c r="E87" i="1"/>
  <c r="I86" i="1"/>
  <c r="H86" i="1"/>
  <c r="K86" i="1" s="1"/>
  <c r="G86" i="1"/>
  <c r="F86" i="1"/>
  <c r="E86" i="1"/>
  <c r="J86" i="1" s="1"/>
  <c r="I85" i="1"/>
  <c r="H85" i="1"/>
  <c r="G85" i="1"/>
  <c r="K85" i="1" s="1"/>
  <c r="F85" i="1"/>
  <c r="E85" i="1"/>
  <c r="J85" i="1" s="1"/>
  <c r="I84" i="1"/>
  <c r="H84" i="1"/>
  <c r="G84" i="1"/>
  <c r="K84" i="1" s="1"/>
  <c r="F84" i="1"/>
  <c r="E84" i="1"/>
  <c r="J84" i="1" s="1"/>
  <c r="K83" i="1"/>
  <c r="I83" i="1"/>
  <c r="H83" i="1"/>
  <c r="G83" i="1"/>
  <c r="F83" i="1"/>
  <c r="E83" i="1"/>
  <c r="J83" i="1" s="1"/>
  <c r="I82" i="1"/>
  <c r="H82" i="1"/>
  <c r="G82" i="1"/>
  <c r="K82" i="1" s="1"/>
  <c r="F82" i="1"/>
  <c r="E82" i="1"/>
  <c r="J82" i="1" s="1"/>
  <c r="I81" i="1"/>
  <c r="H81" i="1"/>
  <c r="G81" i="1"/>
  <c r="K81" i="1" s="1"/>
  <c r="F81" i="1"/>
  <c r="E81" i="1"/>
  <c r="J81" i="1" s="1"/>
  <c r="K80" i="1"/>
  <c r="J80" i="1"/>
  <c r="I80" i="1"/>
  <c r="H80" i="1"/>
  <c r="G80" i="1"/>
  <c r="F80" i="1"/>
  <c r="E80" i="1"/>
  <c r="I79" i="1"/>
  <c r="H79" i="1"/>
  <c r="G79" i="1"/>
  <c r="K79" i="1" s="1"/>
  <c r="F79" i="1"/>
  <c r="E79" i="1"/>
  <c r="J79" i="1" s="1"/>
  <c r="J78" i="1"/>
  <c r="I78" i="1"/>
  <c r="H78" i="1"/>
  <c r="G78" i="1"/>
  <c r="K78" i="1" s="1"/>
  <c r="F78" i="1"/>
  <c r="E78" i="1"/>
  <c r="I77" i="1"/>
  <c r="H77" i="1"/>
  <c r="G77" i="1"/>
  <c r="K77" i="1" s="1"/>
  <c r="F77" i="1"/>
  <c r="E77" i="1"/>
  <c r="J77" i="1" s="1"/>
  <c r="I76" i="1"/>
  <c r="H76" i="1"/>
  <c r="G76" i="1"/>
  <c r="K76" i="1" s="1"/>
  <c r="F76" i="1"/>
  <c r="J76" i="1" s="1"/>
  <c r="E76" i="1"/>
  <c r="I75" i="1"/>
  <c r="H75" i="1"/>
  <c r="K75" i="1" s="1"/>
  <c r="G75" i="1"/>
  <c r="F75" i="1"/>
  <c r="E75" i="1"/>
  <c r="J75" i="1" s="1"/>
  <c r="I74" i="1"/>
  <c r="H74" i="1"/>
  <c r="K74" i="1" s="1"/>
  <c r="G74" i="1"/>
  <c r="F74" i="1"/>
  <c r="E74" i="1"/>
  <c r="J74" i="1" s="1"/>
  <c r="K73" i="1"/>
  <c r="I73" i="1"/>
  <c r="H73" i="1"/>
  <c r="G73" i="1"/>
  <c r="F73" i="1"/>
  <c r="J73" i="1" s="1"/>
  <c r="E73" i="1"/>
  <c r="I72" i="1"/>
  <c r="H72" i="1"/>
  <c r="K72" i="1" s="1"/>
  <c r="G72" i="1"/>
  <c r="F72" i="1"/>
  <c r="J72" i="1" s="1"/>
  <c r="E72" i="1"/>
  <c r="J71" i="1"/>
  <c r="I71" i="1"/>
  <c r="K71" i="1" s="1"/>
  <c r="H71" i="1"/>
  <c r="G71" i="1"/>
  <c r="F71" i="1"/>
  <c r="E71" i="1"/>
  <c r="I70" i="1"/>
  <c r="H70" i="1"/>
  <c r="G70" i="1"/>
  <c r="K70" i="1" s="1"/>
  <c r="F70" i="1"/>
  <c r="E70" i="1"/>
  <c r="J70" i="1" s="1"/>
  <c r="I69" i="1"/>
  <c r="H69" i="1"/>
  <c r="G69" i="1"/>
  <c r="K69" i="1" s="1"/>
  <c r="F69" i="1"/>
  <c r="E69" i="1"/>
  <c r="J69" i="1" s="1"/>
  <c r="I68" i="1"/>
  <c r="H68" i="1"/>
  <c r="G68" i="1"/>
  <c r="K68" i="1" s="1"/>
  <c r="F68" i="1"/>
  <c r="E68" i="1"/>
  <c r="J68" i="1" s="1"/>
  <c r="K67" i="1"/>
  <c r="I67" i="1"/>
  <c r="H67" i="1"/>
  <c r="G67" i="1"/>
  <c r="F67" i="1"/>
  <c r="E67" i="1"/>
  <c r="J67" i="1" s="1"/>
  <c r="I66" i="1"/>
  <c r="H66" i="1"/>
  <c r="G66" i="1"/>
  <c r="K66" i="1" s="1"/>
  <c r="F66" i="1"/>
  <c r="E66" i="1"/>
  <c r="J66" i="1" s="1"/>
  <c r="I65" i="1"/>
  <c r="H65" i="1"/>
  <c r="G65" i="1"/>
  <c r="K65" i="1" s="1"/>
  <c r="F65" i="1"/>
  <c r="E65" i="1"/>
  <c r="J65" i="1" s="1"/>
  <c r="K64" i="1"/>
  <c r="J64" i="1"/>
  <c r="I64" i="1"/>
  <c r="H64" i="1"/>
  <c r="G64" i="1"/>
  <c r="F64" i="1"/>
  <c r="E64" i="1"/>
  <c r="I63" i="1"/>
  <c r="H63" i="1"/>
  <c r="G63" i="1"/>
  <c r="K63" i="1" s="1"/>
  <c r="F63" i="1"/>
  <c r="E63" i="1"/>
  <c r="J63" i="1" s="1"/>
  <c r="J62" i="1"/>
  <c r="I62" i="1"/>
  <c r="H62" i="1"/>
  <c r="G62" i="1"/>
  <c r="K62" i="1" s="1"/>
  <c r="F62" i="1"/>
  <c r="E62" i="1"/>
  <c r="I61" i="1"/>
  <c r="H61" i="1"/>
  <c r="G61" i="1"/>
  <c r="K61" i="1" s="1"/>
  <c r="F61" i="1"/>
  <c r="E61" i="1"/>
  <c r="J61" i="1" s="1"/>
  <c r="I60" i="1"/>
  <c r="H60" i="1"/>
  <c r="G60" i="1"/>
  <c r="K60" i="1" s="1"/>
  <c r="F60" i="1"/>
  <c r="J60" i="1" s="1"/>
  <c r="E60" i="1"/>
  <c r="I59" i="1"/>
  <c r="H59" i="1"/>
  <c r="K59" i="1" s="1"/>
  <c r="G59" i="1"/>
  <c r="F59" i="1"/>
  <c r="E59" i="1"/>
  <c r="J59" i="1" s="1"/>
  <c r="I58" i="1"/>
  <c r="H58" i="1"/>
  <c r="K58" i="1" s="1"/>
  <c r="G58" i="1"/>
  <c r="F58" i="1"/>
  <c r="E58" i="1"/>
  <c r="J58" i="1" s="1"/>
  <c r="K57" i="1"/>
  <c r="I57" i="1"/>
  <c r="I101" i="1" s="1"/>
  <c r="H57" i="1"/>
  <c r="H101" i="1" s="1"/>
  <c r="G57" i="1"/>
  <c r="F57" i="1"/>
  <c r="F101" i="1" s="1"/>
  <c r="E57" i="1"/>
  <c r="E101" i="1" s="1"/>
  <c r="K55" i="1"/>
  <c r="J55" i="1"/>
  <c r="I55" i="1"/>
  <c r="H55" i="1"/>
  <c r="G55" i="1"/>
  <c r="F55" i="1"/>
  <c r="E55" i="1"/>
  <c r="I54" i="1"/>
  <c r="H54" i="1"/>
  <c r="G54" i="1"/>
  <c r="K54" i="1" s="1"/>
  <c r="F54" i="1"/>
  <c r="E54" i="1"/>
  <c r="J54" i="1" s="1"/>
  <c r="J53" i="1"/>
  <c r="I53" i="1"/>
  <c r="H53" i="1"/>
  <c r="G53" i="1"/>
  <c r="K53" i="1" s="1"/>
  <c r="F53" i="1"/>
  <c r="E53" i="1"/>
  <c r="I52" i="1"/>
  <c r="H52" i="1"/>
  <c r="G52" i="1"/>
  <c r="K52" i="1" s="1"/>
  <c r="F52" i="1"/>
  <c r="E52" i="1"/>
  <c r="J52" i="1" s="1"/>
  <c r="I51" i="1"/>
  <c r="H51" i="1"/>
  <c r="G51" i="1"/>
  <c r="K51" i="1" s="1"/>
  <c r="F51" i="1"/>
  <c r="J51" i="1" s="1"/>
  <c r="E51" i="1"/>
  <c r="I50" i="1"/>
  <c r="H50" i="1"/>
  <c r="G50" i="1"/>
  <c r="K50" i="1" s="1"/>
  <c r="F50" i="1"/>
  <c r="E50" i="1"/>
  <c r="J50" i="1" s="1"/>
  <c r="I49" i="1"/>
  <c r="H49" i="1"/>
  <c r="K49" i="1" s="1"/>
  <c r="G49" i="1"/>
  <c r="F49" i="1"/>
  <c r="E49" i="1"/>
  <c r="J49" i="1" s="1"/>
  <c r="K48" i="1"/>
  <c r="I48" i="1"/>
  <c r="H48" i="1"/>
  <c r="G48" i="1"/>
  <c r="F48" i="1"/>
  <c r="J48" i="1" s="1"/>
  <c r="E48" i="1"/>
  <c r="I47" i="1"/>
  <c r="H47" i="1"/>
  <c r="K47" i="1" s="1"/>
  <c r="G47" i="1"/>
  <c r="F47" i="1"/>
  <c r="J47" i="1" s="1"/>
  <c r="E47" i="1"/>
  <c r="J46" i="1"/>
  <c r="I46" i="1"/>
  <c r="K46" i="1" s="1"/>
  <c r="H46" i="1"/>
  <c r="G46" i="1"/>
  <c r="F46" i="1"/>
  <c r="E46" i="1"/>
  <c r="I45" i="1"/>
  <c r="H45" i="1"/>
  <c r="K45" i="1" s="1"/>
  <c r="G45" i="1"/>
  <c r="F45" i="1"/>
  <c r="J45" i="1" s="1"/>
  <c r="E45" i="1"/>
  <c r="I44" i="1"/>
  <c r="H44" i="1"/>
  <c r="G44" i="1"/>
  <c r="K44" i="1" s="1"/>
  <c r="F44" i="1"/>
  <c r="E44" i="1"/>
  <c r="J44" i="1" s="1"/>
  <c r="I43" i="1"/>
  <c r="H43" i="1"/>
  <c r="G43" i="1"/>
  <c r="K43" i="1" s="1"/>
  <c r="F43" i="1"/>
  <c r="E43" i="1"/>
  <c r="J43" i="1" s="1"/>
  <c r="K42" i="1"/>
  <c r="I42" i="1"/>
  <c r="H42" i="1"/>
  <c r="G42" i="1"/>
  <c r="F42" i="1"/>
  <c r="E42" i="1"/>
  <c r="J42" i="1" s="1"/>
  <c r="I41" i="1"/>
  <c r="H41" i="1"/>
  <c r="G41" i="1"/>
  <c r="K41" i="1" s="1"/>
  <c r="F41" i="1"/>
  <c r="E41" i="1"/>
  <c r="J41" i="1" s="1"/>
  <c r="I40" i="1"/>
  <c r="H40" i="1"/>
  <c r="G40" i="1"/>
  <c r="K40" i="1" s="1"/>
  <c r="F40" i="1"/>
  <c r="E40" i="1"/>
  <c r="J40" i="1" s="1"/>
  <c r="K39" i="1"/>
  <c r="J39" i="1"/>
  <c r="I39" i="1"/>
  <c r="H39" i="1"/>
  <c r="G39" i="1"/>
  <c r="F39" i="1"/>
  <c r="E39" i="1"/>
  <c r="I38" i="1"/>
  <c r="H38" i="1"/>
  <c r="G38" i="1"/>
  <c r="K38" i="1" s="1"/>
  <c r="F38" i="1"/>
  <c r="E38" i="1"/>
  <c r="J38" i="1" s="1"/>
  <c r="J37" i="1"/>
  <c r="I37" i="1"/>
  <c r="H37" i="1"/>
  <c r="G37" i="1"/>
  <c r="K37" i="1" s="1"/>
  <c r="F37" i="1"/>
  <c r="E37" i="1"/>
  <c r="I36" i="1"/>
  <c r="H36" i="1"/>
  <c r="G36" i="1"/>
  <c r="K36" i="1" s="1"/>
  <c r="F36" i="1"/>
  <c r="E36" i="1"/>
  <c r="J36" i="1" s="1"/>
  <c r="I35" i="1"/>
  <c r="H35" i="1"/>
  <c r="G35" i="1"/>
  <c r="K35" i="1" s="1"/>
  <c r="F35" i="1"/>
  <c r="J35" i="1" s="1"/>
  <c r="E35" i="1"/>
  <c r="K34" i="1"/>
  <c r="I34" i="1"/>
  <c r="H34" i="1"/>
  <c r="G34" i="1"/>
  <c r="F34" i="1"/>
  <c r="E34" i="1"/>
  <c r="J34" i="1" s="1"/>
  <c r="I33" i="1"/>
  <c r="H33" i="1"/>
  <c r="K33" i="1" s="1"/>
  <c r="G33" i="1"/>
  <c r="F33" i="1"/>
  <c r="E33" i="1"/>
  <c r="J33" i="1" s="1"/>
  <c r="K32" i="1"/>
  <c r="I32" i="1"/>
  <c r="H32" i="1"/>
  <c r="G32" i="1"/>
  <c r="F32" i="1"/>
  <c r="J32" i="1" s="1"/>
  <c r="E32" i="1"/>
  <c r="I31" i="1"/>
  <c r="H31" i="1"/>
  <c r="K31" i="1" s="1"/>
  <c r="G31" i="1"/>
  <c r="F31" i="1"/>
  <c r="J31" i="1" s="1"/>
  <c r="E31" i="1"/>
  <c r="J30" i="1"/>
  <c r="I30" i="1"/>
  <c r="K30" i="1" s="1"/>
  <c r="H30" i="1"/>
  <c r="G30" i="1"/>
  <c r="F30" i="1"/>
  <c r="E30" i="1"/>
  <c r="I29" i="1"/>
  <c r="H29" i="1"/>
  <c r="G29" i="1"/>
  <c r="K29" i="1" s="1"/>
  <c r="F29" i="1"/>
  <c r="J29" i="1" s="1"/>
  <c r="E29" i="1"/>
  <c r="I28" i="1"/>
  <c r="H28" i="1"/>
  <c r="G28" i="1"/>
  <c r="K28" i="1" s="1"/>
  <c r="F28" i="1"/>
  <c r="E28" i="1"/>
  <c r="J28" i="1" s="1"/>
  <c r="I27" i="1"/>
  <c r="H27" i="1"/>
  <c r="G27" i="1"/>
  <c r="K27" i="1" s="1"/>
  <c r="F27" i="1"/>
  <c r="E27" i="1"/>
  <c r="J27" i="1" s="1"/>
  <c r="K26" i="1"/>
  <c r="I26" i="1"/>
  <c r="H26" i="1"/>
  <c r="G26" i="1"/>
  <c r="F26" i="1"/>
  <c r="E26" i="1"/>
  <c r="J26" i="1" s="1"/>
  <c r="I25" i="1"/>
  <c r="H25" i="1"/>
  <c r="G25" i="1"/>
  <c r="K25" i="1" s="1"/>
  <c r="F25" i="1"/>
  <c r="E25" i="1"/>
  <c r="J25" i="1" s="1"/>
  <c r="I24" i="1"/>
  <c r="H24" i="1"/>
  <c r="G24" i="1"/>
  <c r="K24" i="1" s="1"/>
  <c r="F24" i="1"/>
  <c r="E24" i="1"/>
  <c r="J24" i="1" s="1"/>
  <c r="K23" i="1"/>
  <c r="J23" i="1"/>
  <c r="I23" i="1"/>
  <c r="H23" i="1"/>
  <c r="G23" i="1"/>
  <c r="F23" i="1"/>
  <c r="E23" i="1"/>
  <c r="I22" i="1"/>
  <c r="H22" i="1"/>
  <c r="G22" i="1"/>
  <c r="K22" i="1" s="1"/>
  <c r="F22" i="1"/>
  <c r="E22" i="1"/>
  <c r="J22" i="1" s="1"/>
  <c r="J21" i="1"/>
  <c r="I21" i="1"/>
  <c r="I56" i="1" s="1"/>
  <c r="H21" i="1"/>
  <c r="G21" i="1"/>
  <c r="K21" i="1" s="1"/>
  <c r="F21" i="1"/>
  <c r="E21" i="1"/>
  <c r="I20" i="1"/>
  <c r="H20" i="1"/>
  <c r="G20" i="1"/>
  <c r="K20" i="1" s="1"/>
  <c r="F20" i="1"/>
  <c r="E20" i="1"/>
  <c r="J20" i="1" s="1"/>
  <c r="I19" i="1"/>
  <c r="H19" i="1"/>
  <c r="H56" i="1" s="1"/>
  <c r="G19" i="1"/>
  <c r="K19" i="1" s="1"/>
  <c r="F19" i="1"/>
  <c r="J19" i="1" s="1"/>
  <c r="E19" i="1"/>
  <c r="K17" i="1"/>
  <c r="I17" i="1"/>
  <c r="H17" i="1"/>
  <c r="G17" i="1"/>
  <c r="F17" i="1"/>
  <c r="E17" i="1"/>
  <c r="J17" i="1" s="1"/>
  <c r="K16" i="1"/>
  <c r="I16" i="1"/>
  <c r="H16" i="1"/>
  <c r="G16" i="1"/>
  <c r="F16" i="1"/>
  <c r="E16" i="1"/>
  <c r="J16" i="1" s="1"/>
  <c r="I15" i="1"/>
  <c r="H15" i="1"/>
  <c r="G15" i="1"/>
  <c r="K15" i="1" s="1"/>
  <c r="F15" i="1"/>
  <c r="E15" i="1"/>
  <c r="J15" i="1" s="1"/>
  <c r="K14" i="1"/>
  <c r="J14" i="1"/>
  <c r="I14" i="1"/>
  <c r="H14" i="1"/>
  <c r="G14" i="1"/>
  <c r="F14" i="1"/>
  <c r="E14" i="1"/>
  <c r="I13" i="1"/>
  <c r="H13" i="1"/>
  <c r="G13" i="1"/>
  <c r="K13" i="1" s="1"/>
  <c r="F13" i="1"/>
  <c r="E13" i="1"/>
  <c r="J13" i="1" s="1"/>
  <c r="J12" i="1"/>
  <c r="I12" i="1"/>
  <c r="H12" i="1"/>
  <c r="G12" i="1"/>
  <c r="K12" i="1" s="1"/>
  <c r="F12" i="1"/>
  <c r="E12" i="1"/>
  <c r="I11" i="1"/>
  <c r="H11" i="1"/>
  <c r="G11" i="1"/>
  <c r="K11" i="1" s="1"/>
  <c r="F11" i="1"/>
  <c r="E11" i="1"/>
  <c r="J11" i="1" s="1"/>
  <c r="I10" i="1"/>
  <c r="H10" i="1"/>
  <c r="G10" i="1"/>
  <c r="G18" i="1" s="1"/>
  <c r="F10" i="1"/>
  <c r="J10" i="1" s="1"/>
  <c r="E10" i="1"/>
  <c r="K9" i="1"/>
  <c r="I9" i="1"/>
  <c r="H9" i="1"/>
  <c r="G9" i="1"/>
  <c r="F9" i="1"/>
  <c r="E9" i="1"/>
  <c r="J9" i="1" s="1"/>
  <c r="I8" i="1"/>
  <c r="H8" i="1"/>
  <c r="K8" i="1" s="1"/>
  <c r="G8" i="1"/>
  <c r="F8" i="1"/>
  <c r="E8" i="1"/>
  <c r="J8" i="1" s="1"/>
  <c r="K7" i="1"/>
  <c r="J7" i="1"/>
  <c r="I7" i="1"/>
  <c r="H7" i="1"/>
  <c r="G7" i="1"/>
  <c r="F7" i="1"/>
  <c r="E7" i="1"/>
  <c r="I6" i="1"/>
  <c r="H6" i="1"/>
  <c r="K6" i="1" s="1"/>
  <c r="G6" i="1"/>
  <c r="F6" i="1"/>
  <c r="J6" i="1" s="1"/>
  <c r="E6" i="1"/>
  <c r="J5" i="1"/>
  <c r="I5" i="1"/>
  <c r="K5" i="1" s="1"/>
  <c r="H5" i="1"/>
  <c r="G5" i="1"/>
  <c r="F5" i="1"/>
  <c r="E5" i="1"/>
  <c r="I4" i="1"/>
  <c r="I18" i="1" s="1"/>
  <c r="H4" i="1"/>
  <c r="H18" i="1" s="1"/>
  <c r="G4" i="1"/>
  <c r="K4" i="1" s="1"/>
  <c r="F4" i="1"/>
  <c r="J4" i="1" s="1"/>
  <c r="E4" i="1"/>
  <c r="E18" i="1" s="1"/>
  <c r="F15" i="5"/>
  <c r="F14" i="5"/>
  <c r="F13" i="5"/>
  <c r="D13" i="5"/>
  <c r="F12" i="5"/>
  <c r="D12" i="5"/>
  <c r="F11" i="5"/>
  <c r="D11" i="5"/>
  <c r="F10" i="5"/>
  <c r="D10" i="5"/>
  <c r="F9" i="5"/>
  <c r="D9" i="5"/>
  <c r="F8" i="5"/>
  <c r="D8" i="5"/>
  <c r="F7" i="5"/>
  <c r="D7" i="5"/>
  <c r="D5" i="5"/>
  <c r="F4" i="5"/>
  <c r="D4" i="5"/>
  <c r="F15" i="4"/>
  <c r="F14" i="4"/>
  <c r="F13" i="4"/>
  <c r="D13" i="4"/>
  <c r="F12" i="4"/>
  <c r="D12" i="4"/>
  <c r="F11" i="4"/>
  <c r="D11" i="4"/>
  <c r="F10" i="4"/>
  <c r="D10" i="4"/>
  <c r="F9" i="4"/>
  <c r="D9" i="4"/>
  <c r="F8" i="4"/>
  <c r="D8" i="4"/>
  <c r="F7" i="4"/>
  <c r="D7" i="4"/>
  <c r="D5" i="4"/>
  <c r="F4" i="4"/>
  <c r="D4" i="4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4" i="3"/>
  <c r="B83" i="3"/>
  <c r="B82" i="3"/>
  <c r="B81" i="3"/>
  <c r="B80" i="3"/>
  <c r="A80" i="3"/>
  <c r="B79" i="3"/>
  <c r="B78" i="3"/>
  <c r="B77" i="3"/>
  <c r="B76" i="3"/>
  <c r="B75" i="3"/>
  <c r="B74" i="3"/>
  <c r="B73" i="3"/>
  <c r="B72" i="3"/>
  <c r="B71" i="3"/>
  <c r="B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B67" i="2"/>
  <c r="A67" i="2"/>
  <c r="B66" i="2"/>
  <c r="A66" i="2"/>
  <c r="B65" i="2"/>
  <c r="A65" i="2"/>
  <c r="B64" i="2"/>
  <c r="A64" i="2"/>
  <c r="B63" i="2"/>
  <c r="A63" i="2"/>
  <c r="B62" i="2"/>
  <c r="A62" i="2"/>
  <c r="B61" i="2"/>
  <c r="A61" i="2"/>
  <c r="B60" i="2"/>
  <c r="A60" i="2"/>
  <c r="B59" i="2"/>
  <c r="A59" i="2"/>
  <c r="B58" i="2"/>
  <c r="A58" i="2"/>
  <c r="B57" i="2"/>
  <c r="A57" i="2"/>
  <c r="A56" i="2"/>
  <c r="B55" i="2"/>
  <c r="A55" i="2"/>
  <c r="B54" i="2"/>
  <c r="A54" i="2"/>
  <c r="B53" i="2"/>
  <c r="A53" i="2"/>
  <c r="B52" i="2"/>
  <c r="A52" i="2"/>
  <c r="B51" i="2"/>
  <c r="A51" i="2"/>
  <c r="B50" i="2"/>
  <c r="A50" i="2"/>
  <c r="B49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B41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D18" i="5"/>
  <c r="D17" i="5"/>
  <c r="D18" i="4"/>
  <c r="D17" i="4"/>
  <c r="K118" i="3"/>
  <c r="J118" i="3"/>
  <c r="I118" i="3"/>
  <c r="H118" i="3"/>
  <c r="G118" i="3"/>
  <c r="F118" i="3"/>
  <c r="E118" i="3"/>
  <c r="D118" i="3"/>
  <c r="C118" i="3"/>
  <c r="L118" i="3" s="1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N118" i="2"/>
  <c r="L118" i="2"/>
  <c r="M118" i="2" s="1"/>
  <c r="P118" i="2" s="1"/>
  <c r="K118" i="2"/>
  <c r="J118" i="2"/>
  <c r="I118" i="2"/>
  <c r="H118" i="2"/>
  <c r="G118" i="2"/>
  <c r="O118" i="2" s="1"/>
  <c r="F118" i="2"/>
  <c r="E118" i="2"/>
  <c r="D118" i="2"/>
  <c r="C118" i="2"/>
  <c r="P117" i="2"/>
  <c r="O117" i="2"/>
  <c r="N117" i="2"/>
  <c r="M117" i="2"/>
  <c r="O116" i="2"/>
  <c r="N116" i="2"/>
  <c r="M116" i="2"/>
  <c r="P116" i="2" s="1"/>
  <c r="O115" i="2"/>
  <c r="N115" i="2"/>
  <c r="M115" i="2"/>
  <c r="P115" i="2" s="1"/>
  <c r="O114" i="2"/>
  <c r="N114" i="2"/>
  <c r="M114" i="2"/>
  <c r="P114" i="2" s="1"/>
  <c r="O113" i="2"/>
  <c r="N113" i="2"/>
  <c r="M113" i="2"/>
  <c r="P113" i="2" s="1"/>
  <c r="O112" i="2"/>
  <c r="N112" i="2"/>
  <c r="P112" i="2" s="1"/>
  <c r="M112" i="2"/>
  <c r="O111" i="2"/>
  <c r="N111" i="2"/>
  <c r="P111" i="2" s="1"/>
  <c r="M111" i="2"/>
  <c r="O110" i="2"/>
  <c r="P110" i="2" s="1"/>
  <c r="N110" i="2"/>
  <c r="M110" i="2"/>
  <c r="P109" i="2"/>
  <c r="O109" i="2"/>
  <c r="N109" i="2"/>
  <c r="M109" i="2"/>
  <c r="O108" i="2"/>
  <c r="N108" i="2"/>
  <c r="M108" i="2"/>
  <c r="P108" i="2" s="1"/>
  <c r="P107" i="2"/>
  <c r="O107" i="2"/>
  <c r="N107" i="2"/>
  <c r="M107" i="2"/>
  <c r="O106" i="2"/>
  <c r="N106" i="2"/>
  <c r="M106" i="2"/>
  <c r="P106" i="2" s="1"/>
  <c r="O105" i="2"/>
  <c r="N105" i="2"/>
  <c r="M105" i="2"/>
  <c r="P105" i="2" s="1"/>
  <c r="O104" i="2"/>
  <c r="N104" i="2"/>
  <c r="M104" i="2"/>
  <c r="P104" i="2" s="1"/>
  <c r="P103" i="2"/>
  <c r="O103" i="2"/>
  <c r="N103" i="2"/>
  <c r="M103" i="2"/>
  <c r="O102" i="2"/>
  <c r="N102" i="2"/>
  <c r="M102" i="2"/>
  <c r="P102" i="2" s="1"/>
  <c r="O100" i="2"/>
  <c r="P100" i="2" s="1"/>
  <c r="N100" i="2"/>
  <c r="M100" i="2"/>
  <c r="O99" i="2"/>
  <c r="N99" i="2"/>
  <c r="M99" i="2"/>
  <c r="P99" i="2" s="1"/>
  <c r="P98" i="2"/>
  <c r="O98" i="2"/>
  <c r="N98" i="2"/>
  <c r="M98" i="2"/>
  <c r="O97" i="2"/>
  <c r="N97" i="2"/>
  <c r="M97" i="2"/>
  <c r="P97" i="2" s="1"/>
  <c r="O96" i="2"/>
  <c r="N96" i="2"/>
  <c r="M96" i="2"/>
  <c r="P96" i="2" s="1"/>
  <c r="O95" i="2"/>
  <c r="N95" i="2"/>
  <c r="M95" i="2"/>
  <c r="P95" i="2" s="1"/>
  <c r="P94" i="2"/>
  <c r="O94" i="2"/>
  <c r="N94" i="2"/>
  <c r="M94" i="2"/>
  <c r="O93" i="2"/>
  <c r="N93" i="2"/>
  <c r="M93" i="2"/>
  <c r="P93" i="2" s="1"/>
  <c r="O92" i="2"/>
  <c r="P92" i="2" s="1"/>
  <c r="N92" i="2"/>
  <c r="M92" i="2"/>
  <c r="O91" i="2"/>
  <c r="N91" i="2"/>
  <c r="M91" i="2"/>
  <c r="P91" i="2" s="1"/>
  <c r="P90" i="2"/>
  <c r="O90" i="2"/>
  <c r="N90" i="2"/>
  <c r="M90" i="2"/>
  <c r="O89" i="2"/>
  <c r="N89" i="2"/>
  <c r="M89" i="2"/>
  <c r="P89" i="2" s="1"/>
  <c r="O88" i="2"/>
  <c r="N88" i="2"/>
  <c r="M88" i="2"/>
  <c r="P88" i="2" s="1"/>
  <c r="O87" i="2"/>
  <c r="N87" i="2"/>
  <c r="M87" i="2"/>
  <c r="P87" i="2" s="1"/>
  <c r="P86" i="2"/>
  <c r="O86" i="2"/>
  <c r="N86" i="2"/>
  <c r="M86" i="2"/>
  <c r="O85" i="2"/>
  <c r="N85" i="2"/>
  <c r="M85" i="2"/>
  <c r="P85" i="2" s="1"/>
  <c r="O84" i="2"/>
  <c r="P84" i="2" s="1"/>
  <c r="N84" i="2"/>
  <c r="M84" i="2"/>
  <c r="P83" i="2"/>
  <c r="O83" i="2"/>
  <c r="N83" i="2"/>
  <c r="M83" i="2"/>
  <c r="P82" i="2"/>
  <c r="O82" i="2"/>
  <c r="N82" i="2"/>
  <c r="M82" i="2"/>
  <c r="O81" i="2"/>
  <c r="N81" i="2"/>
  <c r="M81" i="2"/>
  <c r="P81" i="2" s="1"/>
  <c r="O80" i="2"/>
  <c r="N80" i="2"/>
  <c r="M80" i="2"/>
  <c r="P80" i="2" s="1"/>
  <c r="O79" i="2"/>
  <c r="N79" i="2"/>
  <c r="M79" i="2"/>
  <c r="P79" i="2" s="1"/>
  <c r="P78" i="2"/>
  <c r="O78" i="2"/>
  <c r="N78" i="2"/>
  <c r="M78" i="2"/>
  <c r="O77" i="2"/>
  <c r="N77" i="2"/>
  <c r="M77" i="2"/>
  <c r="P77" i="2" s="1"/>
  <c r="O76" i="2"/>
  <c r="P76" i="2" s="1"/>
  <c r="N76" i="2"/>
  <c r="M76" i="2"/>
  <c r="P75" i="2"/>
  <c r="O75" i="2"/>
  <c r="N75" i="2"/>
  <c r="M75" i="2"/>
  <c r="P74" i="2"/>
  <c r="O74" i="2"/>
  <c r="N74" i="2"/>
  <c r="M74" i="2"/>
  <c r="O73" i="2"/>
  <c r="N73" i="2"/>
  <c r="M73" i="2"/>
  <c r="P73" i="2" s="1"/>
  <c r="O72" i="2"/>
  <c r="N72" i="2"/>
  <c r="M72" i="2"/>
  <c r="P72" i="2" s="1"/>
  <c r="O71" i="2"/>
  <c r="N71" i="2"/>
  <c r="M71" i="2"/>
  <c r="P71" i="2" s="1"/>
  <c r="P70" i="2"/>
  <c r="O70" i="2"/>
  <c r="N70" i="2"/>
  <c r="M70" i="2"/>
  <c r="O69" i="2"/>
  <c r="N69" i="2"/>
  <c r="M69" i="2"/>
  <c r="P69" i="2" s="1"/>
  <c r="O68" i="2"/>
  <c r="P68" i="2" s="1"/>
  <c r="N68" i="2"/>
  <c r="M68" i="2"/>
  <c r="O67" i="2"/>
  <c r="N67" i="2"/>
  <c r="P67" i="2" s="1"/>
  <c r="M67" i="2"/>
  <c r="P66" i="2"/>
  <c r="O66" i="2"/>
  <c r="N66" i="2"/>
  <c r="M66" i="2"/>
  <c r="O65" i="2"/>
  <c r="N65" i="2"/>
  <c r="P65" i="2" s="1"/>
  <c r="M65" i="2"/>
  <c r="O64" i="2"/>
  <c r="N64" i="2"/>
  <c r="M64" i="2"/>
  <c r="P64" i="2" s="1"/>
  <c r="O63" i="2"/>
  <c r="N63" i="2"/>
  <c r="M63" i="2"/>
  <c r="P63" i="2" s="1"/>
  <c r="P62" i="2"/>
  <c r="O62" i="2"/>
  <c r="N62" i="2"/>
  <c r="M62" i="2"/>
  <c r="O61" i="2"/>
  <c r="N61" i="2"/>
  <c r="P61" i="2" s="1"/>
  <c r="M61" i="2"/>
  <c r="O60" i="2"/>
  <c r="P60" i="2" s="1"/>
  <c r="N60" i="2"/>
  <c r="M60" i="2"/>
  <c r="P59" i="2"/>
  <c r="O59" i="2"/>
  <c r="N59" i="2"/>
  <c r="M59" i="2"/>
  <c r="P58" i="2"/>
  <c r="O58" i="2"/>
  <c r="N58" i="2"/>
  <c r="M58" i="2"/>
  <c r="O57" i="2"/>
  <c r="N57" i="2"/>
  <c r="P57" i="2" s="1"/>
  <c r="M57" i="2"/>
  <c r="O55" i="2"/>
  <c r="N55" i="2"/>
  <c r="M55" i="2"/>
  <c r="P55" i="2" s="1"/>
  <c r="O54" i="2"/>
  <c r="N54" i="2"/>
  <c r="P54" i="2" s="1"/>
  <c r="M54" i="2"/>
  <c r="O53" i="2"/>
  <c r="N53" i="2"/>
  <c r="M53" i="2"/>
  <c r="P53" i="2" s="1"/>
  <c r="O52" i="2"/>
  <c r="P52" i="2" s="1"/>
  <c r="N52" i="2"/>
  <c r="M52" i="2"/>
  <c r="P51" i="2"/>
  <c r="O51" i="2"/>
  <c r="N51" i="2"/>
  <c r="M51" i="2"/>
  <c r="O50" i="2"/>
  <c r="N50" i="2"/>
  <c r="M50" i="2"/>
  <c r="P50" i="2" s="1"/>
  <c r="O49" i="2"/>
  <c r="N49" i="2"/>
  <c r="M49" i="2"/>
  <c r="P49" i="2" s="1"/>
  <c r="O48" i="2"/>
  <c r="N48" i="2"/>
  <c r="M48" i="2"/>
  <c r="P48" i="2" s="1"/>
  <c r="O47" i="2"/>
  <c r="N47" i="2"/>
  <c r="M47" i="2"/>
  <c r="P47" i="2" s="1"/>
  <c r="O46" i="2"/>
  <c r="N46" i="2"/>
  <c r="P46" i="2" s="1"/>
  <c r="M46" i="2"/>
  <c r="O45" i="2"/>
  <c r="N45" i="2"/>
  <c r="M45" i="2"/>
  <c r="P45" i="2" s="1"/>
  <c r="O44" i="2"/>
  <c r="P44" i="2" s="1"/>
  <c r="N44" i="2"/>
  <c r="M44" i="2"/>
  <c r="P43" i="2"/>
  <c r="O43" i="2"/>
  <c r="N43" i="2"/>
  <c r="M43" i="2"/>
  <c r="O42" i="2"/>
  <c r="N42" i="2"/>
  <c r="M42" i="2"/>
  <c r="P42" i="2" s="1"/>
  <c r="O41" i="2"/>
  <c r="N41" i="2"/>
  <c r="M41" i="2"/>
  <c r="P41" i="2" s="1"/>
  <c r="O40" i="2"/>
  <c r="N40" i="2"/>
  <c r="M40" i="2"/>
  <c r="P40" i="2" s="1"/>
  <c r="O39" i="2"/>
  <c r="N39" i="2"/>
  <c r="M39" i="2"/>
  <c r="P39" i="2" s="1"/>
  <c r="O38" i="2"/>
  <c r="N38" i="2"/>
  <c r="P38" i="2" s="1"/>
  <c r="M38" i="2"/>
  <c r="O37" i="2"/>
  <c r="N37" i="2"/>
  <c r="M37" i="2"/>
  <c r="P37" i="2" s="1"/>
  <c r="O36" i="2"/>
  <c r="P36" i="2" s="1"/>
  <c r="N36" i="2"/>
  <c r="M36" i="2"/>
  <c r="P35" i="2"/>
  <c r="O35" i="2"/>
  <c r="N35" i="2"/>
  <c r="M35" i="2"/>
  <c r="O34" i="2"/>
  <c r="N34" i="2"/>
  <c r="M34" i="2"/>
  <c r="P34" i="2" s="1"/>
  <c r="O33" i="2"/>
  <c r="N33" i="2"/>
  <c r="M33" i="2"/>
  <c r="P33" i="2" s="1"/>
  <c r="O32" i="2"/>
  <c r="P32" i="2" s="1"/>
  <c r="N32" i="2"/>
  <c r="M32" i="2"/>
  <c r="O31" i="2"/>
  <c r="N31" i="2"/>
  <c r="M31" i="2"/>
  <c r="P31" i="2" s="1"/>
  <c r="O30" i="2"/>
  <c r="N30" i="2"/>
  <c r="P30" i="2" s="1"/>
  <c r="M30" i="2"/>
  <c r="O29" i="2"/>
  <c r="N29" i="2"/>
  <c r="P29" i="2" s="1"/>
  <c r="M29" i="2"/>
  <c r="O28" i="2"/>
  <c r="P28" i="2" s="1"/>
  <c r="N28" i="2"/>
  <c r="M28" i="2"/>
  <c r="P27" i="2"/>
  <c r="O27" i="2"/>
  <c r="N27" i="2"/>
  <c r="M27" i="2"/>
  <c r="O26" i="2"/>
  <c r="N26" i="2"/>
  <c r="M26" i="2"/>
  <c r="P26" i="2" s="1"/>
  <c r="O25" i="2"/>
  <c r="N25" i="2"/>
  <c r="M25" i="2"/>
  <c r="P25" i="2" s="1"/>
  <c r="O24" i="2"/>
  <c r="P24" i="2" s="1"/>
  <c r="N24" i="2"/>
  <c r="M24" i="2"/>
  <c r="O23" i="2"/>
  <c r="N23" i="2"/>
  <c r="M23" i="2"/>
  <c r="P23" i="2" s="1"/>
  <c r="O22" i="2"/>
  <c r="N22" i="2"/>
  <c r="P22" i="2" s="1"/>
  <c r="M22" i="2"/>
  <c r="O21" i="2"/>
  <c r="N21" i="2"/>
  <c r="P21" i="2" s="1"/>
  <c r="M21" i="2"/>
  <c r="O20" i="2"/>
  <c r="P20" i="2" s="1"/>
  <c r="N20" i="2"/>
  <c r="M20" i="2"/>
  <c r="P19" i="2"/>
  <c r="O19" i="2"/>
  <c r="N19" i="2"/>
  <c r="M19" i="2"/>
  <c r="O17" i="2"/>
  <c r="N17" i="2"/>
  <c r="M17" i="2"/>
  <c r="P17" i="2" s="1"/>
  <c r="O16" i="2"/>
  <c r="N16" i="2"/>
  <c r="M16" i="2"/>
  <c r="P16" i="2" s="1"/>
  <c r="P15" i="2"/>
  <c r="O15" i="2"/>
  <c r="N15" i="2"/>
  <c r="M15" i="2"/>
  <c r="O14" i="2"/>
  <c r="N14" i="2"/>
  <c r="M14" i="2"/>
  <c r="P14" i="2" s="1"/>
  <c r="O13" i="2"/>
  <c r="P13" i="2" s="1"/>
  <c r="N13" i="2"/>
  <c r="M13" i="2"/>
  <c r="O12" i="2"/>
  <c r="N12" i="2"/>
  <c r="M12" i="2"/>
  <c r="P12" i="2" s="1"/>
  <c r="P11" i="2"/>
  <c r="O11" i="2"/>
  <c r="N11" i="2"/>
  <c r="M11" i="2"/>
  <c r="O10" i="2"/>
  <c r="N10" i="2"/>
  <c r="M10" i="2"/>
  <c r="P10" i="2" s="1"/>
  <c r="O9" i="2"/>
  <c r="N9" i="2"/>
  <c r="M9" i="2"/>
  <c r="P9" i="2" s="1"/>
  <c r="O8" i="2"/>
  <c r="N8" i="2"/>
  <c r="M8" i="2"/>
  <c r="P8" i="2" s="1"/>
  <c r="P7" i="2"/>
  <c r="O7" i="2"/>
  <c r="N7" i="2"/>
  <c r="M7" i="2"/>
  <c r="O6" i="2"/>
  <c r="N6" i="2"/>
  <c r="M6" i="2"/>
  <c r="P6" i="2" s="1"/>
  <c r="O5" i="2"/>
  <c r="P5" i="2" s="1"/>
  <c r="N5" i="2"/>
  <c r="M5" i="2"/>
  <c r="O4" i="2"/>
  <c r="N4" i="2"/>
  <c r="M4" i="2"/>
  <c r="P4" i="2" s="1"/>
  <c r="L101" i="1" l="1"/>
  <c r="J56" i="1"/>
  <c r="J18" i="1"/>
  <c r="L56" i="1"/>
  <c r="K56" i="1"/>
  <c r="H120" i="1"/>
  <c r="H119" i="1"/>
  <c r="J118" i="1"/>
  <c r="I120" i="1"/>
  <c r="I119" i="1"/>
  <c r="G120" i="1"/>
  <c r="G119" i="1"/>
  <c r="L118" i="1"/>
  <c r="K118" i="1"/>
  <c r="J57" i="1"/>
  <c r="J101" i="1" s="1"/>
  <c r="G101" i="1"/>
  <c r="E56" i="1"/>
  <c r="E120" i="1" s="1"/>
  <c r="F56" i="1"/>
  <c r="G56" i="1"/>
  <c r="K101" i="1"/>
  <c r="K10" i="1"/>
  <c r="K18" i="1" s="1"/>
  <c r="E118" i="1"/>
  <c r="F18" i="1"/>
  <c r="G118" i="1"/>
  <c r="D16" i="5"/>
  <c r="D19" i="5" s="1"/>
  <c r="D16" i="4"/>
  <c r="D19" i="4" s="1"/>
  <c r="A120" i="1"/>
  <c r="A119" i="1"/>
  <c r="D118" i="1"/>
  <c r="D101" i="1"/>
  <c r="D56" i="1"/>
  <c r="D18" i="1"/>
  <c r="D120" i="1" s="1"/>
  <c r="K120" i="1" l="1"/>
  <c r="K119" i="1"/>
  <c r="J120" i="1"/>
  <c r="J119" i="1"/>
  <c r="F120" i="1"/>
  <c r="F119" i="1"/>
  <c r="L18" i="1"/>
  <c r="E119" i="1"/>
  <c r="D119" i="1"/>
  <c r="L120" i="1" l="1"/>
  <c r="L119" i="1"/>
</calcChain>
</file>

<file path=xl/sharedStrings.xml><?xml version="1.0" encoding="utf-8"?>
<sst xmlns="http://schemas.openxmlformats.org/spreadsheetml/2006/main" count="229" uniqueCount="156">
  <si>
    <t>ديسمبر 2025</t>
  </si>
  <si>
    <t>الشهر</t>
  </si>
  <si>
    <t>م</t>
  </si>
  <si>
    <t>الاسماء / Name</t>
  </si>
  <si>
    <t>-</t>
  </si>
  <si>
    <t>صافي الاتعاب والمرتبات / Salary</t>
  </si>
  <si>
    <t>د/هانى صلاح الدين محمد سري الدين</t>
  </si>
  <si>
    <t>أ/أميرة محمد على شريف</t>
  </si>
  <si>
    <t>أ/إيهاب حمدى ابراهيم</t>
  </si>
  <si>
    <t>Spare</t>
  </si>
  <si>
    <t>اجمالي الشركاء</t>
  </si>
  <si>
    <t>أ/ناجى رمضان أمين محمد</t>
  </si>
  <si>
    <t>أ/محمد عبد العزيز عبدالحافظ</t>
  </si>
  <si>
    <t>أ/ أحمد سعيد أحمد محمد علي</t>
  </si>
  <si>
    <t>أ/منة الله البلتاجى</t>
  </si>
  <si>
    <t>أ/نهى عمرو محمد رضوان</t>
  </si>
  <si>
    <t>أ/عبد الله عمرو حافظ</t>
  </si>
  <si>
    <t>أ/محمد حمدى كامل</t>
  </si>
  <si>
    <t>أ/أحمد سيف الدين أبو بكر سري الدين</t>
  </si>
  <si>
    <t>أ/هاني أحمد الدالي</t>
  </si>
  <si>
    <t>أ/عبدالرحمن أحمد عبدالعزيز حسن</t>
  </si>
  <si>
    <t>أ/حبيبة محمود سمير محمود عيسى</t>
  </si>
  <si>
    <t>أ/احمد ابو العباس محمد الاتربي</t>
  </si>
  <si>
    <t>أ/ليلي امين محمد امين طموم</t>
  </si>
  <si>
    <t>أ/كريم ايمن محمد عادل</t>
  </si>
  <si>
    <t>عمرو محمد عبدالحليم أبو سليم</t>
  </si>
  <si>
    <t>اجمالي المحامين</t>
  </si>
  <si>
    <t>أ/دعاء عبد الدايم إبراهيم نصار</t>
  </si>
  <si>
    <t>أ/أحمد محمد رزق</t>
  </si>
  <si>
    <t>Manager Spare</t>
  </si>
  <si>
    <t>أ/خالد محمد حلمى</t>
  </si>
  <si>
    <t>أ/ نيرمين عصمت محمد حجازي</t>
  </si>
  <si>
    <t>Senior Spare</t>
  </si>
  <si>
    <t>أ/مروة شريف عبدالحميد سلامة</t>
  </si>
  <si>
    <t>أ/حازم ابراهيم عبد الحميد محمد فتاتة</t>
  </si>
  <si>
    <t xml:space="preserve">أ/أحمد سمير حسن السيد </t>
  </si>
  <si>
    <t>أ/إيمان صبحى شكرى</t>
  </si>
  <si>
    <t>أ/شريف شكرى محمد</t>
  </si>
  <si>
    <t>أ/محمد حسن محمد كامل</t>
  </si>
  <si>
    <t>أ/سامي ابراهيم محمد</t>
  </si>
  <si>
    <t>أ/محمود على محمود حسين</t>
  </si>
  <si>
    <t>أ/عمرو عبد الكريم صقر</t>
  </si>
  <si>
    <t>أ/مختار احمد المجدلي</t>
  </si>
  <si>
    <t>أ/طارق محمد جمعه</t>
  </si>
  <si>
    <t>أ/ أحمد محمد عبدالسلام</t>
  </si>
  <si>
    <t>أ/محمد عبدالجواد محمد</t>
  </si>
  <si>
    <t>أ/ منة الله محب عبدالغفار السيد</t>
  </si>
  <si>
    <t>أ/عاصم محمد سعيد عبده</t>
  </si>
  <si>
    <t>أ/ نجوى إبراهيم محمود غنيم</t>
  </si>
  <si>
    <t>محمد حسين محمد محمد</t>
  </si>
  <si>
    <t>اجمالي العاملين</t>
  </si>
  <si>
    <t>أ/هالة فوزي</t>
  </si>
  <si>
    <t>د/أمجد سعيد</t>
  </si>
  <si>
    <t>د/وليد رزق</t>
  </si>
  <si>
    <t>د/أمينة العطيفي</t>
  </si>
  <si>
    <t>أ/ محمد فاروق عبد الحليم</t>
  </si>
  <si>
    <t>د/ أحمد بغدادي رشدي محمد</t>
  </si>
  <si>
    <t>المستشار محمد ماهر عبدالواحد</t>
  </si>
  <si>
    <t>اجمالي المستشارين</t>
  </si>
  <si>
    <t>اجمالي صافي الاتعاب والمرتبات فقط بدون المستشارين</t>
  </si>
  <si>
    <t>الاجمالي صافي الاتعاب والمرتبات والمستشاريين</t>
  </si>
  <si>
    <t>اضافات شهرية</t>
  </si>
  <si>
    <t>#</t>
  </si>
  <si>
    <t>شهر ديسمبر 2025</t>
  </si>
  <si>
    <t>بدلات تليفون / Phone Allowance</t>
  </si>
  <si>
    <t>بدلات انتقال / Transportation Allowance</t>
  </si>
  <si>
    <t>بدل سكن / Accommodation Allowance</t>
  </si>
  <si>
    <t>زيادة سنوية / Yearly Increase</t>
  </si>
  <si>
    <t>مكافئات سنوية / Annual Bonus</t>
  </si>
  <si>
    <t>مكافئات شهرية / Monthly Bonus</t>
  </si>
  <si>
    <t>قيمة التأمين الإجتماعي الممنوح / Given Social Insurance</t>
  </si>
  <si>
    <t>ضرائب إداريين/محامين / Taxs</t>
  </si>
  <si>
    <t xml:space="preserve">قيمة التأمين الصحي الممنوح \ Given Medical Insurance </t>
  </si>
  <si>
    <t>بدلات اخري / Allowances</t>
  </si>
  <si>
    <t>اجمالي إضافات مباشرة / Total Direct Allownces</t>
  </si>
  <si>
    <t>اجمالي إضافات غير مباشرة / Total InDirect Allownces</t>
  </si>
  <si>
    <t>اجمالي علاوات / Total Bouns</t>
  </si>
  <si>
    <t>اجمالي الإضافات / Total Allowances</t>
  </si>
  <si>
    <t>ملحوظات</t>
  </si>
  <si>
    <t>شركاء</t>
  </si>
  <si>
    <t>محامين</t>
  </si>
  <si>
    <t>عاملين</t>
  </si>
  <si>
    <t>مستشارين</t>
  </si>
  <si>
    <t>مستشار محمد ماهر عبدالواحد</t>
  </si>
  <si>
    <t>المجموع</t>
  </si>
  <si>
    <t>خصومات شهرية</t>
  </si>
  <si>
    <t>شهر نوفمبر 2025</t>
  </si>
  <si>
    <t>قيمة التأمين الصحي المخصوم / Deducted Medical Insurance</t>
  </si>
  <si>
    <t>ضرائب محامين / Laywers Taxs</t>
  </si>
  <si>
    <t>مسحوبات لبنوك أخرى / Other bank withdrawal</t>
  </si>
  <si>
    <t>مسحوبات/خصم من المرتب/الاتعاب / Loans or Deductions</t>
  </si>
  <si>
    <t>خصومات تليفون / Phone Deduction</t>
  </si>
  <si>
    <t>اجازات غير مدفوعة المرتب / Unpaid Vacation</t>
  </si>
  <si>
    <t>تأخيرات / Late</t>
  </si>
  <si>
    <t>خصومات تسجيل ساعات العمل / Time sheet</t>
  </si>
  <si>
    <t>خصومات اخري/ Other Deductions</t>
  </si>
  <si>
    <t>اجمالي الخصومات / Total Deductions</t>
  </si>
  <si>
    <t>مجموع</t>
  </si>
  <si>
    <t>Row</t>
  </si>
  <si>
    <t>الإسم</t>
  </si>
  <si>
    <t>اتعاب/ راتب</t>
  </si>
  <si>
    <t>مزايا مخصومة من إجمالي المرتب / اتعاب شهرية</t>
  </si>
  <si>
    <t>خصومات</t>
  </si>
  <si>
    <t>بدلات تليفون</t>
  </si>
  <si>
    <t>قيمة التأمين الصحي المخصوم</t>
  </si>
  <si>
    <t>بدلات انتقال</t>
  </si>
  <si>
    <t>مسحوبات لبنوك أخرى</t>
  </si>
  <si>
    <t>بدلات سكن</t>
  </si>
  <si>
    <t>مسحوبات/خصم من المرتب/الاتعاب</t>
  </si>
  <si>
    <t>بدلات اخري</t>
  </si>
  <si>
    <t>تأخيرات</t>
  </si>
  <si>
    <t xml:space="preserve">ضرائب </t>
  </si>
  <si>
    <t>اجازات غير مدفوعة المرتب</t>
  </si>
  <si>
    <t>قيمة التأمين الإجتماعي الممنوح</t>
  </si>
  <si>
    <t>ضرائب محامين</t>
  </si>
  <si>
    <t>قيمة التأمين الصحي الممنوح</t>
  </si>
  <si>
    <t>خصومات تليفون</t>
  </si>
  <si>
    <t>خصومات تسجيل ساعات العمل</t>
  </si>
  <si>
    <t>خصومات اخري</t>
  </si>
  <si>
    <t>الإجمالي بالخصم والإضافة</t>
  </si>
  <si>
    <t>إضافات على المرتب</t>
  </si>
  <si>
    <t xml:space="preserve">بدلات </t>
  </si>
  <si>
    <t>الصافي بعد الخصم والإضافة</t>
  </si>
  <si>
    <t>Name</t>
  </si>
  <si>
    <t>Month</t>
  </si>
  <si>
    <t>Salary\ Fees</t>
  </si>
  <si>
    <t>Benefits deducted from the total Monthly Salary/Fees</t>
  </si>
  <si>
    <t>Deductions</t>
  </si>
  <si>
    <t>Phone Allowance</t>
  </si>
  <si>
    <t>Deducted Medical Insurance</t>
  </si>
  <si>
    <t>Transportation Allowance</t>
  </si>
  <si>
    <t>Other bank withdrawal</t>
  </si>
  <si>
    <t>Accommodation Allowance</t>
  </si>
  <si>
    <t>Loans or Deductions</t>
  </si>
  <si>
    <t>Other Allowance</t>
  </si>
  <si>
    <t>Late Deduction</t>
  </si>
  <si>
    <t>Taxs</t>
  </si>
  <si>
    <t>Unpaid Vacation</t>
  </si>
  <si>
    <t>Given Social Insurance</t>
  </si>
  <si>
    <t>Lawyer Tax</t>
  </si>
  <si>
    <t>Given Medical Insurance</t>
  </si>
  <si>
    <t>Phone Deduction</t>
  </si>
  <si>
    <t>Time sheet Deduction</t>
  </si>
  <si>
    <t>Other Deductions</t>
  </si>
  <si>
    <t>Gross</t>
  </si>
  <si>
    <t>Additions and Allowances</t>
  </si>
  <si>
    <t>NET</t>
  </si>
  <si>
    <t>إضافات غير مباشرة / In direct additions</t>
  </si>
  <si>
    <t>إضافات مباشرة / Direct Additions</t>
  </si>
  <si>
    <t>علاوات / Bouns</t>
  </si>
  <si>
    <t>خصومات / Deductions</t>
  </si>
  <si>
    <t>الإجمالي قبل الخصم
GROSS</t>
  </si>
  <si>
    <t>الصافى بعد الخصم
 أو الزيادة
NET</t>
  </si>
  <si>
    <t>طريقة الدفع</t>
  </si>
  <si>
    <t>رقم الحساب</t>
  </si>
  <si>
    <t>تحويل/شيك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</si>
</sst>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-yyyy"/>
    <numFmt numFmtId="165" formatCode="[$-20B0000]d\ mmmm\ yyyy;@"/>
    <numFmt numFmtId="166" formatCode="[$-409]d\-mmm\-yyyy;@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17" fontId="3" fillId="0" borderId="10" xfId="0" applyNumberFormat="1" applyFont="1" applyBorder="1" applyAlignment="1">
      <alignment horizontal="center"/>
    </xf>
    <xf numFmtId="165" fontId="3" fillId="0" borderId="10" xfId="0" applyNumberFormat="1" applyFont="1" applyBorder="1" applyAlignment="1">
      <alignment horizontal="center"/>
    </xf>
    <xf numFmtId="0" fontId="4" fillId="0" borderId="11" xfId="0" applyFont="1" applyBorder="1" applyAlignment="1">
      <alignment horizontal="right" vertical="center" indent="1"/>
    </xf>
    <xf numFmtId="4" fontId="0" fillId="0" borderId="11" xfId="0" applyNumberFormat="1" applyBorder="1" applyAlignment="1">
      <alignment horizontal="right" vertical="center"/>
    </xf>
    <xf numFmtId="0" fontId="4" fillId="0" borderId="16" xfId="0" applyFont="1" applyBorder="1" applyAlignment="1">
      <alignment horizontal="right" vertical="center" indent="1"/>
    </xf>
    <xf numFmtId="0" fontId="4" fillId="0" borderId="17" xfId="0" applyFont="1" applyBorder="1" applyAlignment="1">
      <alignment horizontal="right" vertical="center" indent="1"/>
    </xf>
    <xf numFmtId="0" fontId="4" fillId="0" borderId="9" xfId="0" applyFont="1" applyBorder="1" applyAlignment="1">
      <alignment horizontal="right" vertical="center" indent="1"/>
    </xf>
    <xf numFmtId="0" fontId="4" fillId="0" borderId="18" xfId="0" applyFont="1" applyBorder="1" applyAlignment="1">
      <alignment horizontal="right" vertical="center" indent="1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17" fontId="2" fillId="0" borderId="2" xfId="0" applyNumberFormat="1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1" fillId="3" borderId="9" xfId="0" applyFont="1" applyFill="1" applyBorder="1" applyAlignment="1">
      <alignment horizontal="center" vertical="center"/>
    </xf>
    <xf numFmtId="4" fontId="2" fillId="0" borderId="11" xfId="0" applyNumberFormat="1" applyFont="1" applyBorder="1" applyAlignment="1">
      <alignment horizontal="right" vertical="center"/>
    </xf>
    <xf numFmtId="4" fontId="2" fillId="0" borderId="11" xfId="0" applyNumberFormat="1" applyFont="1" applyBorder="1" applyAlignment="1">
      <alignment vertical="center"/>
    </xf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2" borderId="9" xfId="0" applyFont="1" applyFill="1" applyBorder="1" applyAlignment="1">
      <alignment horizontal="center" vertical="center"/>
    </xf>
    <xf numFmtId="166" fontId="3" fillId="0" borderId="13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indent="1"/>
    </xf>
    <xf numFmtId="4" fontId="0" fillId="0" borderId="11" xfId="0" applyNumberFormat="1" applyBorder="1" applyAlignment="1">
      <alignment horizontal="center" vertical="center"/>
    </xf>
    <xf numFmtId="0" fontId="6" fillId="0" borderId="16" xfId="0" applyFont="1" applyBorder="1" applyAlignment="1">
      <alignment horizontal="left" vertical="center" indent="1"/>
    </xf>
    <xf numFmtId="0" fontId="6" fillId="0" borderId="17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" fontId="4" fillId="0" borderId="12" xfId="0" applyNumberFormat="1" applyFont="1" applyBorder="1" applyAlignment="1">
      <alignment horizontal="center" vertical="center"/>
    </xf>
    <xf numFmtId="4" fontId="4" fillId="0" borderId="13" xfId="0" applyNumberFormat="1" applyFont="1" applyBorder="1" applyAlignment="1">
      <alignment horizontal="center" vertical="center"/>
    </xf>
    <xf numFmtId="4" fontId="4" fillId="0" borderId="10" xfId="0" applyNumberFormat="1" applyFont="1" applyBorder="1" applyAlignment="1">
      <alignment horizontal="center" vertical="center"/>
    </xf>
    <xf numFmtId="4" fontId="3" fillId="0" borderId="12" xfId="0" applyNumberFormat="1" applyFont="1" applyBorder="1" applyAlignment="1">
      <alignment horizontal="center" vertical="center"/>
    </xf>
    <xf numFmtId="4" fontId="3" fillId="0" borderId="13" xfId="0" applyNumberFormat="1" applyFont="1" applyBorder="1" applyAlignment="1">
      <alignment horizontal="center" vertical="center"/>
    </xf>
    <xf numFmtId="4" fontId="3" fillId="0" borderId="10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" fontId="2" fillId="0" borderId="12" xfId="0" applyNumberFormat="1" applyFont="1" applyBorder="1" applyAlignment="1">
      <alignment horizontal="center" vertical="center"/>
    </xf>
    <xf numFmtId="4" fontId="2" fillId="0" borderId="13" xfId="0" applyNumberFormat="1" applyFont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4" fontId="0" fillId="0" borderId="12" xfId="0" applyNumberFormat="1" applyBorder="1" applyAlignment="1">
      <alignment horizontal="center" vertical="center"/>
    </xf>
    <xf numFmtId="4" fontId="0" fillId="0" borderId="13" xfId="0" applyNumberFormat="1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1190624</xdr:colOff>
      <xdr:row>2</xdr:row>
      <xdr:rowOff>28576</xdr:rowOff>
    </xdr:from>
    <xdr:to>
      <xdr:col>4</xdr:col>
      <xdr:colOff>837098</xdr:colOff>
      <xdr:row>2</xdr:row>
      <xdr:rowOff>397769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A48DA7-818C-4B57-AAB8-D1FBBA453C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6651182" y="371476"/>
          <a:ext cx="1002834" cy="323473"/>
        </a:xfrm>
        <a:prstGeom prst="rect">
          <a:avLst/>
        </a:prstGeom>
      </xdr:spPr>
    </xdr:pic>
    <xdr:clientData/>
  </xdr:twoCellAnchor>
  <xdr:twoCellAnchor editAs="oneCell">
    <xdr:from>
      <xdr:col>3</xdr:col>
      <xdr:colOff>1190624</xdr:colOff>
      <xdr:row>2</xdr:row>
      <xdr:rowOff>28576</xdr:rowOff>
    </xdr:from>
    <xdr:to>
      <xdr:col>4</xdr:col>
      <xdr:colOff>837098</xdr:colOff>
      <xdr:row>2</xdr:row>
      <xdr:rowOff>397769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AA7E21-A17A-4EFF-AE22-5F9FB3C8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6651182" y="371476"/>
          <a:ext cx="1002834" cy="3234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1133476</xdr:colOff>
      <xdr:row>2</xdr:row>
      <xdr:rowOff>28575</xdr:rowOff>
    </xdr:from>
    <xdr:to>
      <xdr:col>4</xdr:col>
      <xdr:colOff>771526</xdr:colOff>
      <xdr:row>2</xdr:row>
      <xdr:rowOff>401750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0353F8-1228-40BB-8A0A-5424FEDE8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6116" y="371475"/>
          <a:ext cx="994410" cy="327455"/>
        </a:xfrm>
        <a:prstGeom prst="rect">
          <a:avLst/>
        </a:prstGeom>
      </xdr:spPr>
    </xdr:pic>
    <xdr:clientData/>
  </xdr:twoCellAnchor>
  <xdr:twoCellAnchor editAs="oneCell">
    <xdr:from>
      <xdr:col>3</xdr:col>
      <xdr:colOff>1133476</xdr:colOff>
      <xdr:row>2</xdr:row>
      <xdr:rowOff>28575</xdr:rowOff>
    </xdr:from>
    <xdr:to>
      <xdr:col>4</xdr:col>
      <xdr:colOff>771526</xdr:colOff>
      <xdr:row>2</xdr:row>
      <xdr:rowOff>401750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3ECC43-46AC-4035-AC06-7F13F8DE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6116" y="371475"/>
          <a:ext cx="994410" cy="3274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laude\SalariesSummary\Sheets\12-%20Dec%20Salaries%202025ccv.xlsx" TargetMode="External"/><Relationship Id="rId1" Type="http://schemas.openxmlformats.org/officeDocument/2006/relationships/externalLinkPath" Target="12-%20Dec%20Salaries%202025cc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رتبات"/>
      <sheetName val="اضافات"/>
      <sheetName val="خصومات"/>
      <sheetName val="Pay Clip (AR)"/>
      <sheetName val="Pay Clip (EN)"/>
    </sheetNames>
    <sheetDataSet>
      <sheetData sheetId="0" refreshError="1"/>
      <sheetData sheetId="1">
        <row r="4">
          <cell r="F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F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F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F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F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F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F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F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F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F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F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F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F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F17">
            <v>0</v>
          </cell>
          <cell r="M17">
            <v>0</v>
          </cell>
          <cell r="N17">
            <v>0</v>
          </cell>
          <cell r="O17">
            <v>0</v>
          </cell>
        </row>
        <row r="19">
          <cell r="F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F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F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F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F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F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F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F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F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F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F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F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F31">
            <v>0</v>
          </cell>
          <cell r="M31">
            <v>0</v>
          </cell>
          <cell r="N31">
            <v>0</v>
          </cell>
          <cell r="O31">
            <v>0</v>
          </cell>
        </row>
        <row r="32">
          <cell r="F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F33">
            <v>0</v>
          </cell>
          <cell r="M33">
            <v>0</v>
          </cell>
          <cell r="N33">
            <v>0</v>
          </cell>
          <cell r="O33">
            <v>0</v>
          </cell>
        </row>
        <row r="34">
          <cell r="F34">
            <v>0</v>
          </cell>
          <cell r="M34">
            <v>0</v>
          </cell>
          <cell r="N34">
            <v>0</v>
          </cell>
          <cell r="O34">
            <v>0</v>
          </cell>
        </row>
        <row r="35">
          <cell r="F35">
            <v>0</v>
          </cell>
          <cell r="M35">
            <v>0</v>
          </cell>
          <cell r="N35">
            <v>0</v>
          </cell>
          <cell r="O35">
            <v>0</v>
          </cell>
        </row>
        <row r="36">
          <cell r="F36">
            <v>0</v>
          </cell>
          <cell r="M36">
            <v>0</v>
          </cell>
          <cell r="N36">
            <v>0</v>
          </cell>
          <cell r="O36">
            <v>0</v>
          </cell>
        </row>
        <row r="37">
          <cell r="F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F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F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F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F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F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F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F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F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F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F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F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F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F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F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F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F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F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F55">
            <v>0</v>
          </cell>
          <cell r="M55">
            <v>0</v>
          </cell>
          <cell r="N55">
            <v>0</v>
          </cell>
          <cell r="O55">
            <v>0</v>
          </cell>
        </row>
        <row r="57">
          <cell r="F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F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F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F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F61">
            <v>0</v>
          </cell>
          <cell r="M61">
            <v>0</v>
          </cell>
          <cell r="N61">
            <v>0</v>
          </cell>
          <cell r="O61">
            <v>0</v>
          </cell>
        </row>
        <row r="62">
          <cell r="F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F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F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F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F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F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F68">
            <v>0</v>
          </cell>
          <cell r="M68">
            <v>0</v>
          </cell>
          <cell r="N68">
            <v>0</v>
          </cell>
          <cell r="O68">
            <v>0</v>
          </cell>
        </row>
        <row r="69">
          <cell r="F69">
            <v>0</v>
          </cell>
          <cell r="M69">
            <v>0</v>
          </cell>
          <cell r="N69">
            <v>0</v>
          </cell>
          <cell r="O69">
            <v>0</v>
          </cell>
        </row>
        <row r="70">
          <cell r="F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F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F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F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F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F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F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F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F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F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F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F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F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F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F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F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F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F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F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F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F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F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F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F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F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F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F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F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F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F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F100">
            <v>0</v>
          </cell>
          <cell r="M100">
            <v>0</v>
          </cell>
          <cell r="N100">
            <v>0</v>
          </cell>
          <cell r="O100">
            <v>0</v>
          </cell>
        </row>
        <row r="102">
          <cell r="F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F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F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F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F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F107">
            <v>0</v>
          </cell>
          <cell r="M107">
            <v>0</v>
          </cell>
          <cell r="N107">
            <v>0</v>
          </cell>
          <cell r="O107">
            <v>0</v>
          </cell>
        </row>
        <row r="108">
          <cell r="F108">
            <v>0</v>
          </cell>
          <cell r="M108">
            <v>0</v>
          </cell>
          <cell r="N108">
            <v>0</v>
          </cell>
          <cell r="O108">
            <v>0</v>
          </cell>
        </row>
        <row r="109">
          <cell r="F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F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F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F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F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F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F115">
            <v>0</v>
          </cell>
          <cell r="M115">
            <v>0</v>
          </cell>
          <cell r="N115">
            <v>0</v>
          </cell>
          <cell r="O115">
            <v>0</v>
          </cell>
        </row>
        <row r="116">
          <cell r="F116">
            <v>0</v>
          </cell>
          <cell r="M116">
            <v>0</v>
          </cell>
          <cell r="N116">
            <v>0</v>
          </cell>
          <cell r="O116">
            <v>0</v>
          </cell>
        </row>
        <row r="117">
          <cell r="F117">
            <v>0</v>
          </cell>
          <cell r="M117">
            <v>0</v>
          </cell>
          <cell r="N117">
            <v>0</v>
          </cell>
          <cell r="O117">
            <v>0</v>
          </cell>
        </row>
      </sheetData>
      <sheetData sheetId="2">
        <row r="4">
          <cell r="L4">
            <v>0</v>
          </cell>
        </row>
        <row r="5">
          <cell r="L5">
            <v>0</v>
          </cell>
        </row>
        <row r="6">
          <cell r="L6">
            <v>0</v>
          </cell>
        </row>
        <row r="7">
          <cell r="L7">
            <v>0</v>
          </cell>
        </row>
        <row r="8">
          <cell r="L8">
            <v>0</v>
          </cell>
        </row>
        <row r="9">
          <cell r="L9">
            <v>0</v>
          </cell>
        </row>
        <row r="10">
          <cell r="L10">
            <v>0</v>
          </cell>
        </row>
        <row r="11">
          <cell r="L11">
            <v>0</v>
          </cell>
        </row>
        <row r="12">
          <cell r="L12">
            <v>0</v>
          </cell>
        </row>
        <row r="13">
          <cell r="L13">
            <v>0</v>
          </cell>
        </row>
        <row r="14">
          <cell r="L14">
            <v>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9">
          <cell r="L19">
            <v>0</v>
          </cell>
        </row>
        <row r="20"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  <row r="23">
          <cell r="L23">
            <v>0</v>
          </cell>
        </row>
        <row r="24">
          <cell r="L24">
            <v>0</v>
          </cell>
        </row>
        <row r="25">
          <cell r="L25">
            <v>0</v>
          </cell>
        </row>
        <row r="26">
          <cell r="L26">
            <v>0</v>
          </cell>
        </row>
        <row r="27">
          <cell r="L27">
            <v>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0</v>
          </cell>
        </row>
        <row r="31">
          <cell r="L31">
            <v>0</v>
          </cell>
        </row>
        <row r="32">
          <cell r="L32">
            <v>0</v>
          </cell>
        </row>
        <row r="33">
          <cell r="L33">
            <v>0</v>
          </cell>
        </row>
        <row r="34">
          <cell r="L34">
            <v>0</v>
          </cell>
        </row>
        <row r="35">
          <cell r="L35">
            <v>0</v>
          </cell>
        </row>
        <row r="36">
          <cell r="L36">
            <v>0</v>
          </cell>
        </row>
        <row r="37">
          <cell r="L37">
            <v>0</v>
          </cell>
        </row>
        <row r="38">
          <cell r="L38">
            <v>0</v>
          </cell>
        </row>
        <row r="39">
          <cell r="L39">
            <v>0</v>
          </cell>
        </row>
        <row r="40">
          <cell r="L40">
            <v>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0</v>
          </cell>
        </row>
        <row r="48">
          <cell r="L48">
            <v>0</v>
          </cell>
        </row>
        <row r="49">
          <cell r="L49">
            <v>0</v>
          </cell>
        </row>
        <row r="50">
          <cell r="L50">
            <v>0</v>
          </cell>
        </row>
        <row r="51">
          <cell r="L51">
            <v>0</v>
          </cell>
        </row>
        <row r="52">
          <cell r="L52">
            <v>0</v>
          </cell>
        </row>
        <row r="53">
          <cell r="L53">
            <v>0</v>
          </cell>
        </row>
        <row r="54">
          <cell r="L54">
            <v>0</v>
          </cell>
        </row>
        <row r="55">
          <cell r="L55">
            <v>0</v>
          </cell>
        </row>
        <row r="57">
          <cell r="L57">
            <v>0</v>
          </cell>
        </row>
        <row r="58">
          <cell r="L58">
            <v>0</v>
          </cell>
        </row>
        <row r="59">
          <cell r="L59">
            <v>0</v>
          </cell>
        </row>
        <row r="60">
          <cell r="L60">
            <v>0</v>
          </cell>
        </row>
        <row r="61">
          <cell r="L61">
            <v>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0</v>
          </cell>
        </row>
        <row r="65">
          <cell r="L65">
            <v>0</v>
          </cell>
        </row>
        <row r="66">
          <cell r="L66">
            <v>0</v>
          </cell>
        </row>
        <row r="67">
          <cell r="L67">
            <v>0</v>
          </cell>
        </row>
        <row r="68">
          <cell r="L68">
            <v>0</v>
          </cell>
        </row>
        <row r="69">
          <cell r="L69">
            <v>0</v>
          </cell>
        </row>
        <row r="70">
          <cell r="L70">
            <v>0</v>
          </cell>
        </row>
        <row r="71">
          <cell r="L71">
            <v>0</v>
          </cell>
        </row>
        <row r="72">
          <cell r="L72">
            <v>0</v>
          </cell>
        </row>
        <row r="73">
          <cell r="L73">
            <v>0</v>
          </cell>
        </row>
        <row r="74">
          <cell r="L74">
            <v>0</v>
          </cell>
        </row>
        <row r="75">
          <cell r="L75">
            <v>0</v>
          </cell>
        </row>
        <row r="76">
          <cell r="L76">
            <v>0</v>
          </cell>
        </row>
        <row r="77">
          <cell r="L77">
            <v>0</v>
          </cell>
        </row>
        <row r="78">
          <cell r="L78">
            <v>0</v>
          </cell>
        </row>
        <row r="79">
          <cell r="L79">
            <v>0</v>
          </cell>
        </row>
        <row r="80">
          <cell r="L80">
            <v>0</v>
          </cell>
        </row>
        <row r="81">
          <cell r="L81">
            <v>0</v>
          </cell>
        </row>
        <row r="82">
          <cell r="L82">
            <v>0</v>
          </cell>
        </row>
        <row r="83">
          <cell r="L83">
            <v>0</v>
          </cell>
        </row>
        <row r="84">
          <cell r="L84">
            <v>0</v>
          </cell>
        </row>
        <row r="85">
          <cell r="L85">
            <v>0</v>
          </cell>
        </row>
        <row r="86">
          <cell r="L86">
            <v>0</v>
          </cell>
        </row>
        <row r="87">
          <cell r="L87">
            <v>0</v>
          </cell>
        </row>
        <row r="88">
          <cell r="L88">
            <v>0</v>
          </cell>
        </row>
        <row r="89">
          <cell r="L89">
            <v>0</v>
          </cell>
        </row>
        <row r="90">
          <cell r="L90">
            <v>0</v>
          </cell>
        </row>
        <row r="91">
          <cell r="L91">
            <v>0</v>
          </cell>
        </row>
        <row r="92">
          <cell r="L92">
            <v>0</v>
          </cell>
        </row>
        <row r="93">
          <cell r="L93">
            <v>0</v>
          </cell>
        </row>
        <row r="94">
          <cell r="L94">
            <v>0</v>
          </cell>
        </row>
        <row r="95">
          <cell r="L95">
            <v>0</v>
          </cell>
        </row>
        <row r="96">
          <cell r="L96">
            <v>0</v>
          </cell>
        </row>
        <row r="97">
          <cell r="L97">
            <v>0</v>
          </cell>
        </row>
        <row r="98">
          <cell r="L98">
            <v>0</v>
          </cell>
        </row>
        <row r="99">
          <cell r="L99">
            <v>0</v>
          </cell>
        </row>
        <row r="100">
          <cell r="L100">
            <v>0</v>
          </cell>
        </row>
        <row r="102">
          <cell r="L102">
            <v>0</v>
          </cell>
        </row>
        <row r="103">
          <cell r="L103">
            <v>0</v>
          </cell>
        </row>
        <row r="104">
          <cell r="L104">
            <v>0</v>
          </cell>
        </row>
        <row r="105">
          <cell r="L105">
            <v>0</v>
          </cell>
        </row>
        <row r="106">
          <cell r="L106">
            <v>0</v>
          </cell>
        </row>
        <row r="107">
          <cell r="L107">
            <v>0</v>
          </cell>
        </row>
        <row r="108">
          <cell r="L108">
            <v>0</v>
          </cell>
        </row>
        <row r="109">
          <cell r="L109">
            <v>0</v>
          </cell>
        </row>
        <row r="110">
          <cell r="L110">
            <v>0</v>
          </cell>
        </row>
        <row r="111">
          <cell r="L111">
            <v>0</v>
          </cell>
        </row>
        <row r="112">
          <cell r="L112">
            <v>0</v>
          </cell>
        </row>
        <row r="113">
          <cell r="L113">
            <v>0</v>
          </cell>
        </row>
        <row r="114">
          <cell r="L114">
            <v>0</v>
          </cell>
        </row>
        <row r="115">
          <cell r="L115">
            <v>0</v>
          </cell>
        </row>
        <row r="116">
          <cell r="L116">
            <v>0</v>
          </cell>
        </row>
        <row r="117">
          <cell r="L117">
            <v>0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0"/>
  <sheetViews>
    <sheetView rightToLeft="1" tabSelected="1" zoomScale="90" zoomScaleNormal="90" workbookViewId="0">
      <selection activeCell="A3" sqref="A3"/>
    </sheetView>
  </sheetViews>
  <sheetFormatPr defaultRowHeight="14.4" x14ac:dyDescent="0.3"/>
  <cols>
    <col min="1" max="1" width="3.5546875" customWidth="1"/>
    <col min="2" max="2" width="28.33203125" customWidth="1"/>
    <col min="3" max="3" width="1.109375" customWidth="1"/>
    <col min="4" max="16" width="20.77734375" customWidth="1"/>
  </cols>
  <sheetData>
    <row r="1" spans="1:16" x14ac:dyDescent="0.3">
      <c r="A1" t="s">
        <v>0</v>
      </c>
    </row>
    <row r="2" spans="1:16" x14ac:dyDescent="0.3">
      <c r="B2" t="s">
        <v>1</v>
      </c>
      <c r="D2" s="1">
        <v>45992</v>
      </c>
    </row>
    <row r="3" spans="1:16" ht="43.95" customHeight="1" x14ac:dyDescent="0.3">
      <c r="A3" s="2" t="s">
        <v>2</v>
      </c>
      <c r="B3" s="65" t="s">
        <v>3</v>
      </c>
      <c r="C3" s="65" t="s">
        <v>4</v>
      </c>
      <c r="D3" s="65" t="s">
        <v>5</v>
      </c>
      <c r="E3" s="65" t="s">
        <v>147</v>
      </c>
      <c r="F3" s="65" t="s">
        <v>148</v>
      </c>
      <c r="G3" s="65" t="s">
        <v>67</v>
      </c>
      <c r="H3" s="65" t="s">
        <v>149</v>
      </c>
      <c r="I3" s="65" t="s">
        <v>150</v>
      </c>
      <c r="J3" s="65" t="s">
        <v>151</v>
      </c>
      <c r="K3" s="65" t="s">
        <v>152</v>
      </c>
      <c r="L3" s="65"/>
      <c r="M3" s="65" t="s">
        <v>153</v>
      </c>
      <c r="N3" s="65" t="s">
        <v>154</v>
      </c>
      <c r="O3" s="65" t="s">
        <v>78</v>
      </c>
      <c r="P3" s="65" t="s">
        <v>155</v>
      </c>
    </row>
    <row r="4" spans="1:16" x14ac:dyDescent="0.3">
      <c r="A4">
        <v>1</v>
      </c>
      <c r="B4" t="s">
        <v>6</v>
      </c>
      <c r="D4">
        <v>0</v>
      </c>
      <c r="E4" t="str">
        <f>HYPERLINK([1]اضافات!N4)</f>
        <v>0</v>
      </c>
      <c r="F4" t="str">
        <f>HYPERLINK([1]اضافات!M4)</f>
        <v>0</v>
      </c>
      <c r="G4" t="str">
        <f>HYPERLINK([1]اضافات!F4)</f>
        <v>0</v>
      </c>
      <c r="H4" t="str">
        <f>HYPERLINK([1]اضافات!O4)</f>
        <v>0</v>
      </c>
      <c r="I4" t="str">
        <f>HYPERLINK([1]خصومات!L4)</f>
        <v>0</v>
      </c>
      <c r="J4">
        <f>SUM(D4,VALUE(E4),VALUE(F4),VALUE(G4))</f>
        <v>0</v>
      </c>
      <c r="K4">
        <f>VALUE(D4)+VALUE(G4)+VALUE(H4)-VALUE(I4)</f>
        <v>0</v>
      </c>
    </row>
    <row r="5" spans="1:16" x14ac:dyDescent="0.3">
      <c r="A5">
        <v>2</v>
      </c>
      <c r="B5" t="s">
        <v>7</v>
      </c>
      <c r="D5">
        <v>0</v>
      </c>
      <c r="E5" t="str">
        <f>HYPERLINK([1]اضافات!N5)</f>
        <v>0</v>
      </c>
      <c r="F5" t="str">
        <f>HYPERLINK([1]اضافات!M5)</f>
        <v>0</v>
      </c>
      <c r="G5" t="str">
        <f>HYPERLINK([1]اضافات!F5)</f>
        <v>0</v>
      </c>
      <c r="H5" t="str">
        <f>HYPERLINK([1]اضافات!O5)</f>
        <v>0</v>
      </c>
      <c r="I5" t="str">
        <f>HYPERLINK([1]خصومات!L5)</f>
        <v>0</v>
      </c>
      <c r="J5">
        <f t="shared" ref="J5:J68" si="0">SUM(D5,VALUE(E5),VALUE(F5),VALUE(G5))</f>
        <v>0</v>
      </c>
      <c r="K5">
        <f t="shared" ref="K5:K68" si="1">VALUE(D5)+VALUE(G5)+VALUE(H5)-VALUE(I5)</f>
        <v>0</v>
      </c>
    </row>
    <row r="6" spans="1:16" x14ac:dyDescent="0.3">
      <c r="A6">
        <v>3</v>
      </c>
      <c r="B6" t="s">
        <v>8</v>
      </c>
      <c r="D6">
        <v>0</v>
      </c>
      <c r="E6" t="str">
        <f>HYPERLINK([1]اضافات!N6)</f>
        <v>0</v>
      </c>
      <c r="F6" t="str">
        <f>HYPERLINK([1]اضافات!M6)</f>
        <v>0</v>
      </c>
      <c r="G6" t="str">
        <f>HYPERLINK([1]اضافات!F6)</f>
        <v>0</v>
      </c>
      <c r="H6" t="str">
        <f>HYPERLINK([1]اضافات!O6)</f>
        <v>0</v>
      </c>
      <c r="I6" t="str">
        <f>HYPERLINK([1]خصومات!L6)</f>
        <v>0</v>
      </c>
      <c r="J6">
        <f t="shared" si="0"/>
        <v>0</v>
      </c>
      <c r="K6">
        <f t="shared" si="1"/>
        <v>0</v>
      </c>
    </row>
    <row r="7" spans="1:16" x14ac:dyDescent="0.3">
      <c r="B7" t="s">
        <v>9</v>
      </c>
      <c r="D7">
        <v>0</v>
      </c>
      <c r="E7" t="str">
        <f>HYPERLINK([1]اضافات!N7)</f>
        <v>0</v>
      </c>
      <c r="F7" t="str">
        <f>HYPERLINK([1]اضافات!M7)</f>
        <v>0</v>
      </c>
      <c r="G7" t="str">
        <f>HYPERLINK([1]اضافات!F7)</f>
        <v>0</v>
      </c>
      <c r="H7" t="str">
        <f>HYPERLINK([1]اضافات!O7)</f>
        <v>0</v>
      </c>
      <c r="I7" t="str">
        <f>HYPERLINK([1]خصومات!L7)</f>
        <v>0</v>
      </c>
      <c r="J7">
        <f t="shared" si="0"/>
        <v>0</v>
      </c>
      <c r="K7">
        <f t="shared" si="1"/>
        <v>0</v>
      </c>
    </row>
    <row r="8" spans="1:16" x14ac:dyDescent="0.3">
      <c r="B8" t="s">
        <v>9</v>
      </c>
      <c r="D8">
        <v>0</v>
      </c>
      <c r="E8" t="str">
        <f>HYPERLINK([1]اضافات!N8)</f>
        <v>0</v>
      </c>
      <c r="F8" t="str">
        <f>HYPERLINK([1]اضافات!M8)</f>
        <v>0</v>
      </c>
      <c r="G8" t="str">
        <f>HYPERLINK([1]اضافات!F8)</f>
        <v>0</v>
      </c>
      <c r="H8" t="str">
        <f>HYPERLINK([1]اضافات!O8)</f>
        <v>0</v>
      </c>
      <c r="I8" t="str">
        <f>HYPERLINK([1]خصومات!L8)</f>
        <v>0</v>
      </c>
      <c r="J8">
        <f t="shared" si="0"/>
        <v>0</v>
      </c>
      <c r="K8">
        <f t="shared" si="1"/>
        <v>0</v>
      </c>
    </row>
    <row r="9" spans="1:16" x14ac:dyDescent="0.3">
      <c r="B9" t="s">
        <v>9</v>
      </c>
      <c r="D9">
        <v>0</v>
      </c>
      <c r="E9" t="str">
        <f>HYPERLINK([1]اضافات!N9)</f>
        <v>0</v>
      </c>
      <c r="F9" t="str">
        <f>HYPERLINK([1]اضافات!M9)</f>
        <v>0</v>
      </c>
      <c r="G9" t="str">
        <f>HYPERLINK([1]اضافات!F9)</f>
        <v>0</v>
      </c>
      <c r="H9" t="str">
        <f>HYPERLINK([1]اضافات!O9)</f>
        <v>0</v>
      </c>
      <c r="I9" t="str">
        <f>HYPERLINK([1]خصومات!L9)</f>
        <v>0</v>
      </c>
      <c r="J9">
        <f t="shared" si="0"/>
        <v>0</v>
      </c>
      <c r="K9">
        <f t="shared" si="1"/>
        <v>0</v>
      </c>
    </row>
    <row r="10" spans="1:16" x14ac:dyDescent="0.3">
      <c r="B10" t="s">
        <v>9</v>
      </c>
      <c r="D10">
        <v>0</v>
      </c>
      <c r="E10" t="str">
        <f>HYPERLINK([1]اضافات!N10)</f>
        <v>0</v>
      </c>
      <c r="F10" t="str">
        <f>HYPERLINK([1]اضافات!M10)</f>
        <v>0</v>
      </c>
      <c r="G10" t="str">
        <f>HYPERLINK([1]اضافات!F10)</f>
        <v>0</v>
      </c>
      <c r="H10" t="str">
        <f>HYPERLINK([1]اضافات!O10)</f>
        <v>0</v>
      </c>
      <c r="I10" t="str">
        <f>HYPERLINK([1]خصومات!L10)</f>
        <v>0</v>
      </c>
      <c r="J10">
        <f t="shared" si="0"/>
        <v>0</v>
      </c>
      <c r="K10">
        <f t="shared" si="1"/>
        <v>0</v>
      </c>
    </row>
    <row r="11" spans="1:16" x14ac:dyDescent="0.3">
      <c r="B11" t="s">
        <v>9</v>
      </c>
      <c r="D11">
        <v>0</v>
      </c>
      <c r="E11" t="str">
        <f>HYPERLINK([1]اضافات!N11)</f>
        <v>0</v>
      </c>
      <c r="F11" t="str">
        <f>HYPERLINK([1]اضافات!M11)</f>
        <v>0</v>
      </c>
      <c r="G11" t="str">
        <f>HYPERLINK([1]اضافات!F11)</f>
        <v>0</v>
      </c>
      <c r="H11" t="str">
        <f>HYPERLINK([1]اضافات!O11)</f>
        <v>0</v>
      </c>
      <c r="I11" t="str">
        <f>HYPERLINK([1]خصومات!L11)</f>
        <v>0</v>
      </c>
      <c r="J11">
        <f t="shared" si="0"/>
        <v>0</v>
      </c>
      <c r="K11">
        <f t="shared" si="1"/>
        <v>0</v>
      </c>
    </row>
    <row r="12" spans="1:16" x14ac:dyDescent="0.3">
      <c r="B12" t="s">
        <v>9</v>
      </c>
      <c r="D12">
        <v>0</v>
      </c>
      <c r="E12" t="str">
        <f>HYPERLINK([1]اضافات!N12)</f>
        <v>0</v>
      </c>
      <c r="F12" t="str">
        <f>HYPERLINK([1]اضافات!M12)</f>
        <v>0</v>
      </c>
      <c r="G12" t="str">
        <f>HYPERLINK([1]اضافات!F12)</f>
        <v>0</v>
      </c>
      <c r="H12" t="str">
        <f>HYPERLINK([1]اضافات!O12)</f>
        <v>0</v>
      </c>
      <c r="I12" t="str">
        <f>HYPERLINK([1]خصومات!L12)</f>
        <v>0</v>
      </c>
      <c r="J12">
        <f t="shared" si="0"/>
        <v>0</v>
      </c>
      <c r="K12">
        <f t="shared" si="1"/>
        <v>0</v>
      </c>
    </row>
    <row r="13" spans="1:16" x14ac:dyDescent="0.3">
      <c r="B13" t="s">
        <v>9</v>
      </c>
      <c r="D13">
        <v>0</v>
      </c>
      <c r="E13" t="str">
        <f>HYPERLINK([1]اضافات!N13)</f>
        <v>0</v>
      </c>
      <c r="F13" t="str">
        <f>HYPERLINK([1]اضافات!M13)</f>
        <v>0</v>
      </c>
      <c r="G13" t="str">
        <f>HYPERLINK([1]اضافات!F13)</f>
        <v>0</v>
      </c>
      <c r="H13" t="str">
        <f>HYPERLINK([1]اضافات!O13)</f>
        <v>0</v>
      </c>
      <c r="I13" t="str">
        <f>HYPERLINK([1]خصومات!L13)</f>
        <v>0</v>
      </c>
      <c r="J13">
        <f t="shared" si="0"/>
        <v>0</v>
      </c>
      <c r="K13">
        <f t="shared" si="1"/>
        <v>0</v>
      </c>
    </row>
    <row r="14" spans="1:16" x14ac:dyDescent="0.3">
      <c r="B14" t="s">
        <v>9</v>
      </c>
      <c r="D14">
        <v>0</v>
      </c>
      <c r="E14" t="str">
        <f>HYPERLINK([1]اضافات!N14)</f>
        <v>0</v>
      </c>
      <c r="F14" t="str">
        <f>HYPERLINK([1]اضافات!M14)</f>
        <v>0</v>
      </c>
      <c r="G14" t="str">
        <f>HYPERLINK([1]اضافات!F14)</f>
        <v>0</v>
      </c>
      <c r="H14" t="str">
        <f>HYPERLINK([1]اضافات!O14)</f>
        <v>0</v>
      </c>
      <c r="I14" t="str">
        <f>HYPERLINK([1]خصومات!L14)</f>
        <v>0</v>
      </c>
      <c r="J14">
        <f t="shared" si="0"/>
        <v>0</v>
      </c>
      <c r="K14">
        <f t="shared" si="1"/>
        <v>0</v>
      </c>
    </row>
    <row r="15" spans="1:16" x14ac:dyDescent="0.3">
      <c r="B15" t="s">
        <v>9</v>
      </c>
      <c r="D15">
        <v>0</v>
      </c>
      <c r="E15" t="str">
        <f>HYPERLINK([1]اضافات!N15)</f>
        <v>0</v>
      </c>
      <c r="F15" t="str">
        <f>HYPERLINK([1]اضافات!M15)</f>
        <v>0</v>
      </c>
      <c r="G15" t="str">
        <f>HYPERLINK([1]اضافات!F15)</f>
        <v>0</v>
      </c>
      <c r="H15" t="str">
        <f>HYPERLINK([1]اضافات!O15)</f>
        <v>0</v>
      </c>
      <c r="I15" t="str">
        <f>HYPERLINK([1]خصومات!L15)</f>
        <v>0</v>
      </c>
      <c r="J15">
        <f t="shared" si="0"/>
        <v>0</v>
      </c>
      <c r="K15">
        <f t="shared" si="1"/>
        <v>0</v>
      </c>
    </row>
    <row r="16" spans="1:16" x14ac:dyDescent="0.3">
      <c r="B16" t="s">
        <v>9</v>
      </c>
      <c r="D16">
        <v>0</v>
      </c>
      <c r="E16" t="str">
        <f>HYPERLINK([1]اضافات!N16)</f>
        <v>0</v>
      </c>
      <c r="F16" t="str">
        <f>HYPERLINK([1]اضافات!M16)</f>
        <v>0</v>
      </c>
      <c r="G16" t="str">
        <f>HYPERLINK([1]اضافات!F16)</f>
        <v>0</v>
      </c>
      <c r="H16" t="str">
        <f>HYPERLINK([1]اضافات!O16)</f>
        <v>0</v>
      </c>
      <c r="I16" t="str">
        <f>HYPERLINK([1]خصومات!L16)</f>
        <v>0</v>
      </c>
      <c r="J16">
        <f t="shared" si="0"/>
        <v>0</v>
      </c>
      <c r="K16">
        <f t="shared" si="1"/>
        <v>0</v>
      </c>
    </row>
    <row r="17" spans="1:12" x14ac:dyDescent="0.3">
      <c r="B17" t="s">
        <v>9</v>
      </c>
      <c r="D17">
        <v>0</v>
      </c>
      <c r="E17" t="str">
        <f>HYPERLINK([1]اضافات!N17)</f>
        <v>0</v>
      </c>
      <c r="F17" t="str">
        <f>HYPERLINK([1]اضافات!M17)</f>
        <v>0</v>
      </c>
      <c r="G17" t="str">
        <f>HYPERLINK([1]اضافات!F17)</f>
        <v>0</v>
      </c>
      <c r="H17" t="str">
        <f>HYPERLINK([1]اضافات!O17)</f>
        <v>0</v>
      </c>
      <c r="I17" t="str">
        <f>HYPERLINK([1]خصومات!L17)</f>
        <v>0</v>
      </c>
      <c r="J17">
        <f t="shared" si="0"/>
        <v>0</v>
      </c>
      <c r="K17">
        <f t="shared" si="1"/>
        <v>0</v>
      </c>
    </row>
    <row r="18" spans="1:12" x14ac:dyDescent="0.3">
      <c r="A18">
        <v>3</v>
      </c>
      <c r="B18" t="s">
        <v>10</v>
      </c>
      <c r="D18">
        <f>SUM(D4:D17)</f>
        <v>0</v>
      </c>
      <c r="E18">
        <f t="shared" ref="E18:K18" si="2">SUM(E4:E17)</f>
        <v>0</v>
      </c>
      <c r="F18">
        <f t="shared" si="2"/>
        <v>0</v>
      </c>
      <c r="G18">
        <f t="shared" si="2"/>
        <v>0</v>
      </c>
      <c r="H18">
        <f t="shared" si="2"/>
        <v>0</v>
      </c>
      <c r="I18">
        <f t="shared" si="2"/>
        <v>0</v>
      </c>
      <c r="J18">
        <f t="shared" si="2"/>
        <v>0</v>
      </c>
      <c r="K18">
        <f t="shared" si="2"/>
        <v>0</v>
      </c>
      <c r="L18">
        <f>SUM(K4:K17)</f>
        <v>0</v>
      </c>
    </row>
    <row r="19" spans="1:12" x14ac:dyDescent="0.3">
      <c r="A19">
        <v>1</v>
      </c>
      <c r="B19" t="s">
        <v>11</v>
      </c>
      <c r="D19">
        <v>0</v>
      </c>
      <c r="E19" t="str">
        <f>HYPERLINK([1]اضافات!N19)</f>
        <v>0</v>
      </c>
      <c r="F19" t="str">
        <f>HYPERLINK([1]اضافات!M19)</f>
        <v>0</v>
      </c>
      <c r="G19" t="str">
        <f>HYPERLINK([1]اضافات!F19)</f>
        <v>0</v>
      </c>
      <c r="H19" t="str">
        <f>HYPERLINK([1]اضافات!O19)</f>
        <v>0</v>
      </c>
      <c r="I19" t="str">
        <f>HYPERLINK([1]خصومات!L19)</f>
        <v>0</v>
      </c>
      <c r="J19">
        <f t="shared" si="0"/>
        <v>0</v>
      </c>
      <c r="K19">
        <f t="shared" si="1"/>
        <v>0</v>
      </c>
    </row>
    <row r="20" spans="1:12" x14ac:dyDescent="0.3">
      <c r="A20">
        <v>2</v>
      </c>
      <c r="B20" t="s">
        <v>12</v>
      </c>
      <c r="D20">
        <v>0</v>
      </c>
      <c r="E20" t="str">
        <f>HYPERLINK([1]اضافات!N20)</f>
        <v>0</v>
      </c>
      <c r="F20" t="str">
        <f>HYPERLINK([1]اضافات!M20)</f>
        <v>0</v>
      </c>
      <c r="G20" t="str">
        <f>HYPERLINK([1]اضافات!F20)</f>
        <v>0</v>
      </c>
      <c r="H20" t="str">
        <f>HYPERLINK([1]اضافات!O20)</f>
        <v>0</v>
      </c>
      <c r="I20" t="str">
        <f>HYPERLINK([1]خصومات!L20)</f>
        <v>0</v>
      </c>
      <c r="J20">
        <f t="shared" si="0"/>
        <v>0</v>
      </c>
      <c r="K20">
        <f t="shared" si="1"/>
        <v>0</v>
      </c>
    </row>
    <row r="21" spans="1:12" x14ac:dyDescent="0.3">
      <c r="A21">
        <v>3</v>
      </c>
      <c r="B21" t="s">
        <v>13</v>
      </c>
      <c r="D21">
        <v>0</v>
      </c>
      <c r="E21" t="str">
        <f>HYPERLINK([1]اضافات!N21)</f>
        <v>0</v>
      </c>
      <c r="F21" t="str">
        <f>HYPERLINK([1]اضافات!M21)</f>
        <v>0</v>
      </c>
      <c r="G21" t="str">
        <f>HYPERLINK([1]اضافات!F21)</f>
        <v>0</v>
      </c>
      <c r="H21" t="str">
        <f>HYPERLINK([1]اضافات!O21)</f>
        <v>0</v>
      </c>
      <c r="I21" t="str">
        <f>HYPERLINK([1]خصومات!L21)</f>
        <v>0</v>
      </c>
      <c r="J21">
        <f t="shared" si="0"/>
        <v>0</v>
      </c>
      <c r="K21">
        <f t="shared" si="1"/>
        <v>0</v>
      </c>
    </row>
    <row r="22" spans="1:12" x14ac:dyDescent="0.3">
      <c r="A22">
        <v>4</v>
      </c>
      <c r="B22" t="s">
        <v>14</v>
      </c>
      <c r="D22">
        <v>0</v>
      </c>
      <c r="E22" t="str">
        <f>HYPERLINK([1]اضافات!N22)</f>
        <v>0</v>
      </c>
      <c r="F22" t="str">
        <f>HYPERLINK([1]اضافات!M22)</f>
        <v>0</v>
      </c>
      <c r="G22" t="str">
        <f>HYPERLINK([1]اضافات!F22)</f>
        <v>0</v>
      </c>
      <c r="H22" t="str">
        <f>HYPERLINK([1]اضافات!O22)</f>
        <v>0</v>
      </c>
      <c r="I22" t="str">
        <f>HYPERLINK([1]خصومات!L22)</f>
        <v>0</v>
      </c>
      <c r="J22">
        <f t="shared" si="0"/>
        <v>0</v>
      </c>
      <c r="K22">
        <f t="shared" si="1"/>
        <v>0</v>
      </c>
    </row>
    <row r="23" spans="1:12" x14ac:dyDescent="0.3">
      <c r="A23">
        <v>5</v>
      </c>
      <c r="B23" t="s">
        <v>15</v>
      </c>
      <c r="D23">
        <v>0</v>
      </c>
      <c r="E23" t="str">
        <f>HYPERLINK([1]اضافات!N23)</f>
        <v>0</v>
      </c>
      <c r="F23" t="str">
        <f>HYPERLINK([1]اضافات!M23)</f>
        <v>0</v>
      </c>
      <c r="G23" t="str">
        <f>HYPERLINK([1]اضافات!F23)</f>
        <v>0</v>
      </c>
      <c r="H23" t="str">
        <f>HYPERLINK([1]اضافات!O23)</f>
        <v>0</v>
      </c>
      <c r="I23" t="str">
        <f>HYPERLINK([1]خصومات!L23)</f>
        <v>0</v>
      </c>
      <c r="J23">
        <f t="shared" si="0"/>
        <v>0</v>
      </c>
      <c r="K23">
        <f t="shared" si="1"/>
        <v>0</v>
      </c>
    </row>
    <row r="24" spans="1:12" x14ac:dyDescent="0.3">
      <c r="A24">
        <v>6</v>
      </c>
      <c r="B24" t="s">
        <v>16</v>
      </c>
      <c r="D24">
        <v>0</v>
      </c>
      <c r="E24" t="str">
        <f>HYPERLINK([1]اضافات!N24)</f>
        <v>0</v>
      </c>
      <c r="F24" t="str">
        <f>HYPERLINK([1]اضافات!M24)</f>
        <v>0</v>
      </c>
      <c r="G24" t="str">
        <f>HYPERLINK([1]اضافات!F24)</f>
        <v>0</v>
      </c>
      <c r="H24" t="str">
        <f>HYPERLINK([1]اضافات!O24)</f>
        <v>0</v>
      </c>
      <c r="I24" t="str">
        <f>HYPERLINK([1]خصومات!L24)</f>
        <v>0</v>
      </c>
      <c r="J24">
        <f t="shared" si="0"/>
        <v>0</v>
      </c>
      <c r="K24">
        <f t="shared" si="1"/>
        <v>0</v>
      </c>
    </row>
    <row r="25" spans="1:12" x14ac:dyDescent="0.3">
      <c r="A25">
        <v>7</v>
      </c>
      <c r="B25" t="s">
        <v>17</v>
      </c>
      <c r="D25">
        <v>0</v>
      </c>
      <c r="E25" t="str">
        <f>HYPERLINK([1]اضافات!N25)</f>
        <v>0</v>
      </c>
      <c r="F25" t="str">
        <f>HYPERLINK([1]اضافات!M25)</f>
        <v>0</v>
      </c>
      <c r="G25" t="str">
        <f>HYPERLINK([1]اضافات!F25)</f>
        <v>0</v>
      </c>
      <c r="H25" t="str">
        <f>HYPERLINK([1]اضافات!O25)</f>
        <v>0</v>
      </c>
      <c r="I25" t="str">
        <f>HYPERLINK([1]خصومات!L25)</f>
        <v>0</v>
      </c>
      <c r="J25">
        <f t="shared" si="0"/>
        <v>0</v>
      </c>
      <c r="K25">
        <f t="shared" si="1"/>
        <v>0</v>
      </c>
    </row>
    <row r="26" spans="1:12" x14ac:dyDescent="0.3">
      <c r="B26" t="s">
        <v>9</v>
      </c>
      <c r="D26">
        <v>0</v>
      </c>
      <c r="E26" t="str">
        <f>HYPERLINK([1]اضافات!N26)</f>
        <v>0</v>
      </c>
      <c r="F26" t="str">
        <f>HYPERLINK([1]اضافات!M26)</f>
        <v>0</v>
      </c>
      <c r="G26" t="str">
        <f>HYPERLINK([1]اضافات!F26)</f>
        <v>0</v>
      </c>
      <c r="H26" t="str">
        <f>HYPERLINK([1]اضافات!O26)</f>
        <v>0</v>
      </c>
      <c r="I26" t="str">
        <f>HYPERLINK([1]خصومات!L26)</f>
        <v>0</v>
      </c>
      <c r="J26">
        <f t="shared" si="0"/>
        <v>0</v>
      </c>
      <c r="K26">
        <f t="shared" si="1"/>
        <v>0</v>
      </c>
    </row>
    <row r="27" spans="1:12" x14ac:dyDescent="0.3">
      <c r="B27" t="s">
        <v>9</v>
      </c>
      <c r="D27">
        <v>0</v>
      </c>
      <c r="E27" t="str">
        <f>HYPERLINK([1]اضافات!N27)</f>
        <v>0</v>
      </c>
      <c r="F27" t="str">
        <f>HYPERLINK([1]اضافات!M27)</f>
        <v>0</v>
      </c>
      <c r="G27" t="str">
        <f>HYPERLINK([1]اضافات!F27)</f>
        <v>0</v>
      </c>
      <c r="H27" t="str">
        <f>HYPERLINK([1]اضافات!O27)</f>
        <v>0</v>
      </c>
      <c r="I27" t="str">
        <f>HYPERLINK([1]خصومات!L27)</f>
        <v>0</v>
      </c>
      <c r="J27">
        <f t="shared" si="0"/>
        <v>0</v>
      </c>
      <c r="K27">
        <f t="shared" si="1"/>
        <v>0</v>
      </c>
    </row>
    <row r="28" spans="1:12" x14ac:dyDescent="0.3">
      <c r="B28" t="s">
        <v>9</v>
      </c>
      <c r="D28">
        <v>0</v>
      </c>
      <c r="E28" t="str">
        <f>HYPERLINK([1]اضافات!N28)</f>
        <v>0</v>
      </c>
      <c r="F28" t="str">
        <f>HYPERLINK([1]اضافات!M28)</f>
        <v>0</v>
      </c>
      <c r="G28" t="str">
        <f>HYPERLINK([1]اضافات!F28)</f>
        <v>0</v>
      </c>
      <c r="H28" t="str">
        <f>HYPERLINK([1]اضافات!O28)</f>
        <v>0</v>
      </c>
      <c r="I28" t="str">
        <f>HYPERLINK([1]خصومات!L28)</f>
        <v>0</v>
      </c>
      <c r="J28">
        <f t="shared" si="0"/>
        <v>0</v>
      </c>
      <c r="K28">
        <f t="shared" si="1"/>
        <v>0</v>
      </c>
    </row>
    <row r="29" spans="1:12" x14ac:dyDescent="0.3">
      <c r="B29" t="s">
        <v>9</v>
      </c>
      <c r="D29">
        <v>0</v>
      </c>
      <c r="E29" t="str">
        <f>HYPERLINK([1]اضافات!N29)</f>
        <v>0</v>
      </c>
      <c r="F29" t="str">
        <f>HYPERLINK([1]اضافات!M29)</f>
        <v>0</v>
      </c>
      <c r="G29" t="str">
        <f>HYPERLINK([1]اضافات!F29)</f>
        <v>0</v>
      </c>
      <c r="H29" t="str">
        <f>HYPERLINK([1]اضافات!O29)</f>
        <v>0</v>
      </c>
      <c r="I29" t="str">
        <f>HYPERLINK([1]خصومات!L29)</f>
        <v>0</v>
      </c>
      <c r="J29">
        <f t="shared" si="0"/>
        <v>0</v>
      </c>
      <c r="K29">
        <f t="shared" si="1"/>
        <v>0</v>
      </c>
    </row>
    <row r="30" spans="1:12" x14ac:dyDescent="0.3">
      <c r="B30" t="s">
        <v>9</v>
      </c>
      <c r="D30">
        <v>0</v>
      </c>
      <c r="E30" t="str">
        <f>HYPERLINK([1]اضافات!N30)</f>
        <v>0</v>
      </c>
      <c r="F30" t="str">
        <f>HYPERLINK([1]اضافات!M30)</f>
        <v>0</v>
      </c>
      <c r="G30" t="str">
        <f>HYPERLINK([1]اضافات!F30)</f>
        <v>0</v>
      </c>
      <c r="H30" t="str">
        <f>HYPERLINK([1]اضافات!O30)</f>
        <v>0</v>
      </c>
      <c r="I30" t="str">
        <f>HYPERLINK([1]خصومات!L30)</f>
        <v>0</v>
      </c>
      <c r="J30">
        <f t="shared" si="0"/>
        <v>0</v>
      </c>
      <c r="K30">
        <f t="shared" si="1"/>
        <v>0</v>
      </c>
    </row>
    <row r="31" spans="1:12" x14ac:dyDescent="0.3">
      <c r="B31" t="s">
        <v>9</v>
      </c>
      <c r="D31">
        <v>0</v>
      </c>
      <c r="E31" t="str">
        <f>HYPERLINK([1]اضافات!N31)</f>
        <v>0</v>
      </c>
      <c r="F31" t="str">
        <f>HYPERLINK([1]اضافات!M31)</f>
        <v>0</v>
      </c>
      <c r="G31" t="str">
        <f>HYPERLINK([1]اضافات!F31)</f>
        <v>0</v>
      </c>
      <c r="H31" t="str">
        <f>HYPERLINK([1]اضافات!O31)</f>
        <v>0</v>
      </c>
      <c r="I31" t="str">
        <f>HYPERLINK([1]خصومات!L31)</f>
        <v>0</v>
      </c>
      <c r="J31">
        <f t="shared" si="0"/>
        <v>0</v>
      </c>
      <c r="K31">
        <f t="shared" si="1"/>
        <v>0</v>
      </c>
    </row>
    <row r="32" spans="1:12" x14ac:dyDescent="0.3">
      <c r="B32" t="s">
        <v>9</v>
      </c>
      <c r="D32">
        <v>0</v>
      </c>
      <c r="E32" t="str">
        <f>HYPERLINK([1]اضافات!N32)</f>
        <v>0</v>
      </c>
      <c r="F32" t="str">
        <f>HYPERLINK([1]اضافات!M32)</f>
        <v>0</v>
      </c>
      <c r="G32" t="str">
        <f>HYPERLINK([1]اضافات!F32)</f>
        <v>0</v>
      </c>
      <c r="H32" t="str">
        <f>HYPERLINK([1]اضافات!O32)</f>
        <v>0</v>
      </c>
      <c r="I32" t="str">
        <f>HYPERLINK([1]خصومات!L32)</f>
        <v>0</v>
      </c>
      <c r="J32">
        <f t="shared" si="0"/>
        <v>0</v>
      </c>
      <c r="K32">
        <f t="shared" si="1"/>
        <v>0</v>
      </c>
    </row>
    <row r="33" spans="1:11" x14ac:dyDescent="0.3">
      <c r="A33">
        <v>8</v>
      </c>
      <c r="B33" t="s">
        <v>18</v>
      </c>
      <c r="D33">
        <v>0</v>
      </c>
      <c r="E33" t="str">
        <f>HYPERLINK([1]اضافات!N33)</f>
        <v>0</v>
      </c>
      <c r="F33" t="str">
        <f>HYPERLINK([1]اضافات!M33)</f>
        <v>0</v>
      </c>
      <c r="G33" t="str">
        <f>HYPERLINK([1]اضافات!F33)</f>
        <v>0</v>
      </c>
      <c r="H33" t="str">
        <f>HYPERLINK([1]اضافات!O33)</f>
        <v>0</v>
      </c>
      <c r="I33" t="str">
        <f>HYPERLINK([1]خصومات!L33)</f>
        <v>0</v>
      </c>
      <c r="J33">
        <f t="shared" si="0"/>
        <v>0</v>
      </c>
      <c r="K33">
        <f t="shared" si="1"/>
        <v>0</v>
      </c>
    </row>
    <row r="34" spans="1:11" x14ac:dyDescent="0.3">
      <c r="A34">
        <v>9</v>
      </c>
      <c r="B34" t="s">
        <v>19</v>
      </c>
      <c r="D34">
        <v>0</v>
      </c>
      <c r="E34" t="str">
        <f>HYPERLINK([1]اضافات!N34)</f>
        <v>0</v>
      </c>
      <c r="F34" t="str">
        <f>HYPERLINK([1]اضافات!M34)</f>
        <v>0</v>
      </c>
      <c r="G34" t="str">
        <f>HYPERLINK([1]اضافات!F34)</f>
        <v>0</v>
      </c>
      <c r="H34" t="str">
        <f>HYPERLINK([1]اضافات!O34)</f>
        <v>0</v>
      </c>
      <c r="I34" t="str">
        <f>HYPERLINK([1]خصومات!L34)</f>
        <v>0</v>
      </c>
      <c r="J34">
        <f t="shared" si="0"/>
        <v>0</v>
      </c>
      <c r="K34">
        <f t="shared" si="1"/>
        <v>0</v>
      </c>
    </row>
    <row r="35" spans="1:11" x14ac:dyDescent="0.3">
      <c r="A35">
        <v>10</v>
      </c>
      <c r="B35" t="s">
        <v>20</v>
      </c>
      <c r="D35">
        <v>0</v>
      </c>
      <c r="E35" t="str">
        <f>HYPERLINK([1]اضافات!N35)</f>
        <v>0</v>
      </c>
      <c r="F35" t="str">
        <f>HYPERLINK([1]اضافات!M35)</f>
        <v>0</v>
      </c>
      <c r="G35" t="str">
        <f>HYPERLINK([1]اضافات!F35)</f>
        <v>0</v>
      </c>
      <c r="H35" t="str">
        <f>HYPERLINK([1]اضافات!O35)</f>
        <v>0</v>
      </c>
      <c r="I35" t="str">
        <f>HYPERLINK([1]خصومات!L35)</f>
        <v>0</v>
      </c>
      <c r="J35">
        <f t="shared" si="0"/>
        <v>0</v>
      </c>
      <c r="K35">
        <f t="shared" si="1"/>
        <v>0</v>
      </c>
    </row>
    <row r="36" spans="1:11" x14ac:dyDescent="0.3">
      <c r="B36" t="s">
        <v>9</v>
      </c>
      <c r="D36">
        <v>0</v>
      </c>
      <c r="E36" t="str">
        <f>HYPERLINK([1]اضافات!N36)</f>
        <v>0</v>
      </c>
      <c r="F36" t="str">
        <f>HYPERLINK([1]اضافات!M36)</f>
        <v>0</v>
      </c>
      <c r="G36" t="str">
        <f>HYPERLINK([1]اضافات!F36)</f>
        <v>0</v>
      </c>
      <c r="H36" t="str">
        <f>HYPERLINK([1]اضافات!O36)</f>
        <v>0</v>
      </c>
      <c r="I36" t="str">
        <f>HYPERLINK([1]خصومات!L36)</f>
        <v>0</v>
      </c>
      <c r="J36">
        <f t="shared" si="0"/>
        <v>0</v>
      </c>
      <c r="K36">
        <f t="shared" si="1"/>
        <v>0</v>
      </c>
    </row>
    <row r="37" spans="1:11" x14ac:dyDescent="0.3">
      <c r="B37" t="s">
        <v>9</v>
      </c>
      <c r="D37">
        <v>0</v>
      </c>
      <c r="E37" t="str">
        <f>HYPERLINK([1]اضافات!N37)</f>
        <v>0</v>
      </c>
      <c r="F37" t="str">
        <f>HYPERLINK([1]اضافات!M37)</f>
        <v>0</v>
      </c>
      <c r="G37" t="str">
        <f>HYPERLINK([1]اضافات!F37)</f>
        <v>0</v>
      </c>
      <c r="H37" t="str">
        <f>HYPERLINK([1]اضافات!O37)</f>
        <v>0</v>
      </c>
      <c r="I37" t="str">
        <f>HYPERLINK([1]خصومات!L37)</f>
        <v>0</v>
      </c>
      <c r="J37">
        <f t="shared" si="0"/>
        <v>0</v>
      </c>
      <c r="K37">
        <f t="shared" si="1"/>
        <v>0</v>
      </c>
    </row>
    <row r="38" spans="1:11" x14ac:dyDescent="0.3">
      <c r="B38" t="s">
        <v>9</v>
      </c>
      <c r="D38">
        <v>0</v>
      </c>
      <c r="E38" t="str">
        <f>HYPERLINK([1]اضافات!N38)</f>
        <v>0</v>
      </c>
      <c r="F38" t="str">
        <f>HYPERLINK([1]اضافات!M38)</f>
        <v>0</v>
      </c>
      <c r="G38" t="str">
        <f>HYPERLINK([1]اضافات!F38)</f>
        <v>0</v>
      </c>
      <c r="H38" t="str">
        <f>HYPERLINK([1]اضافات!O38)</f>
        <v>0</v>
      </c>
      <c r="I38" t="str">
        <f>HYPERLINK([1]خصومات!L38)</f>
        <v>0</v>
      </c>
      <c r="J38">
        <f t="shared" si="0"/>
        <v>0</v>
      </c>
      <c r="K38">
        <f t="shared" si="1"/>
        <v>0</v>
      </c>
    </row>
    <row r="39" spans="1:11" x14ac:dyDescent="0.3">
      <c r="B39" t="s">
        <v>9</v>
      </c>
      <c r="D39">
        <v>0</v>
      </c>
      <c r="E39" t="str">
        <f>HYPERLINK([1]اضافات!N39)</f>
        <v>0</v>
      </c>
      <c r="F39" t="str">
        <f>HYPERLINK([1]اضافات!M39)</f>
        <v>0</v>
      </c>
      <c r="G39" t="str">
        <f>HYPERLINK([1]اضافات!F39)</f>
        <v>0</v>
      </c>
      <c r="H39" t="str">
        <f>HYPERLINK([1]اضافات!O39)</f>
        <v>0</v>
      </c>
      <c r="I39" t="str">
        <f>HYPERLINK([1]خصومات!L39)</f>
        <v>0</v>
      </c>
      <c r="J39">
        <f t="shared" si="0"/>
        <v>0</v>
      </c>
      <c r="K39">
        <f t="shared" si="1"/>
        <v>0</v>
      </c>
    </row>
    <row r="40" spans="1:11" x14ac:dyDescent="0.3">
      <c r="B40" t="s">
        <v>9</v>
      </c>
      <c r="D40">
        <v>0</v>
      </c>
      <c r="E40" t="str">
        <f>HYPERLINK([1]اضافات!N40)</f>
        <v>0</v>
      </c>
      <c r="F40" t="str">
        <f>HYPERLINK([1]اضافات!M40)</f>
        <v>0</v>
      </c>
      <c r="G40" t="str">
        <f>HYPERLINK([1]اضافات!F40)</f>
        <v>0</v>
      </c>
      <c r="H40" t="str">
        <f>HYPERLINK([1]اضافات!O40)</f>
        <v>0</v>
      </c>
      <c r="I40" t="str">
        <f>HYPERLINK([1]خصومات!L40)</f>
        <v>0</v>
      </c>
      <c r="J40">
        <f t="shared" si="0"/>
        <v>0</v>
      </c>
      <c r="K40">
        <f t="shared" si="1"/>
        <v>0</v>
      </c>
    </row>
    <row r="41" spans="1:11" x14ac:dyDescent="0.3">
      <c r="B41" t="s">
        <v>9</v>
      </c>
      <c r="D41">
        <v>0</v>
      </c>
      <c r="E41" t="str">
        <f>HYPERLINK([1]اضافات!N41)</f>
        <v>0</v>
      </c>
      <c r="F41" t="str">
        <f>HYPERLINK([1]اضافات!M41)</f>
        <v>0</v>
      </c>
      <c r="G41" t="str">
        <f>HYPERLINK([1]اضافات!F41)</f>
        <v>0</v>
      </c>
      <c r="H41" t="str">
        <f>HYPERLINK([1]اضافات!O41)</f>
        <v>0</v>
      </c>
      <c r="I41" t="str">
        <f>HYPERLINK([1]خصومات!L41)</f>
        <v>0</v>
      </c>
      <c r="J41">
        <f t="shared" si="0"/>
        <v>0</v>
      </c>
      <c r="K41">
        <f t="shared" si="1"/>
        <v>0</v>
      </c>
    </row>
    <row r="42" spans="1:11" x14ac:dyDescent="0.3">
      <c r="B42" t="s">
        <v>9</v>
      </c>
      <c r="D42">
        <v>0</v>
      </c>
      <c r="E42" t="str">
        <f>HYPERLINK([1]اضافات!N42)</f>
        <v>0</v>
      </c>
      <c r="F42" t="str">
        <f>HYPERLINK([1]اضافات!M42)</f>
        <v>0</v>
      </c>
      <c r="G42" t="str">
        <f>HYPERLINK([1]اضافات!F42)</f>
        <v>0</v>
      </c>
      <c r="H42" t="str">
        <f>HYPERLINK([1]اضافات!O42)</f>
        <v>0</v>
      </c>
      <c r="I42" t="str">
        <f>HYPERLINK([1]خصومات!L42)</f>
        <v>0</v>
      </c>
      <c r="J42">
        <f t="shared" si="0"/>
        <v>0</v>
      </c>
      <c r="K42">
        <f t="shared" si="1"/>
        <v>0</v>
      </c>
    </row>
    <row r="43" spans="1:11" x14ac:dyDescent="0.3">
      <c r="B43" t="s">
        <v>9</v>
      </c>
      <c r="D43">
        <v>0</v>
      </c>
      <c r="E43" t="str">
        <f>HYPERLINK([1]اضافات!N43)</f>
        <v>0</v>
      </c>
      <c r="F43" t="str">
        <f>HYPERLINK([1]اضافات!M43)</f>
        <v>0</v>
      </c>
      <c r="G43" t="str">
        <f>HYPERLINK([1]اضافات!F43)</f>
        <v>0</v>
      </c>
      <c r="H43" t="str">
        <f>HYPERLINK([1]اضافات!O43)</f>
        <v>0</v>
      </c>
      <c r="I43" t="str">
        <f>HYPERLINK([1]خصومات!L43)</f>
        <v>0</v>
      </c>
      <c r="J43">
        <f t="shared" si="0"/>
        <v>0</v>
      </c>
      <c r="K43">
        <f t="shared" si="1"/>
        <v>0</v>
      </c>
    </row>
    <row r="44" spans="1:11" x14ac:dyDescent="0.3">
      <c r="B44" t="s">
        <v>9</v>
      </c>
      <c r="D44">
        <v>0</v>
      </c>
      <c r="E44" t="str">
        <f>HYPERLINK([1]اضافات!N44)</f>
        <v>0</v>
      </c>
      <c r="F44" t="str">
        <f>HYPERLINK([1]اضافات!M44)</f>
        <v>0</v>
      </c>
      <c r="G44" t="str">
        <f>HYPERLINK([1]اضافات!F44)</f>
        <v>0</v>
      </c>
      <c r="H44" t="str">
        <f>HYPERLINK([1]اضافات!O44)</f>
        <v>0</v>
      </c>
      <c r="I44" t="str">
        <f>HYPERLINK([1]خصومات!L44)</f>
        <v>0</v>
      </c>
      <c r="J44">
        <f t="shared" si="0"/>
        <v>0</v>
      </c>
      <c r="K44">
        <f t="shared" si="1"/>
        <v>0</v>
      </c>
    </row>
    <row r="45" spans="1:11" x14ac:dyDescent="0.3">
      <c r="A45">
        <v>11</v>
      </c>
      <c r="B45" t="s">
        <v>21</v>
      </c>
      <c r="D45">
        <v>0</v>
      </c>
      <c r="E45" t="str">
        <f>HYPERLINK([1]اضافات!N45)</f>
        <v>0</v>
      </c>
      <c r="F45" t="str">
        <f>HYPERLINK([1]اضافات!M45)</f>
        <v>0</v>
      </c>
      <c r="G45" t="str">
        <f>HYPERLINK([1]اضافات!F45)</f>
        <v>0</v>
      </c>
      <c r="H45" t="str">
        <f>HYPERLINK([1]اضافات!O45)</f>
        <v>0</v>
      </c>
      <c r="I45" t="str">
        <f>HYPERLINK([1]خصومات!L45)</f>
        <v>0</v>
      </c>
      <c r="J45">
        <f t="shared" si="0"/>
        <v>0</v>
      </c>
      <c r="K45">
        <f t="shared" si="1"/>
        <v>0</v>
      </c>
    </row>
    <row r="46" spans="1:11" x14ac:dyDescent="0.3">
      <c r="A46">
        <v>12</v>
      </c>
      <c r="B46" t="s">
        <v>22</v>
      </c>
      <c r="D46">
        <v>0</v>
      </c>
      <c r="E46" t="str">
        <f>HYPERLINK([1]اضافات!N46)</f>
        <v>0</v>
      </c>
      <c r="F46" t="str">
        <f>HYPERLINK([1]اضافات!M46)</f>
        <v>0</v>
      </c>
      <c r="G46" t="str">
        <f>HYPERLINK([1]اضافات!F46)</f>
        <v>0</v>
      </c>
      <c r="H46" t="str">
        <f>HYPERLINK([1]اضافات!O46)</f>
        <v>0</v>
      </c>
      <c r="I46" t="str">
        <f>HYPERLINK([1]خصومات!L46)</f>
        <v>0</v>
      </c>
      <c r="J46">
        <f t="shared" si="0"/>
        <v>0</v>
      </c>
      <c r="K46">
        <f t="shared" si="1"/>
        <v>0</v>
      </c>
    </row>
    <row r="47" spans="1:11" x14ac:dyDescent="0.3">
      <c r="A47">
        <v>13</v>
      </c>
      <c r="B47" t="s">
        <v>23</v>
      </c>
      <c r="D47">
        <v>0</v>
      </c>
      <c r="E47" t="str">
        <f>HYPERLINK([1]اضافات!N47)</f>
        <v>0</v>
      </c>
      <c r="F47" t="str">
        <f>HYPERLINK([1]اضافات!M47)</f>
        <v>0</v>
      </c>
      <c r="G47" t="str">
        <f>HYPERLINK([1]اضافات!F47)</f>
        <v>0</v>
      </c>
      <c r="H47" t="str">
        <f>HYPERLINK([1]اضافات!O47)</f>
        <v>0</v>
      </c>
      <c r="I47" t="str">
        <f>HYPERLINK([1]خصومات!L47)</f>
        <v>0</v>
      </c>
      <c r="J47">
        <f t="shared" si="0"/>
        <v>0</v>
      </c>
      <c r="K47">
        <f t="shared" si="1"/>
        <v>0</v>
      </c>
    </row>
    <row r="48" spans="1:11" x14ac:dyDescent="0.3">
      <c r="A48">
        <v>14</v>
      </c>
      <c r="B48" t="s">
        <v>24</v>
      </c>
      <c r="D48">
        <v>0</v>
      </c>
      <c r="E48" t="str">
        <f>HYPERLINK([1]اضافات!N48)</f>
        <v>0</v>
      </c>
      <c r="F48" t="str">
        <f>HYPERLINK([1]اضافات!M48)</f>
        <v>0</v>
      </c>
      <c r="G48" t="str">
        <f>HYPERLINK([1]اضافات!F48)</f>
        <v>0</v>
      </c>
      <c r="H48" t="str">
        <f>HYPERLINK([1]اضافات!O48)</f>
        <v>0</v>
      </c>
      <c r="I48" t="str">
        <f>HYPERLINK([1]خصومات!L48)</f>
        <v>0</v>
      </c>
      <c r="J48">
        <f t="shared" si="0"/>
        <v>0</v>
      </c>
      <c r="K48">
        <f t="shared" si="1"/>
        <v>0</v>
      </c>
    </row>
    <row r="49" spans="1:12" x14ac:dyDescent="0.3">
      <c r="A49">
        <v>15</v>
      </c>
      <c r="B49" t="s">
        <v>25</v>
      </c>
      <c r="D49">
        <v>0</v>
      </c>
      <c r="E49" t="str">
        <f>HYPERLINK([1]اضافات!N49)</f>
        <v>0</v>
      </c>
      <c r="F49" t="str">
        <f>HYPERLINK([1]اضافات!M49)</f>
        <v>0</v>
      </c>
      <c r="G49" t="str">
        <f>HYPERLINK([1]اضافات!F49)</f>
        <v>0</v>
      </c>
      <c r="H49" t="str">
        <f>HYPERLINK([1]اضافات!O49)</f>
        <v>0</v>
      </c>
      <c r="I49" t="str">
        <f>HYPERLINK([1]خصومات!L49)</f>
        <v>0</v>
      </c>
      <c r="J49">
        <f t="shared" si="0"/>
        <v>0</v>
      </c>
      <c r="K49">
        <f t="shared" si="1"/>
        <v>0</v>
      </c>
    </row>
    <row r="50" spans="1:12" x14ac:dyDescent="0.3">
      <c r="B50" t="s">
        <v>9</v>
      </c>
      <c r="D50">
        <v>0</v>
      </c>
      <c r="E50" t="str">
        <f>HYPERLINK([1]اضافات!N50)</f>
        <v>0</v>
      </c>
      <c r="F50" t="str">
        <f>HYPERLINK([1]اضافات!M50)</f>
        <v>0</v>
      </c>
      <c r="G50" t="str">
        <f>HYPERLINK([1]اضافات!F50)</f>
        <v>0</v>
      </c>
      <c r="H50" t="str">
        <f>HYPERLINK([1]اضافات!O50)</f>
        <v>0</v>
      </c>
      <c r="I50" t="str">
        <f>HYPERLINK([1]خصومات!L50)</f>
        <v>0</v>
      </c>
      <c r="J50">
        <f t="shared" si="0"/>
        <v>0</v>
      </c>
      <c r="K50">
        <f t="shared" si="1"/>
        <v>0</v>
      </c>
    </row>
    <row r="51" spans="1:12" x14ac:dyDescent="0.3">
      <c r="B51" t="s">
        <v>9</v>
      </c>
      <c r="D51">
        <v>0</v>
      </c>
      <c r="E51" t="str">
        <f>HYPERLINK([1]اضافات!N51)</f>
        <v>0</v>
      </c>
      <c r="F51" t="str">
        <f>HYPERLINK([1]اضافات!M51)</f>
        <v>0</v>
      </c>
      <c r="G51" t="str">
        <f>HYPERLINK([1]اضافات!F51)</f>
        <v>0</v>
      </c>
      <c r="H51" t="str">
        <f>HYPERLINK([1]اضافات!O51)</f>
        <v>0</v>
      </c>
      <c r="I51" t="str">
        <f>HYPERLINK([1]خصومات!L51)</f>
        <v>0</v>
      </c>
      <c r="J51">
        <f t="shared" si="0"/>
        <v>0</v>
      </c>
      <c r="K51">
        <f t="shared" si="1"/>
        <v>0</v>
      </c>
    </row>
    <row r="52" spans="1:12" x14ac:dyDescent="0.3">
      <c r="B52" t="s">
        <v>9</v>
      </c>
      <c r="D52">
        <v>0</v>
      </c>
      <c r="E52" t="str">
        <f>HYPERLINK([1]اضافات!N52)</f>
        <v>0</v>
      </c>
      <c r="F52" t="str">
        <f>HYPERLINK([1]اضافات!M52)</f>
        <v>0</v>
      </c>
      <c r="G52" t="str">
        <f>HYPERLINK([1]اضافات!F52)</f>
        <v>0</v>
      </c>
      <c r="H52" t="str">
        <f>HYPERLINK([1]اضافات!O52)</f>
        <v>0</v>
      </c>
      <c r="I52" t="str">
        <f>HYPERLINK([1]خصومات!L52)</f>
        <v>0</v>
      </c>
      <c r="J52">
        <f t="shared" si="0"/>
        <v>0</v>
      </c>
      <c r="K52">
        <f t="shared" si="1"/>
        <v>0</v>
      </c>
    </row>
    <row r="53" spans="1:12" x14ac:dyDescent="0.3">
      <c r="B53" t="s">
        <v>9</v>
      </c>
      <c r="D53">
        <v>0</v>
      </c>
      <c r="E53" t="str">
        <f>HYPERLINK([1]اضافات!N53)</f>
        <v>0</v>
      </c>
      <c r="F53" t="str">
        <f>HYPERLINK([1]اضافات!M53)</f>
        <v>0</v>
      </c>
      <c r="G53" t="str">
        <f>HYPERLINK([1]اضافات!F53)</f>
        <v>0</v>
      </c>
      <c r="H53" t="str">
        <f>HYPERLINK([1]اضافات!O53)</f>
        <v>0</v>
      </c>
      <c r="I53" t="str">
        <f>HYPERLINK([1]خصومات!L53)</f>
        <v>0</v>
      </c>
      <c r="J53">
        <f t="shared" si="0"/>
        <v>0</v>
      </c>
      <c r="K53">
        <f t="shared" si="1"/>
        <v>0</v>
      </c>
    </row>
    <row r="54" spans="1:12" x14ac:dyDescent="0.3">
      <c r="B54" t="s">
        <v>9</v>
      </c>
      <c r="D54">
        <v>0</v>
      </c>
      <c r="E54" t="str">
        <f>HYPERLINK([1]اضافات!N54)</f>
        <v>0</v>
      </c>
      <c r="F54" t="str">
        <f>HYPERLINK([1]اضافات!M54)</f>
        <v>0</v>
      </c>
      <c r="G54" t="str">
        <f>HYPERLINK([1]اضافات!F54)</f>
        <v>0</v>
      </c>
      <c r="H54" t="str">
        <f>HYPERLINK([1]اضافات!O54)</f>
        <v>0</v>
      </c>
      <c r="I54" t="str">
        <f>HYPERLINK([1]خصومات!L54)</f>
        <v>0</v>
      </c>
      <c r="J54">
        <f t="shared" si="0"/>
        <v>0</v>
      </c>
      <c r="K54">
        <f t="shared" si="1"/>
        <v>0</v>
      </c>
    </row>
    <row r="55" spans="1:12" x14ac:dyDescent="0.3">
      <c r="B55" t="s">
        <v>9</v>
      </c>
      <c r="D55">
        <v>0</v>
      </c>
      <c r="E55" t="str">
        <f>HYPERLINK([1]اضافات!N55)</f>
        <v>0</v>
      </c>
      <c r="F55" t="str">
        <f>HYPERLINK([1]اضافات!M55)</f>
        <v>0</v>
      </c>
      <c r="G55" t="str">
        <f>HYPERLINK([1]اضافات!F55)</f>
        <v>0</v>
      </c>
      <c r="H55" t="str">
        <f>HYPERLINK([1]اضافات!O55)</f>
        <v>0</v>
      </c>
      <c r="I55" t="str">
        <f>HYPERLINK([1]خصومات!L55)</f>
        <v>0</v>
      </c>
      <c r="J55">
        <f t="shared" si="0"/>
        <v>0</v>
      </c>
      <c r="K55">
        <f t="shared" si="1"/>
        <v>0</v>
      </c>
    </row>
    <row r="56" spans="1:12" x14ac:dyDescent="0.3">
      <c r="A56">
        <v>15</v>
      </c>
      <c r="B56" t="s">
        <v>26</v>
      </c>
      <c r="D56">
        <f>SUM(D19:D55)</f>
        <v>0</v>
      </c>
      <c r="E56">
        <f t="shared" ref="E56:K56" si="3">SUM(E19:E55)</f>
        <v>0</v>
      </c>
      <c r="F56">
        <f t="shared" si="3"/>
        <v>0</v>
      </c>
      <c r="G56">
        <f t="shared" si="3"/>
        <v>0</v>
      </c>
      <c r="H56">
        <f t="shared" si="3"/>
        <v>0</v>
      </c>
      <c r="I56">
        <f t="shared" si="3"/>
        <v>0</v>
      </c>
      <c r="J56">
        <f t="shared" si="3"/>
        <v>0</v>
      </c>
      <c r="K56">
        <f t="shared" si="3"/>
        <v>0</v>
      </c>
      <c r="L56">
        <f>SUM(K19:K55)</f>
        <v>0</v>
      </c>
    </row>
    <row r="57" spans="1:12" x14ac:dyDescent="0.3">
      <c r="A57">
        <v>1</v>
      </c>
      <c r="B57" t="s">
        <v>27</v>
      </c>
      <c r="D57">
        <v>0</v>
      </c>
      <c r="E57" t="str">
        <f>HYPERLINK([1]اضافات!N57)</f>
        <v>0</v>
      </c>
      <c r="F57" t="str">
        <f>HYPERLINK([1]اضافات!M57)</f>
        <v>0</v>
      </c>
      <c r="G57" t="str">
        <f>HYPERLINK([1]اضافات!F57)</f>
        <v>0</v>
      </c>
      <c r="H57" t="str">
        <f>HYPERLINK([1]اضافات!O57)</f>
        <v>0</v>
      </c>
      <c r="I57" t="str">
        <f>HYPERLINK([1]خصومات!L57)</f>
        <v>0</v>
      </c>
      <c r="J57">
        <f t="shared" si="0"/>
        <v>0</v>
      </c>
      <c r="K57">
        <f t="shared" si="1"/>
        <v>0</v>
      </c>
    </row>
    <row r="58" spans="1:12" x14ac:dyDescent="0.3">
      <c r="A58">
        <v>2</v>
      </c>
      <c r="B58" t="s">
        <v>28</v>
      </c>
      <c r="D58">
        <v>0</v>
      </c>
      <c r="E58" t="str">
        <f>HYPERLINK([1]اضافات!N58)</f>
        <v>0</v>
      </c>
      <c r="F58" t="str">
        <f>HYPERLINK([1]اضافات!M58)</f>
        <v>0</v>
      </c>
      <c r="G58" t="str">
        <f>HYPERLINK([1]اضافات!F58)</f>
        <v>0</v>
      </c>
      <c r="H58" t="str">
        <f>HYPERLINK([1]اضافات!O58)</f>
        <v>0</v>
      </c>
      <c r="I58" t="str">
        <f>HYPERLINK([1]خصومات!L58)</f>
        <v>0</v>
      </c>
      <c r="J58">
        <f t="shared" si="0"/>
        <v>0</v>
      </c>
      <c r="K58">
        <f t="shared" si="1"/>
        <v>0</v>
      </c>
    </row>
    <row r="59" spans="1:12" x14ac:dyDescent="0.3">
      <c r="B59" t="s">
        <v>29</v>
      </c>
      <c r="D59">
        <v>0</v>
      </c>
      <c r="E59" t="str">
        <f>HYPERLINK([1]اضافات!N59)</f>
        <v>0</v>
      </c>
      <c r="F59" t="str">
        <f>HYPERLINK([1]اضافات!M59)</f>
        <v>0</v>
      </c>
      <c r="G59" t="str">
        <f>HYPERLINK([1]اضافات!F59)</f>
        <v>0</v>
      </c>
      <c r="H59" t="str">
        <f>HYPERLINK([1]اضافات!O59)</f>
        <v>0</v>
      </c>
      <c r="I59" t="str">
        <f>HYPERLINK([1]خصومات!L59)</f>
        <v>0</v>
      </c>
      <c r="J59">
        <f t="shared" si="0"/>
        <v>0</v>
      </c>
      <c r="K59">
        <f t="shared" si="1"/>
        <v>0</v>
      </c>
    </row>
    <row r="60" spans="1:12" x14ac:dyDescent="0.3">
      <c r="B60" t="s">
        <v>29</v>
      </c>
      <c r="D60">
        <v>0</v>
      </c>
      <c r="E60" t="str">
        <f>HYPERLINK([1]اضافات!N60)</f>
        <v>0</v>
      </c>
      <c r="F60" t="str">
        <f>HYPERLINK([1]اضافات!M60)</f>
        <v>0</v>
      </c>
      <c r="G60" t="str">
        <f>HYPERLINK([1]اضافات!F60)</f>
        <v>0</v>
      </c>
      <c r="H60" t="str">
        <f>HYPERLINK([1]اضافات!O60)</f>
        <v>0</v>
      </c>
      <c r="I60" t="str">
        <f>HYPERLINK([1]خصومات!L60)</f>
        <v>0</v>
      </c>
      <c r="J60">
        <f t="shared" si="0"/>
        <v>0</v>
      </c>
      <c r="K60">
        <f t="shared" si="1"/>
        <v>0</v>
      </c>
    </row>
    <row r="61" spans="1:12" x14ac:dyDescent="0.3">
      <c r="B61" t="s">
        <v>29</v>
      </c>
      <c r="D61">
        <v>0</v>
      </c>
      <c r="E61" t="str">
        <f>HYPERLINK([1]اضافات!N61)</f>
        <v>0</v>
      </c>
      <c r="F61" t="str">
        <f>HYPERLINK([1]اضافات!M61)</f>
        <v>0</v>
      </c>
      <c r="G61" t="str">
        <f>HYPERLINK([1]اضافات!F61)</f>
        <v>0</v>
      </c>
      <c r="H61" t="str">
        <f>HYPERLINK([1]اضافات!O61)</f>
        <v>0</v>
      </c>
      <c r="I61" t="str">
        <f>HYPERLINK([1]خصومات!L61)</f>
        <v>0</v>
      </c>
      <c r="J61">
        <f t="shared" si="0"/>
        <v>0</v>
      </c>
      <c r="K61">
        <f t="shared" si="1"/>
        <v>0</v>
      </c>
    </row>
    <row r="62" spans="1:12" x14ac:dyDescent="0.3">
      <c r="A62">
        <v>3</v>
      </c>
      <c r="B62" t="s">
        <v>30</v>
      </c>
      <c r="D62">
        <v>0</v>
      </c>
      <c r="E62" t="str">
        <f>HYPERLINK([1]اضافات!N62)</f>
        <v>0</v>
      </c>
      <c r="F62" t="str">
        <f>HYPERLINK([1]اضافات!M62)</f>
        <v>0</v>
      </c>
      <c r="G62" t="str">
        <f>HYPERLINK([1]اضافات!F62)</f>
        <v>0</v>
      </c>
      <c r="H62" t="str">
        <f>HYPERLINK([1]اضافات!O62)</f>
        <v>0</v>
      </c>
      <c r="I62" t="str">
        <f>HYPERLINK([1]خصومات!L62)</f>
        <v>0</v>
      </c>
      <c r="J62">
        <f t="shared" si="0"/>
        <v>0</v>
      </c>
      <c r="K62">
        <f t="shared" si="1"/>
        <v>0</v>
      </c>
    </row>
    <row r="63" spans="1:12" x14ac:dyDescent="0.3">
      <c r="A63">
        <v>4</v>
      </c>
      <c r="B63" t="s">
        <v>31</v>
      </c>
      <c r="D63">
        <v>0</v>
      </c>
      <c r="E63" t="str">
        <f>HYPERLINK([1]اضافات!N63)</f>
        <v>0</v>
      </c>
      <c r="F63" t="str">
        <f>HYPERLINK([1]اضافات!M63)</f>
        <v>0</v>
      </c>
      <c r="G63" t="str">
        <f>HYPERLINK([1]اضافات!F63)</f>
        <v>0</v>
      </c>
      <c r="H63" t="str">
        <f>HYPERLINK([1]اضافات!O63)</f>
        <v>0</v>
      </c>
      <c r="I63" t="str">
        <f>HYPERLINK([1]خصومات!L63)</f>
        <v>0</v>
      </c>
      <c r="J63">
        <f t="shared" si="0"/>
        <v>0</v>
      </c>
      <c r="K63">
        <f t="shared" si="1"/>
        <v>0</v>
      </c>
    </row>
    <row r="64" spans="1:12" x14ac:dyDescent="0.3">
      <c r="B64" t="s">
        <v>32</v>
      </c>
      <c r="D64">
        <v>0</v>
      </c>
      <c r="E64" t="str">
        <f>HYPERLINK([1]اضافات!N64)</f>
        <v>0</v>
      </c>
      <c r="F64" t="str">
        <f>HYPERLINK([1]اضافات!M64)</f>
        <v>0</v>
      </c>
      <c r="G64" t="str">
        <f>HYPERLINK([1]اضافات!F64)</f>
        <v>0</v>
      </c>
      <c r="H64" t="str">
        <f>HYPERLINK([1]اضافات!O64)</f>
        <v>0</v>
      </c>
      <c r="I64" t="str">
        <f>HYPERLINK([1]خصومات!L64)</f>
        <v>0</v>
      </c>
      <c r="J64">
        <f t="shared" si="0"/>
        <v>0</v>
      </c>
      <c r="K64">
        <f t="shared" si="1"/>
        <v>0</v>
      </c>
    </row>
    <row r="65" spans="1:11" x14ac:dyDescent="0.3">
      <c r="B65" t="s">
        <v>32</v>
      </c>
      <c r="D65">
        <v>0</v>
      </c>
      <c r="E65" t="str">
        <f>HYPERLINK([1]اضافات!N65)</f>
        <v>0</v>
      </c>
      <c r="F65" t="str">
        <f>HYPERLINK([1]اضافات!M65)</f>
        <v>0</v>
      </c>
      <c r="G65" t="str">
        <f>HYPERLINK([1]اضافات!F65)</f>
        <v>0</v>
      </c>
      <c r="H65" t="str">
        <f>HYPERLINK([1]اضافات!O65)</f>
        <v>0</v>
      </c>
      <c r="I65" t="str">
        <f>HYPERLINK([1]خصومات!L65)</f>
        <v>0</v>
      </c>
      <c r="J65">
        <f t="shared" si="0"/>
        <v>0</v>
      </c>
      <c r="K65">
        <f t="shared" si="1"/>
        <v>0</v>
      </c>
    </row>
    <row r="66" spans="1:11" x14ac:dyDescent="0.3">
      <c r="B66" t="s">
        <v>32</v>
      </c>
      <c r="D66">
        <v>0</v>
      </c>
      <c r="E66" t="str">
        <f>HYPERLINK([1]اضافات!N66)</f>
        <v>0</v>
      </c>
      <c r="F66" t="str">
        <f>HYPERLINK([1]اضافات!M66)</f>
        <v>0</v>
      </c>
      <c r="G66" t="str">
        <f>HYPERLINK([1]اضافات!F66)</f>
        <v>0</v>
      </c>
      <c r="H66" t="str">
        <f>HYPERLINK([1]اضافات!O66)</f>
        <v>0</v>
      </c>
      <c r="I66" t="str">
        <f>HYPERLINK([1]خصومات!L66)</f>
        <v>0</v>
      </c>
      <c r="J66">
        <f t="shared" si="0"/>
        <v>0</v>
      </c>
      <c r="K66">
        <f t="shared" si="1"/>
        <v>0</v>
      </c>
    </row>
    <row r="67" spans="1:11" x14ac:dyDescent="0.3">
      <c r="B67" t="s">
        <v>32</v>
      </c>
      <c r="D67">
        <v>0</v>
      </c>
      <c r="E67" t="str">
        <f>HYPERLINK([1]اضافات!N67)</f>
        <v>0</v>
      </c>
      <c r="F67" t="str">
        <f>HYPERLINK([1]اضافات!M67)</f>
        <v>0</v>
      </c>
      <c r="G67" t="str">
        <f>HYPERLINK([1]اضافات!F67)</f>
        <v>0</v>
      </c>
      <c r="H67" t="str">
        <f>HYPERLINK([1]اضافات!O67)</f>
        <v>0</v>
      </c>
      <c r="I67" t="str">
        <f>HYPERLINK([1]خصومات!L67)</f>
        <v>0</v>
      </c>
      <c r="J67">
        <f t="shared" si="0"/>
        <v>0</v>
      </c>
      <c r="K67">
        <f t="shared" si="1"/>
        <v>0</v>
      </c>
    </row>
    <row r="68" spans="1:11" x14ac:dyDescent="0.3">
      <c r="A68">
        <v>5</v>
      </c>
      <c r="B68" t="s">
        <v>33</v>
      </c>
      <c r="D68">
        <v>0</v>
      </c>
      <c r="E68" t="str">
        <f>HYPERLINK([1]اضافات!N68)</f>
        <v>0</v>
      </c>
      <c r="F68" t="str">
        <f>HYPERLINK([1]اضافات!M68)</f>
        <v>0</v>
      </c>
      <c r="G68" t="str">
        <f>HYPERLINK([1]اضافات!F68)</f>
        <v>0</v>
      </c>
      <c r="H68" t="str">
        <f>HYPERLINK([1]اضافات!O68)</f>
        <v>0</v>
      </c>
      <c r="I68" t="str">
        <f>HYPERLINK([1]خصومات!L68)</f>
        <v>0</v>
      </c>
      <c r="J68">
        <f t="shared" si="0"/>
        <v>0</v>
      </c>
      <c r="K68">
        <f t="shared" si="1"/>
        <v>0</v>
      </c>
    </row>
    <row r="69" spans="1:11" x14ac:dyDescent="0.3">
      <c r="A69">
        <v>6</v>
      </c>
      <c r="B69" t="s">
        <v>34</v>
      </c>
      <c r="D69">
        <v>0</v>
      </c>
      <c r="E69" t="str">
        <f>HYPERLINK([1]اضافات!N69)</f>
        <v>0</v>
      </c>
      <c r="F69" t="str">
        <f>HYPERLINK([1]اضافات!M69)</f>
        <v>0</v>
      </c>
      <c r="G69" t="str">
        <f>HYPERLINK([1]اضافات!F69)</f>
        <v>0</v>
      </c>
      <c r="H69" t="str">
        <f>HYPERLINK([1]اضافات!O69)</f>
        <v>0</v>
      </c>
      <c r="I69" t="str">
        <f>HYPERLINK([1]خصومات!L69)</f>
        <v>0</v>
      </c>
      <c r="J69">
        <f t="shared" ref="J69:J117" si="4">SUM(D69,VALUE(E69),VALUE(F69),VALUE(G69))</f>
        <v>0</v>
      </c>
      <c r="K69">
        <f t="shared" ref="K69:K100" si="5">VALUE(D69)+VALUE(G69)+VALUE(H69)-VALUE(I69)</f>
        <v>0</v>
      </c>
    </row>
    <row r="70" spans="1:11" x14ac:dyDescent="0.3">
      <c r="A70">
        <v>0</v>
      </c>
      <c r="B70" t="s">
        <v>35</v>
      </c>
      <c r="D70">
        <v>0</v>
      </c>
      <c r="E70" t="str">
        <f>HYPERLINK([1]اضافات!N70)</f>
        <v>0</v>
      </c>
      <c r="F70" t="str">
        <f>HYPERLINK([1]اضافات!M70)</f>
        <v>0</v>
      </c>
      <c r="G70" t="str">
        <f>HYPERLINK([1]اضافات!F70)</f>
        <v>0</v>
      </c>
      <c r="H70" t="str">
        <f>HYPERLINK([1]اضافات!O70)</f>
        <v>0</v>
      </c>
      <c r="I70" t="str">
        <f>HYPERLINK([1]خصومات!L70)</f>
        <v>0</v>
      </c>
      <c r="J70">
        <f t="shared" si="4"/>
        <v>0</v>
      </c>
      <c r="K70">
        <f t="shared" si="5"/>
        <v>0</v>
      </c>
    </row>
    <row r="71" spans="1:11" x14ac:dyDescent="0.3">
      <c r="A71">
        <v>7</v>
      </c>
      <c r="B71" t="s">
        <v>36</v>
      </c>
      <c r="D71">
        <v>0</v>
      </c>
      <c r="E71" t="str">
        <f>HYPERLINK([1]اضافات!N71)</f>
        <v>0</v>
      </c>
      <c r="F71" t="str">
        <f>HYPERLINK([1]اضافات!M71)</f>
        <v>0</v>
      </c>
      <c r="G71" t="str">
        <f>HYPERLINK([1]اضافات!F71)</f>
        <v>0</v>
      </c>
      <c r="H71" t="str">
        <f>HYPERLINK([1]اضافات!O71)</f>
        <v>0</v>
      </c>
      <c r="I71" t="str">
        <f>HYPERLINK([1]خصومات!L71)</f>
        <v>0</v>
      </c>
      <c r="J71">
        <f t="shared" si="4"/>
        <v>0</v>
      </c>
      <c r="K71">
        <f t="shared" si="5"/>
        <v>0</v>
      </c>
    </row>
    <row r="72" spans="1:11" x14ac:dyDescent="0.3">
      <c r="A72">
        <v>8</v>
      </c>
      <c r="B72" t="s">
        <v>37</v>
      </c>
      <c r="D72">
        <v>0</v>
      </c>
      <c r="E72" t="str">
        <f>HYPERLINK([1]اضافات!N72)</f>
        <v>0</v>
      </c>
      <c r="F72" t="str">
        <f>HYPERLINK([1]اضافات!M72)</f>
        <v>0</v>
      </c>
      <c r="G72" t="str">
        <f>HYPERLINK([1]اضافات!F72)</f>
        <v>0</v>
      </c>
      <c r="H72" t="str">
        <f>HYPERLINK([1]اضافات!O72)</f>
        <v>0</v>
      </c>
      <c r="I72" t="str">
        <f>HYPERLINK([1]خصومات!L72)</f>
        <v>0</v>
      </c>
      <c r="J72">
        <f t="shared" si="4"/>
        <v>0</v>
      </c>
      <c r="K72">
        <f t="shared" si="5"/>
        <v>0</v>
      </c>
    </row>
    <row r="73" spans="1:11" x14ac:dyDescent="0.3">
      <c r="A73">
        <v>9</v>
      </c>
      <c r="B73" t="s">
        <v>38</v>
      </c>
      <c r="D73">
        <v>0</v>
      </c>
      <c r="E73" t="str">
        <f>HYPERLINK([1]اضافات!N73)</f>
        <v>0</v>
      </c>
      <c r="F73" t="str">
        <f>HYPERLINK([1]اضافات!M73)</f>
        <v>0</v>
      </c>
      <c r="G73" t="str">
        <f>HYPERLINK([1]اضافات!F73)</f>
        <v>0</v>
      </c>
      <c r="H73" t="str">
        <f>HYPERLINK([1]اضافات!O73)</f>
        <v>0</v>
      </c>
      <c r="I73" t="str">
        <f>HYPERLINK([1]خصومات!L73)</f>
        <v>0</v>
      </c>
      <c r="J73">
        <f t="shared" si="4"/>
        <v>0</v>
      </c>
      <c r="K73">
        <f t="shared" si="5"/>
        <v>0</v>
      </c>
    </row>
    <row r="74" spans="1:11" x14ac:dyDescent="0.3">
      <c r="A74">
        <v>10</v>
      </c>
      <c r="B74" t="s">
        <v>39</v>
      </c>
      <c r="D74">
        <v>0</v>
      </c>
      <c r="E74" t="str">
        <f>HYPERLINK([1]اضافات!N74)</f>
        <v>0</v>
      </c>
      <c r="F74" t="str">
        <f>HYPERLINK([1]اضافات!M74)</f>
        <v>0</v>
      </c>
      <c r="G74" t="str">
        <f>HYPERLINK([1]اضافات!F74)</f>
        <v>0</v>
      </c>
      <c r="H74" t="str">
        <f>HYPERLINK([1]اضافات!O74)</f>
        <v>0</v>
      </c>
      <c r="I74" t="str">
        <f>HYPERLINK([1]خصومات!L74)</f>
        <v>0</v>
      </c>
      <c r="J74">
        <f t="shared" si="4"/>
        <v>0</v>
      </c>
      <c r="K74">
        <f t="shared" si="5"/>
        <v>0</v>
      </c>
    </row>
    <row r="75" spans="1:11" x14ac:dyDescent="0.3">
      <c r="A75">
        <v>11</v>
      </c>
      <c r="B75" t="s">
        <v>40</v>
      </c>
      <c r="D75">
        <v>0</v>
      </c>
      <c r="E75" t="str">
        <f>HYPERLINK([1]اضافات!N75)</f>
        <v>0</v>
      </c>
      <c r="F75" t="str">
        <f>HYPERLINK([1]اضافات!M75)</f>
        <v>0</v>
      </c>
      <c r="G75" t="str">
        <f>HYPERLINK([1]اضافات!F75)</f>
        <v>0</v>
      </c>
      <c r="H75" t="str">
        <f>HYPERLINK([1]اضافات!O75)</f>
        <v>0</v>
      </c>
      <c r="I75" t="str">
        <f>HYPERLINK([1]خصومات!L75)</f>
        <v>0</v>
      </c>
      <c r="J75">
        <f t="shared" si="4"/>
        <v>0</v>
      </c>
      <c r="K75">
        <f t="shared" si="5"/>
        <v>0</v>
      </c>
    </row>
    <row r="76" spans="1:11" x14ac:dyDescent="0.3">
      <c r="A76">
        <v>12</v>
      </c>
      <c r="B76" t="s">
        <v>41</v>
      </c>
      <c r="D76">
        <v>0</v>
      </c>
      <c r="E76" t="str">
        <f>HYPERLINK([1]اضافات!N76)</f>
        <v>0</v>
      </c>
      <c r="F76" t="str">
        <f>HYPERLINK([1]اضافات!M76)</f>
        <v>0</v>
      </c>
      <c r="G76" t="str">
        <f>HYPERLINK([1]اضافات!F76)</f>
        <v>0</v>
      </c>
      <c r="H76" t="str">
        <f>HYPERLINK([1]اضافات!O76)</f>
        <v>0</v>
      </c>
      <c r="I76" t="str">
        <f>HYPERLINK([1]خصومات!L76)</f>
        <v>0</v>
      </c>
      <c r="J76">
        <f t="shared" si="4"/>
        <v>0</v>
      </c>
      <c r="K76">
        <f t="shared" si="5"/>
        <v>0</v>
      </c>
    </row>
    <row r="77" spans="1:11" x14ac:dyDescent="0.3">
      <c r="A77">
        <v>13</v>
      </c>
      <c r="B77" t="s">
        <v>42</v>
      </c>
      <c r="D77">
        <v>0</v>
      </c>
      <c r="E77" t="str">
        <f>HYPERLINK([1]اضافات!N77)</f>
        <v>0</v>
      </c>
      <c r="F77" t="str">
        <f>HYPERLINK([1]اضافات!M77)</f>
        <v>0</v>
      </c>
      <c r="G77" t="str">
        <f>HYPERLINK([1]اضافات!F77)</f>
        <v>0</v>
      </c>
      <c r="H77" t="str">
        <f>HYPERLINK([1]اضافات!O77)</f>
        <v>0</v>
      </c>
      <c r="I77" t="str">
        <f>HYPERLINK([1]خصومات!L77)</f>
        <v>0</v>
      </c>
      <c r="J77">
        <f t="shared" si="4"/>
        <v>0</v>
      </c>
      <c r="K77">
        <f t="shared" si="5"/>
        <v>0</v>
      </c>
    </row>
    <row r="78" spans="1:11" x14ac:dyDescent="0.3">
      <c r="A78">
        <v>14</v>
      </c>
      <c r="B78" t="s">
        <v>43</v>
      </c>
      <c r="D78">
        <v>0</v>
      </c>
      <c r="E78" t="str">
        <f>HYPERLINK([1]اضافات!N78)</f>
        <v>0</v>
      </c>
      <c r="F78" t="str">
        <f>HYPERLINK([1]اضافات!M78)</f>
        <v>0</v>
      </c>
      <c r="G78" t="str">
        <f>HYPERLINK([1]اضافات!F78)</f>
        <v>0</v>
      </c>
      <c r="H78" t="str">
        <f>HYPERLINK([1]اضافات!O78)</f>
        <v>0</v>
      </c>
      <c r="I78" t="str">
        <f>HYPERLINK([1]خصومات!L78)</f>
        <v>0</v>
      </c>
      <c r="J78">
        <f t="shared" si="4"/>
        <v>0</v>
      </c>
      <c r="K78">
        <f t="shared" si="5"/>
        <v>0</v>
      </c>
    </row>
    <row r="79" spans="1:11" x14ac:dyDescent="0.3">
      <c r="A79">
        <v>15</v>
      </c>
      <c r="B79" t="s">
        <v>44</v>
      </c>
      <c r="D79">
        <v>0</v>
      </c>
      <c r="E79" t="str">
        <f>HYPERLINK([1]اضافات!N79)</f>
        <v>0</v>
      </c>
      <c r="F79" t="str">
        <f>HYPERLINK([1]اضافات!M79)</f>
        <v>0</v>
      </c>
      <c r="G79" t="str">
        <f>HYPERLINK([1]اضافات!F79)</f>
        <v>0</v>
      </c>
      <c r="H79" t="str">
        <f>HYPERLINK([1]اضافات!O79)</f>
        <v>0</v>
      </c>
      <c r="I79" t="str">
        <f>HYPERLINK([1]خصومات!L79)</f>
        <v>0</v>
      </c>
      <c r="J79">
        <f t="shared" si="4"/>
        <v>0</v>
      </c>
      <c r="K79">
        <f t="shared" si="5"/>
        <v>0</v>
      </c>
    </row>
    <row r="80" spans="1:11" x14ac:dyDescent="0.3">
      <c r="A80">
        <v>0</v>
      </c>
      <c r="D80">
        <v>0</v>
      </c>
      <c r="E80" t="str">
        <f>HYPERLINK([1]اضافات!N80)</f>
        <v>0</v>
      </c>
      <c r="F80" t="str">
        <f>HYPERLINK([1]اضافات!M80)</f>
        <v>0</v>
      </c>
      <c r="G80" t="str">
        <f>HYPERLINK([1]اضافات!F80)</f>
        <v>0</v>
      </c>
      <c r="H80" t="str">
        <f>HYPERLINK([1]اضافات!O80)</f>
        <v>0</v>
      </c>
      <c r="I80" t="str">
        <f>HYPERLINK([1]خصومات!L80)</f>
        <v>0</v>
      </c>
      <c r="J80">
        <f t="shared" si="4"/>
        <v>0</v>
      </c>
      <c r="K80">
        <f t="shared" si="5"/>
        <v>0</v>
      </c>
    </row>
    <row r="81" spans="1:11" x14ac:dyDescent="0.3">
      <c r="A81">
        <v>16</v>
      </c>
      <c r="B81" t="s">
        <v>45</v>
      </c>
      <c r="D81">
        <v>0</v>
      </c>
      <c r="E81" t="str">
        <f>HYPERLINK([1]اضافات!N81)</f>
        <v>0</v>
      </c>
      <c r="F81" t="str">
        <f>HYPERLINK([1]اضافات!M81)</f>
        <v>0</v>
      </c>
      <c r="G81" t="str">
        <f>HYPERLINK([1]اضافات!F81)</f>
        <v>0</v>
      </c>
      <c r="H81" t="str">
        <f>HYPERLINK([1]اضافات!O81)</f>
        <v>0</v>
      </c>
      <c r="I81" t="str">
        <f>HYPERLINK([1]خصومات!L81)</f>
        <v>0</v>
      </c>
      <c r="J81">
        <f t="shared" si="4"/>
        <v>0</v>
      </c>
      <c r="K81">
        <f t="shared" si="5"/>
        <v>0</v>
      </c>
    </row>
    <row r="82" spans="1:11" x14ac:dyDescent="0.3">
      <c r="A82">
        <v>17</v>
      </c>
      <c r="B82" t="s">
        <v>46</v>
      </c>
      <c r="D82">
        <v>0</v>
      </c>
      <c r="E82" t="str">
        <f>HYPERLINK([1]اضافات!N82)</f>
        <v>0</v>
      </c>
      <c r="F82" t="str">
        <f>HYPERLINK([1]اضافات!M82)</f>
        <v>0</v>
      </c>
      <c r="G82" t="str">
        <f>HYPERLINK([1]اضافات!F82)</f>
        <v>0</v>
      </c>
      <c r="H82" t="str">
        <f>HYPERLINK([1]اضافات!O82)</f>
        <v>0</v>
      </c>
      <c r="I82" t="str">
        <f>HYPERLINK([1]خصومات!L82)</f>
        <v>0</v>
      </c>
      <c r="J82">
        <f t="shared" si="4"/>
        <v>0</v>
      </c>
      <c r="K82">
        <f t="shared" si="5"/>
        <v>0</v>
      </c>
    </row>
    <row r="83" spans="1:11" x14ac:dyDescent="0.3">
      <c r="A83">
        <v>18</v>
      </c>
      <c r="B83" t="s">
        <v>47</v>
      </c>
      <c r="D83">
        <v>0</v>
      </c>
      <c r="E83" t="str">
        <f>HYPERLINK([1]اضافات!N83)</f>
        <v>0</v>
      </c>
      <c r="F83" t="str">
        <f>HYPERLINK([1]اضافات!M83)</f>
        <v>0</v>
      </c>
      <c r="G83" t="str">
        <f>HYPERLINK([1]اضافات!F83)</f>
        <v>0</v>
      </c>
      <c r="H83" t="str">
        <f>HYPERLINK([1]اضافات!O83)</f>
        <v>0</v>
      </c>
      <c r="I83" t="str">
        <f>HYPERLINK([1]خصومات!L83)</f>
        <v>0</v>
      </c>
      <c r="J83">
        <f t="shared" si="4"/>
        <v>0</v>
      </c>
      <c r="K83">
        <f t="shared" si="5"/>
        <v>0</v>
      </c>
    </row>
    <row r="84" spans="1:11" x14ac:dyDescent="0.3">
      <c r="A84">
        <v>19</v>
      </c>
      <c r="B84" t="s">
        <v>48</v>
      </c>
      <c r="D84">
        <v>0</v>
      </c>
      <c r="E84" t="str">
        <f>HYPERLINK([1]اضافات!N84)</f>
        <v>0</v>
      </c>
      <c r="F84" t="str">
        <f>HYPERLINK([1]اضافات!M84)</f>
        <v>0</v>
      </c>
      <c r="G84" t="str">
        <f>HYPERLINK([1]اضافات!F84)</f>
        <v>0</v>
      </c>
      <c r="H84" t="str">
        <f>HYPERLINK([1]اضافات!O84)</f>
        <v>0</v>
      </c>
      <c r="I84" t="str">
        <f>HYPERLINK([1]خصومات!L84)</f>
        <v>0</v>
      </c>
      <c r="J84">
        <f t="shared" si="4"/>
        <v>0</v>
      </c>
      <c r="K84">
        <f t="shared" si="5"/>
        <v>0</v>
      </c>
    </row>
    <row r="85" spans="1:11" x14ac:dyDescent="0.3">
      <c r="A85">
        <v>20</v>
      </c>
      <c r="B85" t="s">
        <v>49</v>
      </c>
      <c r="D85">
        <v>0</v>
      </c>
      <c r="E85" t="str">
        <f>HYPERLINK([1]اضافات!N85)</f>
        <v>0</v>
      </c>
      <c r="F85" t="str">
        <f>HYPERLINK([1]اضافات!M85)</f>
        <v>0</v>
      </c>
      <c r="G85" t="str">
        <f>HYPERLINK([1]اضافات!F85)</f>
        <v>0</v>
      </c>
      <c r="H85" t="str">
        <f>HYPERLINK([1]اضافات!O85)</f>
        <v>0</v>
      </c>
      <c r="I85" t="str">
        <f>HYPERLINK([1]خصومات!L85)</f>
        <v>0</v>
      </c>
      <c r="J85">
        <f t="shared" si="4"/>
        <v>0</v>
      </c>
      <c r="K85">
        <f t="shared" si="5"/>
        <v>0</v>
      </c>
    </row>
    <row r="86" spans="1:11" x14ac:dyDescent="0.3">
      <c r="B86" t="s">
        <v>9</v>
      </c>
      <c r="D86">
        <v>0</v>
      </c>
      <c r="E86" t="str">
        <f>HYPERLINK([1]اضافات!N86)</f>
        <v>0</v>
      </c>
      <c r="F86" t="str">
        <f>HYPERLINK([1]اضافات!M86)</f>
        <v>0</v>
      </c>
      <c r="G86" t="str">
        <f>HYPERLINK([1]اضافات!F86)</f>
        <v>0</v>
      </c>
      <c r="H86" t="str">
        <f>HYPERLINK([1]اضافات!O86)</f>
        <v>0</v>
      </c>
      <c r="I86" t="str">
        <f>HYPERLINK([1]خصومات!L86)</f>
        <v>0</v>
      </c>
      <c r="J86">
        <f t="shared" si="4"/>
        <v>0</v>
      </c>
      <c r="K86">
        <f t="shared" si="5"/>
        <v>0</v>
      </c>
    </row>
    <row r="87" spans="1:11" x14ac:dyDescent="0.3">
      <c r="B87" t="s">
        <v>9</v>
      </c>
      <c r="D87">
        <v>0</v>
      </c>
      <c r="E87" t="str">
        <f>HYPERLINK([1]اضافات!N87)</f>
        <v>0</v>
      </c>
      <c r="F87" t="str">
        <f>HYPERLINK([1]اضافات!M87)</f>
        <v>0</v>
      </c>
      <c r="G87" t="str">
        <f>HYPERLINK([1]اضافات!F87)</f>
        <v>0</v>
      </c>
      <c r="H87" t="str">
        <f>HYPERLINK([1]اضافات!O87)</f>
        <v>0</v>
      </c>
      <c r="I87" t="str">
        <f>HYPERLINK([1]خصومات!L87)</f>
        <v>0</v>
      </c>
      <c r="J87">
        <f t="shared" si="4"/>
        <v>0</v>
      </c>
      <c r="K87">
        <f t="shared" si="5"/>
        <v>0</v>
      </c>
    </row>
    <row r="88" spans="1:11" x14ac:dyDescent="0.3">
      <c r="B88" t="s">
        <v>9</v>
      </c>
      <c r="D88">
        <v>0</v>
      </c>
      <c r="E88" t="str">
        <f>HYPERLINK([1]اضافات!N88)</f>
        <v>0</v>
      </c>
      <c r="F88" t="str">
        <f>HYPERLINK([1]اضافات!M88)</f>
        <v>0</v>
      </c>
      <c r="G88" t="str">
        <f>HYPERLINK([1]اضافات!F88)</f>
        <v>0</v>
      </c>
      <c r="H88" t="str">
        <f>HYPERLINK([1]اضافات!O88)</f>
        <v>0</v>
      </c>
      <c r="I88" t="str">
        <f>HYPERLINK([1]خصومات!L88)</f>
        <v>0</v>
      </c>
      <c r="J88">
        <f t="shared" si="4"/>
        <v>0</v>
      </c>
      <c r="K88">
        <f t="shared" si="5"/>
        <v>0</v>
      </c>
    </row>
    <row r="89" spans="1:11" x14ac:dyDescent="0.3">
      <c r="B89" t="s">
        <v>9</v>
      </c>
      <c r="D89">
        <v>0</v>
      </c>
      <c r="E89" t="str">
        <f>HYPERLINK([1]اضافات!N89)</f>
        <v>0</v>
      </c>
      <c r="F89" t="str">
        <f>HYPERLINK([1]اضافات!M89)</f>
        <v>0</v>
      </c>
      <c r="G89" t="str">
        <f>HYPERLINK([1]اضافات!F89)</f>
        <v>0</v>
      </c>
      <c r="H89" t="str">
        <f>HYPERLINK([1]اضافات!O89)</f>
        <v>0</v>
      </c>
      <c r="I89" t="str">
        <f>HYPERLINK([1]خصومات!L89)</f>
        <v>0</v>
      </c>
      <c r="J89">
        <f t="shared" si="4"/>
        <v>0</v>
      </c>
      <c r="K89">
        <f t="shared" si="5"/>
        <v>0</v>
      </c>
    </row>
    <row r="90" spans="1:11" x14ac:dyDescent="0.3">
      <c r="B90" t="s">
        <v>9</v>
      </c>
      <c r="D90">
        <v>0</v>
      </c>
      <c r="E90" t="str">
        <f>HYPERLINK([1]اضافات!N90)</f>
        <v>0</v>
      </c>
      <c r="F90" t="str">
        <f>HYPERLINK([1]اضافات!M90)</f>
        <v>0</v>
      </c>
      <c r="G90" t="str">
        <f>HYPERLINK([1]اضافات!F90)</f>
        <v>0</v>
      </c>
      <c r="H90" t="str">
        <f>HYPERLINK([1]اضافات!O90)</f>
        <v>0</v>
      </c>
      <c r="I90" t="str">
        <f>HYPERLINK([1]خصومات!L90)</f>
        <v>0</v>
      </c>
      <c r="J90">
        <f t="shared" si="4"/>
        <v>0</v>
      </c>
      <c r="K90">
        <f t="shared" si="5"/>
        <v>0</v>
      </c>
    </row>
    <row r="91" spans="1:11" x14ac:dyDescent="0.3">
      <c r="B91" t="s">
        <v>9</v>
      </c>
      <c r="D91">
        <v>0</v>
      </c>
      <c r="E91" t="str">
        <f>HYPERLINK([1]اضافات!N91)</f>
        <v>0</v>
      </c>
      <c r="F91" t="str">
        <f>HYPERLINK([1]اضافات!M91)</f>
        <v>0</v>
      </c>
      <c r="G91" t="str">
        <f>HYPERLINK([1]اضافات!F91)</f>
        <v>0</v>
      </c>
      <c r="H91" t="str">
        <f>HYPERLINK([1]اضافات!O91)</f>
        <v>0</v>
      </c>
      <c r="I91" t="str">
        <f>HYPERLINK([1]خصومات!L91)</f>
        <v>0</v>
      </c>
      <c r="J91">
        <f t="shared" si="4"/>
        <v>0</v>
      </c>
      <c r="K91">
        <f t="shared" si="5"/>
        <v>0</v>
      </c>
    </row>
    <row r="92" spans="1:11" x14ac:dyDescent="0.3">
      <c r="B92" t="s">
        <v>9</v>
      </c>
      <c r="D92">
        <v>0</v>
      </c>
      <c r="E92" t="str">
        <f>HYPERLINK([1]اضافات!N92)</f>
        <v>0</v>
      </c>
      <c r="F92" t="str">
        <f>HYPERLINK([1]اضافات!M92)</f>
        <v>0</v>
      </c>
      <c r="G92" t="str">
        <f>HYPERLINK([1]اضافات!F92)</f>
        <v>0</v>
      </c>
      <c r="H92" t="str">
        <f>HYPERLINK([1]اضافات!O92)</f>
        <v>0</v>
      </c>
      <c r="I92" t="str">
        <f>HYPERLINK([1]خصومات!L92)</f>
        <v>0</v>
      </c>
      <c r="J92">
        <f t="shared" si="4"/>
        <v>0</v>
      </c>
      <c r="K92">
        <f t="shared" si="5"/>
        <v>0</v>
      </c>
    </row>
    <row r="93" spans="1:11" x14ac:dyDescent="0.3">
      <c r="B93" t="s">
        <v>9</v>
      </c>
      <c r="D93">
        <v>0</v>
      </c>
      <c r="E93" t="str">
        <f>HYPERLINK([1]اضافات!N93)</f>
        <v>0</v>
      </c>
      <c r="F93" t="str">
        <f>HYPERLINK([1]اضافات!M93)</f>
        <v>0</v>
      </c>
      <c r="G93" t="str">
        <f>HYPERLINK([1]اضافات!F93)</f>
        <v>0</v>
      </c>
      <c r="H93" t="str">
        <f>HYPERLINK([1]اضافات!O93)</f>
        <v>0</v>
      </c>
      <c r="I93" t="str">
        <f>HYPERLINK([1]خصومات!L93)</f>
        <v>0</v>
      </c>
      <c r="J93">
        <f t="shared" si="4"/>
        <v>0</v>
      </c>
      <c r="K93">
        <f t="shared" si="5"/>
        <v>0</v>
      </c>
    </row>
    <row r="94" spans="1:11" x14ac:dyDescent="0.3">
      <c r="B94" t="s">
        <v>9</v>
      </c>
      <c r="D94">
        <v>0</v>
      </c>
      <c r="E94" t="str">
        <f>HYPERLINK([1]اضافات!N94)</f>
        <v>0</v>
      </c>
      <c r="F94" t="str">
        <f>HYPERLINK([1]اضافات!M94)</f>
        <v>0</v>
      </c>
      <c r="G94" t="str">
        <f>HYPERLINK([1]اضافات!F94)</f>
        <v>0</v>
      </c>
      <c r="H94" t="str">
        <f>HYPERLINK([1]اضافات!O94)</f>
        <v>0</v>
      </c>
      <c r="I94" t="str">
        <f>HYPERLINK([1]خصومات!L94)</f>
        <v>0</v>
      </c>
      <c r="J94">
        <f t="shared" si="4"/>
        <v>0</v>
      </c>
      <c r="K94">
        <f t="shared" si="5"/>
        <v>0</v>
      </c>
    </row>
    <row r="95" spans="1:11" x14ac:dyDescent="0.3">
      <c r="B95" t="s">
        <v>9</v>
      </c>
      <c r="D95">
        <v>0</v>
      </c>
      <c r="E95" t="str">
        <f>HYPERLINK([1]اضافات!N95)</f>
        <v>0</v>
      </c>
      <c r="F95" t="str">
        <f>HYPERLINK([1]اضافات!M95)</f>
        <v>0</v>
      </c>
      <c r="G95" t="str">
        <f>HYPERLINK([1]اضافات!F95)</f>
        <v>0</v>
      </c>
      <c r="H95" t="str">
        <f>HYPERLINK([1]اضافات!O95)</f>
        <v>0</v>
      </c>
      <c r="I95" t="str">
        <f>HYPERLINK([1]خصومات!L95)</f>
        <v>0</v>
      </c>
      <c r="J95">
        <f t="shared" si="4"/>
        <v>0</v>
      </c>
      <c r="K95">
        <f t="shared" si="5"/>
        <v>0</v>
      </c>
    </row>
    <row r="96" spans="1:11" x14ac:dyDescent="0.3">
      <c r="B96" t="s">
        <v>9</v>
      </c>
      <c r="D96">
        <v>0</v>
      </c>
      <c r="E96" t="str">
        <f>HYPERLINK([1]اضافات!N96)</f>
        <v>0</v>
      </c>
      <c r="F96" t="str">
        <f>HYPERLINK([1]اضافات!M96)</f>
        <v>0</v>
      </c>
      <c r="G96" t="str">
        <f>HYPERLINK([1]اضافات!F96)</f>
        <v>0</v>
      </c>
      <c r="H96" t="str">
        <f>HYPERLINK([1]اضافات!O96)</f>
        <v>0</v>
      </c>
      <c r="I96" t="str">
        <f>HYPERLINK([1]خصومات!L96)</f>
        <v>0</v>
      </c>
      <c r="J96">
        <f t="shared" si="4"/>
        <v>0</v>
      </c>
      <c r="K96">
        <f t="shared" si="5"/>
        <v>0</v>
      </c>
    </row>
    <row r="97" spans="1:12" x14ac:dyDescent="0.3">
      <c r="B97" t="s">
        <v>9</v>
      </c>
      <c r="D97">
        <v>0</v>
      </c>
      <c r="E97" t="str">
        <f>HYPERLINK([1]اضافات!N97)</f>
        <v>0</v>
      </c>
      <c r="F97" t="str">
        <f>HYPERLINK([1]اضافات!M97)</f>
        <v>0</v>
      </c>
      <c r="G97" t="str">
        <f>HYPERLINK([1]اضافات!F97)</f>
        <v>0</v>
      </c>
      <c r="H97" t="str">
        <f>HYPERLINK([1]اضافات!O97)</f>
        <v>0</v>
      </c>
      <c r="I97" t="str">
        <f>HYPERLINK([1]خصومات!L97)</f>
        <v>0</v>
      </c>
      <c r="J97">
        <f t="shared" si="4"/>
        <v>0</v>
      </c>
      <c r="K97">
        <f t="shared" si="5"/>
        <v>0</v>
      </c>
    </row>
    <row r="98" spans="1:12" x14ac:dyDescent="0.3">
      <c r="B98" t="s">
        <v>9</v>
      </c>
      <c r="D98">
        <v>0</v>
      </c>
      <c r="E98" t="str">
        <f>HYPERLINK([1]اضافات!N98)</f>
        <v>0</v>
      </c>
      <c r="F98" t="str">
        <f>HYPERLINK([1]اضافات!M98)</f>
        <v>0</v>
      </c>
      <c r="G98" t="str">
        <f>HYPERLINK([1]اضافات!F98)</f>
        <v>0</v>
      </c>
      <c r="H98" t="str">
        <f>HYPERLINK([1]اضافات!O98)</f>
        <v>0</v>
      </c>
      <c r="I98" t="str">
        <f>HYPERLINK([1]خصومات!L98)</f>
        <v>0</v>
      </c>
      <c r="J98">
        <f t="shared" si="4"/>
        <v>0</v>
      </c>
      <c r="K98">
        <f t="shared" si="5"/>
        <v>0</v>
      </c>
    </row>
    <row r="99" spans="1:12" x14ac:dyDescent="0.3">
      <c r="B99" t="s">
        <v>9</v>
      </c>
      <c r="D99">
        <v>0</v>
      </c>
      <c r="E99" t="str">
        <f>HYPERLINK([1]اضافات!N99)</f>
        <v>0</v>
      </c>
      <c r="F99" t="str">
        <f>HYPERLINK([1]اضافات!M99)</f>
        <v>0</v>
      </c>
      <c r="G99" t="str">
        <f>HYPERLINK([1]اضافات!F99)</f>
        <v>0</v>
      </c>
      <c r="H99" t="str">
        <f>HYPERLINK([1]اضافات!O99)</f>
        <v>0</v>
      </c>
      <c r="I99" t="str">
        <f>HYPERLINK([1]خصومات!L99)</f>
        <v>0</v>
      </c>
      <c r="J99">
        <f t="shared" si="4"/>
        <v>0</v>
      </c>
      <c r="K99">
        <f t="shared" si="5"/>
        <v>0</v>
      </c>
    </row>
    <row r="100" spans="1:12" x14ac:dyDescent="0.3">
      <c r="B100" t="s">
        <v>9</v>
      </c>
      <c r="D100">
        <v>0</v>
      </c>
      <c r="E100" t="str">
        <f>HYPERLINK([1]اضافات!N100)</f>
        <v>0</v>
      </c>
      <c r="F100" t="str">
        <f>HYPERLINK([1]اضافات!M100)</f>
        <v>0</v>
      </c>
      <c r="G100" t="str">
        <f>HYPERLINK([1]اضافات!F100)</f>
        <v>0</v>
      </c>
      <c r="H100" t="str">
        <f>HYPERLINK([1]اضافات!O100)</f>
        <v>0</v>
      </c>
      <c r="I100" t="str">
        <f>HYPERLINK([1]خصومات!L100)</f>
        <v>0</v>
      </c>
      <c r="J100">
        <f t="shared" si="4"/>
        <v>0</v>
      </c>
      <c r="K100">
        <f t="shared" si="5"/>
        <v>0</v>
      </c>
    </row>
    <row r="101" spans="1:12" x14ac:dyDescent="0.3">
      <c r="A101">
        <v>20</v>
      </c>
      <c r="B101" t="s">
        <v>50</v>
      </c>
      <c r="D101">
        <f>SUM(D57:D100)</f>
        <v>0</v>
      </c>
      <c r="E101">
        <f t="shared" ref="E101:K101" si="6">SUM(E57:E100)</f>
        <v>0</v>
      </c>
      <c r="F101">
        <f t="shared" si="6"/>
        <v>0</v>
      </c>
      <c r="G101">
        <f t="shared" si="6"/>
        <v>0</v>
      </c>
      <c r="H101">
        <f t="shared" si="6"/>
        <v>0</v>
      </c>
      <c r="I101">
        <f t="shared" si="6"/>
        <v>0</v>
      </c>
      <c r="J101">
        <f t="shared" si="6"/>
        <v>0</v>
      </c>
      <c r="K101">
        <f t="shared" si="6"/>
        <v>0</v>
      </c>
      <c r="L101">
        <f>SUM(K57:K100)</f>
        <v>0</v>
      </c>
    </row>
    <row r="102" spans="1:12" x14ac:dyDescent="0.3">
      <c r="A102">
        <v>1</v>
      </c>
      <c r="B102" t="s">
        <v>51</v>
      </c>
      <c r="D102">
        <v>0</v>
      </c>
      <c r="E102" t="str">
        <f>HYPERLINK([1]اضافات!N102)</f>
        <v>0</v>
      </c>
      <c r="F102" t="str">
        <f>HYPERLINK([1]اضافات!M102)</f>
        <v>0</v>
      </c>
      <c r="G102" t="str">
        <f>HYPERLINK([1]اضافات!F102)</f>
        <v>0</v>
      </c>
      <c r="H102" t="str">
        <f>HYPERLINK([1]اضافات!O102)</f>
        <v>0</v>
      </c>
      <c r="I102" t="str">
        <f>HYPERLINK([1]خصومات!L102)</f>
        <v>0</v>
      </c>
      <c r="J102">
        <f t="shared" si="4"/>
        <v>0</v>
      </c>
      <c r="K102">
        <f t="shared" ref="K102:K117" si="7">VALUE(D102)+VALUE(G102)+VALUE(H102)-VALUE(I102)</f>
        <v>0</v>
      </c>
    </row>
    <row r="103" spans="1:12" x14ac:dyDescent="0.3">
      <c r="A103">
        <v>2</v>
      </c>
      <c r="B103" t="s">
        <v>52</v>
      </c>
      <c r="D103">
        <v>0</v>
      </c>
      <c r="E103" t="str">
        <f>HYPERLINK([1]اضافات!N103)</f>
        <v>0</v>
      </c>
      <c r="F103" t="str">
        <f>HYPERLINK([1]اضافات!M103)</f>
        <v>0</v>
      </c>
      <c r="G103" t="str">
        <f>HYPERLINK([1]اضافات!F103)</f>
        <v>0</v>
      </c>
      <c r="H103" t="str">
        <f>HYPERLINK([1]اضافات!O103)</f>
        <v>0</v>
      </c>
      <c r="I103" t="str">
        <f>HYPERLINK([1]خصومات!L103)</f>
        <v>0</v>
      </c>
      <c r="J103">
        <f t="shared" si="4"/>
        <v>0</v>
      </c>
      <c r="K103">
        <f t="shared" si="7"/>
        <v>0</v>
      </c>
    </row>
    <row r="104" spans="1:12" x14ac:dyDescent="0.3">
      <c r="A104">
        <v>3</v>
      </c>
      <c r="B104" t="s">
        <v>53</v>
      </c>
      <c r="D104">
        <v>0</v>
      </c>
      <c r="E104" t="str">
        <f>HYPERLINK([1]اضافات!N104)</f>
        <v>0</v>
      </c>
      <c r="F104" t="str">
        <f>HYPERLINK([1]اضافات!M104)</f>
        <v>0</v>
      </c>
      <c r="G104" t="str">
        <f>HYPERLINK([1]اضافات!F104)</f>
        <v>0</v>
      </c>
      <c r="H104" t="str">
        <f>HYPERLINK([1]اضافات!O104)</f>
        <v>0</v>
      </c>
      <c r="I104" t="str">
        <f>HYPERLINK([1]خصومات!L104)</f>
        <v>0</v>
      </c>
      <c r="J104">
        <f t="shared" si="4"/>
        <v>0</v>
      </c>
      <c r="K104">
        <f t="shared" si="7"/>
        <v>0</v>
      </c>
    </row>
    <row r="105" spans="1:12" x14ac:dyDescent="0.3">
      <c r="A105">
        <v>4</v>
      </c>
      <c r="B105" t="s">
        <v>54</v>
      </c>
      <c r="D105">
        <v>0</v>
      </c>
      <c r="E105" t="str">
        <f>HYPERLINK([1]اضافات!N105)</f>
        <v>0</v>
      </c>
      <c r="F105" t="str">
        <f>HYPERLINK([1]اضافات!M105)</f>
        <v>0</v>
      </c>
      <c r="G105" t="str">
        <f>HYPERLINK([1]اضافات!F105)</f>
        <v>0</v>
      </c>
      <c r="H105" t="str">
        <f>HYPERLINK([1]اضافات!O105)</f>
        <v>0</v>
      </c>
      <c r="I105" t="str">
        <f>HYPERLINK([1]خصومات!L105)</f>
        <v>0</v>
      </c>
      <c r="J105">
        <f t="shared" si="4"/>
        <v>0</v>
      </c>
      <c r="K105">
        <f t="shared" si="7"/>
        <v>0</v>
      </c>
    </row>
    <row r="106" spans="1:12" x14ac:dyDescent="0.3">
      <c r="A106">
        <v>5</v>
      </c>
      <c r="B106" t="s">
        <v>55</v>
      </c>
      <c r="D106">
        <v>0</v>
      </c>
      <c r="E106" t="str">
        <f>HYPERLINK([1]اضافات!N106)</f>
        <v>0</v>
      </c>
      <c r="F106" t="str">
        <f>HYPERLINK([1]اضافات!M106)</f>
        <v>0</v>
      </c>
      <c r="G106" t="str">
        <f>HYPERLINK([1]اضافات!F106)</f>
        <v>0</v>
      </c>
      <c r="H106" t="str">
        <f>HYPERLINK([1]اضافات!O106)</f>
        <v>0</v>
      </c>
      <c r="I106" t="str">
        <f>HYPERLINK([1]خصومات!L106)</f>
        <v>0</v>
      </c>
      <c r="J106">
        <f t="shared" si="4"/>
        <v>0</v>
      </c>
      <c r="K106">
        <f t="shared" si="7"/>
        <v>0</v>
      </c>
    </row>
    <row r="107" spans="1:12" x14ac:dyDescent="0.3">
      <c r="A107">
        <v>6</v>
      </c>
      <c r="B107" t="s">
        <v>56</v>
      </c>
      <c r="D107">
        <v>0</v>
      </c>
      <c r="E107" t="str">
        <f>HYPERLINK([1]اضافات!N107)</f>
        <v>0</v>
      </c>
      <c r="F107" t="str">
        <f>HYPERLINK([1]اضافات!M107)</f>
        <v>0</v>
      </c>
      <c r="G107" t="str">
        <f>HYPERLINK([1]اضافات!F107)</f>
        <v>0</v>
      </c>
      <c r="H107" t="str">
        <f>HYPERLINK([1]اضافات!O107)</f>
        <v>0</v>
      </c>
      <c r="I107" t="str">
        <f>HYPERLINK([1]خصومات!L107)</f>
        <v>0</v>
      </c>
      <c r="J107">
        <f t="shared" si="4"/>
        <v>0</v>
      </c>
      <c r="K107">
        <f t="shared" si="7"/>
        <v>0</v>
      </c>
    </row>
    <row r="108" spans="1:12" x14ac:dyDescent="0.3">
      <c r="A108">
        <v>7</v>
      </c>
      <c r="B108" t="s">
        <v>57</v>
      </c>
      <c r="D108">
        <v>0</v>
      </c>
      <c r="E108" t="str">
        <f>HYPERLINK([1]اضافات!N108)</f>
        <v>0</v>
      </c>
      <c r="F108" t="str">
        <f>HYPERLINK([1]اضافات!M108)</f>
        <v>0</v>
      </c>
      <c r="G108" t="str">
        <f>HYPERLINK([1]اضافات!F108)</f>
        <v>0</v>
      </c>
      <c r="H108" t="str">
        <f>HYPERLINK([1]اضافات!O108)</f>
        <v>0</v>
      </c>
      <c r="I108" t="str">
        <f>HYPERLINK([1]خصومات!L108)</f>
        <v>0</v>
      </c>
      <c r="J108">
        <f t="shared" si="4"/>
        <v>0</v>
      </c>
      <c r="K108">
        <f t="shared" si="7"/>
        <v>0</v>
      </c>
    </row>
    <row r="109" spans="1:12" x14ac:dyDescent="0.3">
      <c r="B109" t="s">
        <v>9</v>
      </c>
      <c r="D109">
        <v>0</v>
      </c>
      <c r="E109" t="str">
        <f>HYPERLINK([1]اضافات!N109)</f>
        <v>0</v>
      </c>
      <c r="F109" t="str">
        <f>HYPERLINK([1]اضافات!M109)</f>
        <v>0</v>
      </c>
      <c r="G109" t="str">
        <f>HYPERLINK([1]اضافات!F109)</f>
        <v>0</v>
      </c>
      <c r="H109" t="str">
        <f>HYPERLINK([1]اضافات!O109)</f>
        <v>0</v>
      </c>
      <c r="I109" t="str">
        <f>HYPERLINK([1]خصومات!L109)</f>
        <v>0</v>
      </c>
      <c r="J109">
        <f t="shared" si="4"/>
        <v>0</v>
      </c>
      <c r="K109">
        <f t="shared" si="7"/>
        <v>0</v>
      </c>
    </row>
    <row r="110" spans="1:12" x14ac:dyDescent="0.3">
      <c r="B110" t="s">
        <v>9</v>
      </c>
      <c r="D110">
        <v>0</v>
      </c>
      <c r="E110" t="str">
        <f>HYPERLINK([1]اضافات!N110)</f>
        <v>0</v>
      </c>
      <c r="F110" t="str">
        <f>HYPERLINK([1]اضافات!M110)</f>
        <v>0</v>
      </c>
      <c r="G110" t="str">
        <f>HYPERLINK([1]اضافات!F110)</f>
        <v>0</v>
      </c>
      <c r="H110" t="str">
        <f>HYPERLINK([1]اضافات!O110)</f>
        <v>0</v>
      </c>
      <c r="I110" t="str">
        <f>HYPERLINK([1]خصومات!L110)</f>
        <v>0</v>
      </c>
      <c r="J110">
        <f t="shared" si="4"/>
        <v>0</v>
      </c>
      <c r="K110">
        <f t="shared" si="7"/>
        <v>0</v>
      </c>
    </row>
    <row r="111" spans="1:12" x14ac:dyDescent="0.3">
      <c r="B111" t="s">
        <v>9</v>
      </c>
      <c r="D111">
        <v>0</v>
      </c>
      <c r="E111" t="str">
        <f>HYPERLINK([1]اضافات!N111)</f>
        <v>0</v>
      </c>
      <c r="F111" t="str">
        <f>HYPERLINK([1]اضافات!M111)</f>
        <v>0</v>
      </c>
      <c r="G111" t="str">
        <f>HYPERLINK([1]اضافات!F111)</f>
        <v>0</v>
      </c>
      <c r="H111" t="str">
        <f>HYPERLINK([1]اضافات!O111)</f>
        <v>0</v>
      </c>
      <c r="I111" t="str">
        <f>HYPERLINK([1]خصومات!L111)</f>
        <v>0</v>
      </c>
      <c r="J111">
        <f t="shared" si="4"/>
        <v>0</v>
      </c>
      <c r="K111">
        <f t="shared" si="7"/>
        <v>0</v>
      </c>
    </row>
    <row r="112" spans="1:12" x14ac:dyDescent="0.3">
      <c r="B112" t="s">
        <v>9</v>
      </c>
      <c r="D112">
        <v>0</v>
      </c>
      <c r="E112" t="str">
        <f>HYPERLINK([1]اضافات!N112)</f>
        <v>0</v>
      </c>
      <c r="F112" t="str">
        <f>HYPERLINK([1]اضافات!M112)</f>
        <v>0</v>
      </c>
      <c r="G112" t="str">
        <f>HYPERLINK([1]اضافات!F112)</f>
        <v>0</v>
      </c>
      <c r="H112" t="str">
        <f>HYPERLINK([1]اضافات!O112)</f>
        <v>0</v>
      </c>
      <c r="I112" t="str">
        <f>HYPERLINK([1]خصومات!L112)</f>
        <v>0</v>
      </c>
      <c r="J112">
        <f t="shared" si="4"/>
        <v>0</v>
      </c>
      <c r="K112">
        <f t="shared" si="7"/>
        <v>0</v>
      </c>
    </row>
    <row r="113" spans="1:12" x14ac:dyDescent="0.3">
      <c r="B113" t="s">
        <v>9</v>
      </c>
      <c r="D113">
        <v>0</v>
      </c>
      <c r="E113" t="str">
        <f>HYPERLINK([1]اضافات!N113)</f>
        <v>0</v>
      </c>
      <c r="F113" t="str">
        <f>HYPERLINK([1]اضافات!M113)</f>
        <v>0</v>
      </c>
      <c r="G113" t="str">
        <f>HYPERLINK([1]اضافات!F113)</f>
        <v>0</v>
      </c>
      <c r="H113" t="str">
        <f>HYPERLINK([1]اضافات!O113)</f>
        <v>0</v>
      </c>
      <c r="I113" t="str">
        <f>HYPERLINK([1]خصومات!L113)</f>
        <v>0</v>
      </c>
      <c r="J113">
        <f t="shared" si="4"/>
        <v>0</v>
      </c>
      <c r="K113">
        <f t="shared" si="7"/>
        <v>0</v>
      </c>
    </row>
    <row r="114" spans="1:12" x14ac:dyDescent="0.3">
      <c r="B114" t="s">
        <v>9</v>
      </c>
      <c r="D114">
        <v>0</v>
      </c>
      <c r="E114" t="str">
        <f>HYPERLINK([1]اضافات!N114)</f>
        <v>0</v>
      </c>
      <c r="F114" t="str">
        <f>HYPERLINK([1]اضافات!M114)</f>
        <v>0</v>
      </c>
      <c r="G114" t="str">
        <f>HYPERLINK([1]اضافات!F114)</f>
        <v>0</v>
      </c>
      <c r="H114" t="str">
        <f>HYPERLINK([1]اضافات!O114)</f>
        <v>0</v>
      </c>
      <c r="I114" t="str">
        <f>HYPERLINK([1]خصومات!L114)</f>
        <v>0</v>
      </c>
      <c r="J114">
        <f t="shared" si="4"/>
        <v>0</v>
      </c>
      <c r="K114">
        <f t="shared" si="7"/>
        <v>0</v>
      </c>
    </row>
    <row r="115" spans="1:12" x14ac:dyDescent="0.3">
      <c r="B115" t="s">
        <v>9</v>
      </c>
      <c r="D115">
        <v>0</v>
      </c>
      <c r="E115" t="str">
        <f>HYPERLINK([1]اضافات!N115)</f>
        <v>0</v>
      </c>
      <c r="F115" t="str">
        <f>HYPERLINK([1]اضافات!M115)</f>
        <v>0</v>
      </c>
      <c r="G115" t="str">
        <f>HYPERLINK([1]اضافات!F115)</f>
        <v>0</v>
      </c>
      <c r="H115" t="str">
        <f>HYPERLINK([1]اضافات!O115)</f>
        <v>0</v>
      </c>
      <c r="I115" t="str">
        <f>HYPERLINK([1]خصومات!L115)</f>
        <v>0</v>
      </c>
      <c r="J115">
        <f t="shared" si="4"/>
        <v>0</v>
      </c>
      <c r="K115">
        <f t="shared" si="7"/>
        <v>0</v>
      </c>
    </row>
    <row r="116" spans="1:12" x14ac:dyDescent="0.3">
      <c r="B116" t="s">
        <v>9</v>
      </c>
      <c r="D116">
        <v>0</v>
      </c>
      <c r="E116" t="str">
        <f>HYPERLINK([1]اضافات!N116)</f>
        <v>0</v>
      </c>
      <c r="F116" t="str">
        <f>HYPERLINK([1]اضافات!M116)</f>
        <v>0</v>
      </c>
      <c r="G116" t="str">
        <f>HYPERLINK([1]اضافات!F116)</f>
        <v>0</v>
      </c>
      <c r="H116" t="str">
        <f>HYPERLINK([1]اضافات!O116)</f>
        <v>0</v>
      </c>
      <c r="I116" t="str">
        <f>HYPERLINK([1]خصومات!L116)</f>
        <v>0</v>
      </c>
      <c r="J116">
        <f t="shared" si="4"/>
        <v>0</v>
      </c>
      <c r="K116">
        <f t="shared" si="7"/>
        <v>0</v>
      </c>
    </row>
    <row r="117" spans="1:12" x14ac:dyDescent="0.3">
      <c r="B117" t="s">
        <v>9</v>
      </c>
      <c r="D117">
        <v>0</v>
      </c>
      <c r="E117" t="str">
        <f>HYPERLINK([1]اضافات!N117)</f>
        <v>0</v>
      </c>
      <c r="F117" t="str">
        <f>HYPERLINK([1]اضافات!M117)</f>
        <v>0</v>
      </c>
      <c r="G117" t="str">
        <f>HYPERLINK([1]اضافات!F117)</f>
        <v>0</v>
      </c>
      <c r="H117" t="str">
        <f>HYPERLINK([1]اضافات!O117)</f>
        <v>0</v>
      </c>
      <c r="I117" t="str">
        <f>HYPERLINK([1]خصومات!L117)</f>
        <v>0</v>
      </c>
      <c r="J117">
        <f t="shared" si="4"/>
        <v>0</v>
      </c>
      <c r="K117">
        <f t="shared" si="7"/>
        <v>0</v>
      </c>
    </row>
    <row r="118" spans="1:12" x14ac:dyDescent="0.3">
      <c r="A118">
        <v>6</v>
      </c>
      <c r="B118" t="s">
        <v>58</v>
      </c>
      <c r="D118">
        <f>SUM(D102:D117)</f>
        <v>0</v>
      </c>
      <c r="E118">
        <f t="shared" ref="E118:K118" si="8">SUM(E102:E117)</f>
        <v>0</v>
      </c>
      <c r="F118">
        <f t="shared" si="8"/>
        <v>0</v>
      </c>
      <c r="G118">
        <f t="shared" si="8"/>
        <v>0</v>
      </c>
      <c r="H118">
        <f t="shared" si="8"/>
        <v>0</v>
      </c>
      <c r="I118">
        <f t="shared" si="8"/>
        <v>0</v>
      </c>
      <c r="J118">
        <f t="shared" si="8"/>
        <v>0</v>
      </c>
      <c r="K118">
        <f t="shared" si="8"/>
        <v>0</v>
      </c>
      <c r="L118">
        <f>SUM(K102:K117)</f>
        <v>0</v>
      </c>
    </row>
    <row r="119" spans="1:12" x14ac:dyDescent="0.3">
      <c r="A119">
        <f t="shared" ref="A119" si="9">SUM(A18,A56,A101)</f>
        <v>38</v>
      </c>
      <c r="B119" t="s">
        <v>59</v>
      </c>
      <c r="D119">
        <f>SUM(D18,D56,D101)</f>
        <v>0</v>
      </c>
      <c r="E119">
        <f t="shared" ref="E119:J119" si="10">SUM(E18,E56,E101)</f>
        <v>0</v>
      </c>
      <c r="F119">
        <f t="shared" si="10"/>
        <v>0</v>
      </c>
      <c r="G119">
        <f t="shared" si="10"/>
        <v>0</v>
      </c>
      <c r="H119">
        <f t="shared" si="10"/>
        <v>0</v>
      </c>
      <c r="I119">
        <f t="shared" si="10"/>
        <v>0</v>
      </c>
      <c r="J119">
        <f t="shared" si="10"/>
        <v>0</v>
      </c>
      <c r="K119">
        <f>SUM(K18,K56,K101)</f>
        <v>0</v>
      </c>
      <c r="L119">
        <f>SUM(L18,L56,L101)</f>
        <v>0</v>
      </c>
    </row>
    <row r="120" spans="1:12" x14ac:dyDescent="0.3">
      <c r="A120">
        <f>SUM(A18,A56,A101,A118)</f>
        <v>44</v>
      </c>
      <c r="B120" t="s">
        <v>60</v>
      </c>
      <c r="D120">
        <f t="shared" ref="D120:K120" si="11">SUM(D18,D56,D101,D118)</f>
        <v>0</v>
      </c>
      <c r="E120">
        <f t="shared" si="11"/>
        <v>0</v>
      </c>
      <c r="F120">
        <f t="shared" si="11"/>
        <v>0</v>
      </c>
      <c r="G120">
        <f t="shared" si="11"/>
        <v>0</v>
      </c>
      <c r="H120">
        <f t="shared" si="11"/>
        <v>0</v>
      </c>
      <c r="I120">
        <f t="shared" si="11"/>
        <v>0</v>
      </c>
      <c r="J120">
        <f t="shared" si="11"/>
        <v>0</v>
      </c>
      <c r="K120">
        <f t="shared" si="11"/>
        <v>0</v>
      </c>
      <c r="L120">
        <f>SUM(L18,L56,L101,L118)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506C-69FD-4FAF-97D3-B2E1B298F79B}">
  <dimension ref="A1:Q118"/>
  <sheetViews>
    <sheetView rightToLeft="1" zoomScale="40" zoomScaleNormal="40" workbookViewId="0">
      <selection activeCell="A2" sqref="A2"/>
    </sheetView>
  </sheetViews>
  <sheetFormatPr defaultRowHeight="14.4" x14ac:dyDescent="0.3"/>
  <cols>
    <col min="1" max="1" width="10.44140625" bestFit="1" customWidth="1"/>
    <col min="2" max="2" width="26.21875" bestFit="1" customWidth="1"/>
    <col min="3" max="16" width="22.77734375" customWidth="1"/>
    <col min="17" max="17" width="32.6640625" bestFit="1" customWidth="1"/>
  </cols>
  <sheetData>
    <row r="1" spans="1:17" x14ac:dyDescent="0.3">
      <c r="A1" s="44" t="s">
        <v>61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17" s="43" customFormat="1" ht="46.95" customHeight="1" x14ac:dyDescent="0.3">
      <c r="A2" s="65" t="s">
        <v>62</v>
      </c>
      <c r="B2" s="45" t="s">
        <v>63</v>
      </c>
      <c r="C2" s="65" t="s">
        <v>64</v>
      </c>
      <c r="D2" s="65" t="s">
        <v>65</v>
      </c>
      <c r="E2" s="65" t="s">
        <v>66</v>
      </c>
      <c r="F2" s="65" t="s">
        <v>67</v>
      </c>
      <c r="G2" s="65" t="s">
        <v>68</v>
      </c>
      <c r="H2" s="65" t="s">
        <v>69</v>
      </c>
      <c r="I2" s="65" t="s">
        <v>70</v>
      </c>
      <c r="J2" s="65" t="s">
        <v>71</v>
      </c>
      <c r="K2" s="65" t="s">
        <v>72</v>
      </c>
      <c r="L2" s="65" t="s">
        <v>73</v>
      </c>
      <c r="M2" s="65" t="s">
        <v>74</v>
      </c>
      <c r="N2" s="65" t="s">
        <v>75</v>
      </c>
      <c r="O2" s="65" t="s">
        <v>76</v>
      </c>
      <c r="P2" s="65" t="s">
        <v>77</v>
      </c>
      <c r="Q2" s="65" t="s">
        <v>78</v>
      </c>
    </row>
    <row r="3" spans="1:17" x14ac:dyDescent="0.3">
      <c r="A3" s="44"/>
      <c r="B3" s="44" t="s">
        <v>79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</row>
    <row r="4" spans="1:17" x14ac:dyDescent="0.3">
      <c r="A4" s="44">
        <f>مرتبات!A4</f>
        <v>1</v>
      </c>
      <c r="B4" s="44" t="str">
        <f>مرتبات!B4</f>
        <v>د/هانى صلاح الدين محمد سري الدين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f>SUM(C4:E4)+L4</f>
        <v>0</v>
      </c>
      <c r="N4" s="2">
        <f>SUM(I4:K4)</f>
        <v>0</v>
      </c>
      <c r="O4" s="2">
        <f>SUM(G4:H4)</f>
        <v>0</v>
      </c>
      <c r="P4" s="2">
        <f>SUM(M4:O4)</f>
        <v>0</v>
      </c>
      <c r="Q4" s="44"/>
    </row>
    <row r="5" spans="1:17" x14ac:dyDescent="0.3">
      <c r="A5" s="44">
        <f>مرتبات!A5</f>
        <v>2</v>
      </c>
      <c r="B5" s="44" t="str">
        <f>مرتبات!B5</f>
        <v>أ/أميرة محمد على شريف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f t="shared" ref="M5:M68" si="0">SUM(C5:E5)+L5</f>
        <v>0</v>
      </c>
      <c r="N5" s="2">
        <f t="shared" ref="N5:N68" si="1">SUM(I5:K5)</f>
        <v>0</v>
      </c>
      <c r="O5" s="2">
        <f t="shared" ref="O5:O68" si="2">SUM(G5:H5)</f>
        <v>0</v>
      </c>
      <c r="P5" s="2">
        <f t="shared" ref="P5:P68" si="3">SUM(M5:O5)</f>
        <v>0</v>
      </c>
      <c r="Q5" s="44"/>
    </row>
    <row r="6" spans="1:17" x14ac:dyDescent="0.3">
      <c r="A6" s="44">
        <f>مرتبات!A6</f>
        <v>3</v>
      </c>
      <c r="B6" s="44" t="str">
        <f>مرتبات!B6</f>
        <v>أ/إيهاب حمدى ابراهيم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f t="shared" si="0"/>
        <v>0</v>
      </c>
      <c r="N6" s="2">
        <f t="shared" si="1"/>
        <v>0</v>
      </c>
      <c r="O6" s="2">
        <f t="shared" si="2"/>
        <v>0</v>
      </c>
      <c r="P6" s="2">
        <f t="shared" si="3"/>
        <v>0</v>
      </c>
      <c r="Q6" s="44"/>
    </row>
    <row r="7" spans="1:17" x14ac:dyDescent="0.3">
      <c r="A7" s="44">
        <f>مرتبات!A7</f>
        <v>0</v>
      </c>
      <c r="B7" s="44" t="str">
        <f>مرتبات!B7</f>
        <v>Spare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f t="shared" si="0"/>
        <v>0</v>
      </c>
      <c r="N7" s="2">
        <f t="shared" si="1"/>
        <v>0</v>
      </c>
      <c r="O7" s="2">
        <f t="shared" si="2"/>
        <v>0</v>
      </c>
      <c r="P7" s="2">
        <f t="shared" si="3"/>
        <v>0</v>
      </c>
      <c r="Q7" s="44"/>
    </row>
    <row r="8" spans="1:17" x14ac:dyDescent="0.3">
      <c r="A8" s="44">
        <f>مرتبات!A8</f>
        <v>0</v>
      </c>
      <c r="B8" s="44" t="str">
        <f>مرتبات!B8</f>
        <v>Spare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f t="shared" si="0"/>
        <v>0</v>
      </c>
      <c r="N8" s="2">
        <f t="shared" si="1"/>
        <v>0</v>
      </c>
      <c r="O8" s="2">
        <f t="shared" si="2"/>
        <v>0</v>
      </c>
      <c r="P8" s="2">
        <f t="shared" si="3"/>
        <v>0</v>
      </c>
      <c r="Q8" s="44"/>
    </row>
    <row r="9" spans="1:17" x14ac:dyDescent="0.3">
      <c r="A9" s="44">
        <f>مرتبات!A9</f>
        <v>0</v>
      </c>
      <c r="B9" s="44" t="str">
        <f>مرتبات!B9</f>
        <v>Spare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f t="shared" si="0"/>
        <v>0</v>
      </c>
      <c r="N9" s="2">
        <f t="shared" si="1"/>
        <v>0</v>
      </c>
      <c r="O9" s="2">
        <f t="shared" si="2"/>
        <v>0</v>
      </c>
      <c r="P9" s="2">
        <f t="shared" si="3"/>
        <v>0</v>
      </c>
      <c r="Q9" s="44"/>
    </row>
    <row r="10" spans="1:17" x14ac:dyDescent="0.3">
      <c r="A10" s="44">
        <f>مرتبات!A10</f>
        <v>0</v>
      </c>
      <c r="B10" s="44" t="str">
        <f>مرتبات!B10</f>
        <v>Spare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f t="shared" si="0"/>
        <v>0</v>
      </c>
      <c r="N10" s="2">
        <f t="shared" si="1"/>
        <v>0</v>
      </c>
      <c r="O10" s="2">
        <f t="shared" si="2"/>
        <v>0</v>
      </c>
      <c r="P10" s="2">
        <f t="shared" si="3"/>
        <v>0</v>
      </c>
      <c r="Q10" s="44"/>
    </row>
    <row r="11" spans="1:17" x14ac:dyDescent="0.3">
      <c r="A11" s="44">
        <f>مرتبات!A11</f>
        <v>0</v>
      </c>
      <c r="B11" s="44" t="str">
        <f>مرتبات!B11</f>
        <v>Spare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f t="shared" si="0"/>
        <v>0</v>
      </c>
      <c r="N11" s="2">
        <f t="shared" si="1"/>
        <v>0</v>
      </c>
      <c r="O11" s="2">
        <f t="shared" si="2"/>
        <v>0</v>
      </c>
      <c r="P11" s="2">
        <f t="shared" si="3"/>
        <v>0</v>
      </c>
      <c r="Q11" s="44"/>
    </row>
    <row r="12" spans="1:17" x14ac:dyDescent="0.3">
      <c r="A12" s="44">
        <f>مرتبات!A12</f>
        <v>0</v>
      </c>
      <c r="B12" s="44" t="str">
        <f>مرتبات!B12</f>
        <v>Spare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f t="shared" si="0"/>
        <v>0</v>
      </c>
      <c r="N12" s="2">
        <f t="shared" si="1"/>
        <v>0</v>
      </c>
      <c r="O12" s="2">
        <f t="shared" si="2"/>
        <v>0</v>
      </c>
      <c r="P12" s="2">
        <f t="shared" si="3"/>
        <v>0</v>
      </c>
      <c r="Q12" s="44"/>
    </row>
    <row r="13" spans="1:17" x14ac:dyDescent="0.3">
      <c r="A13" s="44">
        <f>مرتبات!A13</f>
        <v>0</v>
      </c>
      <c r="B13" s="44" t="str">
        <f>مرتبات!B13</f>
        <v>Spare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f t="shared" si="0"/>
        <v>0</v>
      </c>
      <c r="N13" s="2">
        <f t="shared" si="1"/>
        <v>0</v>
      </c>
      <c r="O13" s="2">
        <f t="shared" si="2"/>
        <v>0</v>
      </c>
      <c r="P13" s="2">
        <f t="shared" si="3"/>
        <v>0</v>
      </c>
      <c r="Q13" s="44"/>
    </row>
    <row r="14" spans="1:17" x14ac:dyDescent="0.3">
      <c r="A14" s="44">
        <f>مرتبات!A14</f>
        <v>0</v>
      </c>
      <c r="B14" s="44" t="str">
        <f>مرتبات!B14</f>
        <v>Spare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f t="shared" si="0"/>
        <v>0</v>
      </c>
      <c r="N14" s="2">
        <f t="shared" si="1"/>
        <v>0</v>
      </c>
      <c r="O14" s="2">
        <f t="shared" si="2"/>
        <v>0</v>
      </c>
      <c r="P14" s="2">
        <f t="shared" si="3"/>
        <v>0</v>
      </c>
      <c r="Q14" s="44"/>
    </row>
    <row r="15" spans="1:17" x14ac:dyDescent="0.3">
      <c r="A15" s="44">
        <f>مرتبات!A15</f>
        <v>0</v>
      </c>
      <c r="B15" s="44" t="str">
        <f>مرتبات!B15</f>
        <v>Spare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f t="shared" si="0"/>
        <v>0</v>
      </c>
      <c r="N15" s="2">
        <f t="shared" si="1"/>
        <v>0</v>
      </c>
      <c r="O15" s="2">
        <f t="shared" si="2"/>
        <v>0</v>
      </c>
      <c r="P15" s="2">
        <f t="shared" si="3"/>
        <v>0</v>
      </c>
      <c r="Q15" s="44"/>
    </row>
    <row r="16" spans="1:17" x14ac:dyDescent="0.3">
      <c r="A16" s="44">
        <f>مرتبات!A16</f>
        <v>0</v>
      </c>
      <c r="B16" s="44" t="str">
        <f>مرتبات!B16</f>
        <v>Spare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f t="shared" si="0"/>
        <v>0</v>
      </c>
      <c r="N16" s="2">
        <f t="shared" si="1"/>
        <v>0</v>
      </c>
      <c r="O16" s="2">
        <f t="shared" si="2"/>
        <v>0</v>
      </c>
      <c r="P16" s="2">
        <f t="shared" si="3"/>
        <v>0</v>
      </c>
      <c r="Q16" s="44"/>
    </row>
    <row r="17" spans="1:17" x14ac:dyDescent="0.3">
      <c r="A17" s="44">
        <f>مرتبات!A17</f>
        <v>0</v>
      </c>
      <c r="B17" s="44" t="str">
        <f>مرتبات!B17</f>
        <v>Spare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f t="shared" si="0"/>
        <v>0</v>
      </c>
      <c r="N17" s="2">
        <f t="shared" si="1"/>
        <v>0</v>
      </c>
      <c r="O17" s="2">
        <f t="shared" si="2"/>
        <v>0</v>
      </c>
      <c r="P17" s="2">
        <f t="shared" si="3"/>
        <v>0</v>
      </c>
      <c r="Q17" s="44"/>
    </row>
    <row r="18" spans="1:17" x14ac:dyDescent="0.3">
      <c r="A18" s="44">
        <f>مرتبات!A18</f>
        <v>3</v>
      </c>
      <c r="B18" s="44" t="s">
        <v>80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44"/>
    </row>
    <row r="19" spans="1:17" x14ac:dyDescent="0.3">
      <c r="A19" s="44">
        <f>مرتبات!A19</f>
        <v>1</v>
      </c>
      <c r="B19" s="44" t="str">
        <f>مرتبات!B19</f>
        <v>أ/ناجى رمضان أمين محمد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f t="shared" si="0"/>
        <v>0</v>
      </c>
      <c r="N19" s="2">
        <f t="shared" si="1"/>
        <v>0</v>
      </c>
      <c r="O19" s="2">
        <f t="shared" si="2"/>
        <v>0</v>
      </c>
      <c r="P19" s="2">
        <f t="shared" si="3"/>
        <v>0</v>
      </c>
      <c r="Q19" s="44"/>
    </row>
    <row r="20" spans="1:17" x14ac:dyDescent="0.3">
      <c r="A20" s="44">
        <f>مرتبات!A20</f>
        <v>2</v>
      </c>
      <c r="B20" s="44" t="str">
        <f>مرتبات!B20</f>
        <v>أ/محمد عبد العزيز عبدالحافظ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f t="shared" si="0"/>
        <v>0</v>
      </c>
      <c r="N20" s="2">
        <f t="shared" si="1"/>
        <v>0</v>
      </c>
      <c r="O20" s="2">
        <f t="shared" si="2"/>
        <v>0</v>
      </c>
      <c r="P20" s="2">
        <f t="shared" si="3"/>
        <v>0</v>
      </c>
      <c r="Q20" s="44"/>
    </row>
    <row r="21" spans="1:17" x14ac:dyDescent="0.3">
      <c r="A21" s="44">
        <f>مرتبات!A21</f>
        <v>3</v>
      </c>
      <c r="B21" s="44" t="str">
        <f>مرتبات!B21</f>
        <v>أ/ أحمد سعيد أحمد محمد علي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f t="shared" si="0"/>
        <v>0</v>
      </c>
      <c r="N21" s="2">
        <f t="shared" si="1"/>
        <v>0</v>
      </c>
      <c r="O21" s="2">
        <f t="shared" si="2"/>
        <v>0</v>
      </c>
      <c r="P21" s="2">
        <f t="shared" si="3"/>
        <v>0</v>
      </c>
      <c r="Q21" s="44"/>
    </row>
    <row r="22" spans="1:17" x14ac:dyDescent="0.3">
      <c r="A22" s="44">
        <f>مرتبات!A22</f>
        <v>4</v>
      </c>
      <c r="B22" s="44" t="str">
        <f>مرتبات!B22</f>
        <v>أ/منة الله البلتاجى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f t="shared" si="0"/>
        <v>0</v>
      </c>
      <c r="N22" s="2">
        <f t="shared" si="1"/>
        <v>0</v>
      </c>
      <c r="O22" s="2">
        <f t="shared" si="2"/>
        <v>0</v>
      </c>
      <c r="P22" s="2">
        <f t="shared" si="3"/>
        <v>0</v>
      </c>
      <c r="Q22" s="44"/>
    </row>
    <row r="23" spans="1:17" x14ac:dyDescent="0.3">
      <c r="A23" s="44">
        <f>مرتبات!A23</f>
        <v>5</v>
      </c>
      <c r="B23" s="44" t="str">
        <f>مرتبات!B23</f>
        <v>أ/نهى عمرو محمد رضوان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f t="shared" si="0"/>
        <v>0</v>
      </c>
      <c r="N23" s="2">
        <f t="shared" si="1"/>
        <v>0</v>
      </c>
      <c r="O23" s="2">
        <f t="shared" si="2"/>
        <v>0</v>
      </c>
      <c r="P23" s="2">
        <f t="shared" si="3"/>
        <v>0</v>
      </c>
      <c r="Q23" s="44"/>
    </row>
    <row r="24" spans="1:17" x14ac:dyDescent="0.3">
      <c r="A24" s="44">
        <f>مرتبات!A24</f>
        <v>6</v>
      </c>
      <c r="B24" s="44" t="str">
        <f>مرتبات!B24</f>
        <v>أ/عبد الله عمرو حافظ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f t="shared" si="0"/>
        <v>0</v>
      </c>
      <c r="N24" s="2">
        <f t="shared" si="1"/>
        <v>0</v>
      </c>
      <c r="O24" s="2">
        <f t="shared" si="2"/>
        <v>0</v>
      </c>
      <c r="P24" s="2">
        <f t="shared" si="3"/>
        <v>0</v>
      </c>
      <c r="Q24" s="44"/>
    </row>
    <row r="25" spans="1:17" x14ac:dyDescent="0.3">
      <c r="A25" s="44">
        <f>مرتبات!A25</f>
        <v>7</v>
      </c>
      <c r="B25" s="44" t="str">
        <f>مرتبات!B25</f>
        <v>أ/محمد حمدى كامل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f t="shared" si="0"/>
        <v>0</v>
      </c>
      <c r="N25" s="2">
        <f t="shared" si="1"/>
        <v>0</v>
      </c>
      <c r="O25" s="2">
        <f t="shared" si="2"/>
        <v>0</v>
      </c>
      <c r="P25" s="2">
        <f t="shared" si="3"/>
        <v>0</v>
      </c>
      <c r="Q25" s="44"/>
    </row>
    <row r="26" spans="1:17" x14ac:dyDescent="0.3">
      <c r="A26" s="44">
        <f>مرتبات!A26</f>
        <v>0</v>
      </c>
      <c r="B26" s="44" t="str">
        <f>مرتبات!B26</f>
        <v>Spare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f t="shared" si="0"/>
        <v>0</v>
      </c>
      <c r="N26" s="2">
        <f t="shared" si="1"/>
        <v>0</v>
      </c>
      <c r="O26" s="2">
        <f t="shared" si="2"/>
        <v>0</v>
      </c>
      <c r="P26" s="2">
        <f t="shared" si="3"/>
        <v>0</v>
      </c>
      <c r="Q26" s="44"/>
    </row>
    <row r="27" spans="1:17" x14ac:dyDescent="0.3">
      <c r="A27" s="44">
        <f>مرتبات!A27</f>
        <v>0</v>
      </c>
      <c r="B27" s="44" t="str">
        <f>مرتبات!B27</f>
        <v>Spare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f t="shared" si="0"/>
        <v>0</v>
      </c>
      <c r="N27" s="2">
        <f t="shared" si="1"/>
        <v>0</v>
      </c>
      <c r="O27" s="2">
        <f t="shared" si="2"/>
        <v>0</v>
      </c>
      <c r="P27" s="2">
        <f t="shared" si="3"/>
        <v>0</v>
      </c>
      <c r="Q27" s="44"/>
    </row>
    <row r="28" spans="1:17" x14ac:dyDescent="0.3">
      <c r="A28" s="44">
        <f>مرتبات!A28</f>
        <v>0</v>
      </c>
      <c r="B28" s="44" t="str">
        <f>مرتبات!B28</f>
        <v>Spare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f t="shared" si="0"/>
        <v>0</v>
      </c>
      <c r="N28" s="2">
        <f t="shared" si="1"/>
        <v>0</v>
      </c>
      <c r="O28" s="2">
        <f t="shared" si="2"/>
        <v>0</v>
      </c>
      <c r="P28" s="2">
        <f t="shared" si="3"/>
        <v>0</v>
      </c>
      <c r="Q28" s="44"/>
    </row>
    <row r="29" spans="1:17" x14ac:dyDescent="0.3">
      <c r="A29" s="44">
        <f>مرتبات!A29</f>
        <v>0</v>
      </c>
      <c r="B29" s="44" t="str">
        <f>مرتبات!B29</f>
        <v>Spare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f t="shared" si="0"/>
        <v>0</v>
      </c>
      <c r="N29" s="2">
        <f t="shared" si="1"/>
        <v>0</v>
      </c>
      <c r="O29" s="2">
        <f t="shared" si="2"/>
        <v>0</v>
      </c>
      <c r="P29" s="2">
        <f t="shared" si="3"/>
        <v>0</v>
      </c>
      <c r="Q29" s="44"/>
    </row>
    <row r="30" spans="1:17" x14ac:dyDescent="0.3">
      <c r="A30" s="44">
        <f>مرتبات!A30</f>
        <v>0</v>
      </c>
      <c r="B30" s="44" t="str">
        <f>مرتبات!B30</f>
        <v>Spare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f t="shared" si="0"/>
        <v>0</v>
      </c>
      <c r="N30" s="2">
        <f t="shared" si="1"/>
        <v>0</v>
      </c>
      <c r="O30" s="2">
        <f t="shared" si="2"/>
        <v>0</v>
      </c>
      <c r="P30" s="2">
        <f t="shared" si="3"/>
        <v>0</v>
      </c>
      <c r="Q30" s="44"/>
    </row>
    <row r="31" spans="1:17" x14ac:dyDescent="0.3">
      <c r="A31" s="44">
        <f>مرتبات!A31</f>
        <v>0</v>
      </c>
      <c r="B31" s="44" t="str">
        <f>مرتبات!B31</f>
        <v>Spare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f t="shared" si="0"/>
        <v>0</v>
      </c>
      <c r="N31" s="2">
        <f t="shared" si="1"/>
        <v>0</v>
      </c>
      <c r="O31" s="2">
        <f t="shared" si="2"/>
        <v>0</v>
      </c>
      <c r="P31" s="2">
        <f t="shared" si="3"/>
        <v>0</v>
      </c>
      <c r="Q31" s="44"/>
    </row>
    <row r="32" spans="1:17" x14ac:dyDescent="0.3">
      <c r="A32" s="44">
        <f>مرتبات!A32</f>
        <v>0</v>
      </c>
      <c r="B32" s="44" t="str">
        <f>مرتبات!B32</f>
        <v>Spare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f t="shared" si="0"/>
        <v>0</v>
      </c>
      <c r="N32" s="2">
        <f t="shared" si="1"/>
        <v>0</v>
      </c>
      <c r="O32" s="2">
        <f t="shared" si="2"/>
        <v>0</v>
      </c>
      <c r="P32" s="2">
        <f t="shared" si="3"/>
        <v>0</v>
      </c>
      <c r="Q32" s="44"/>
    </row>
    <row r="33" spans="1:17" x14ac:dyDescent="0.3">
      <c r="A33" s="44">
        <f>مرتبات!A33</f>
        <v>8</v>
      </c>
      <c r="B33" s="44" t="str">
        <f>مرتبات!B33</f>
        <v>أ/أحمد سيف الدين أبو بكر سري الدين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f t="shared" si="0"/>
        <v>0</v>
      </c>
      <c r="N33" s="2">
        <f t="shared" si="1"/>
        <v>0</v>
      </c>
      <c r="O33" s="2">
        <f t="shared" si="2"/>
        <v>0</v>
      </c>
      <c r="P33" s="2">
        <f t="shared" si="3"/>
        <v>0</v>
      </c>
      <c r="Q33" s="44"/>
    </row>
    <row r="34" spans="1:17" x14ac:dyDescent="0.3">
      <c r="A34" s="44">
        <f>مرتبات!A34</f>
        <v>9</v>
      </c>
      <c r="B34" s="44" t="str">
        <f>مرتبات!B34</f>
        <v>أ/هاني أحمد الدالي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f t="shared" si="0"/>
        <v>0</v>
      </c>
      <c r="N34" s="2">
        <f t="shared" si="1"/>
        <v>0</v>
      </c>
      <c r="O34" s="2">
        <f t="shared" si="2"/>
        <v>0</v>
      </c>
      <c r="P34" s="2">
        <f t="shared" si="3"/>
        <v>0</v>
      </c>
      <c r="Q34" s="44"/>
    </row>
    <row r="35" spans="1:17" x14ac:dyDescent="0.3">
      <c r="A35" s="44">
        <f>مرتبات!A35</f>
        <v>10</v>
      </c>
      <c r="B35" s="44" t="str">
        <f>مرتبات!B35</f>
        <v>أ/عبدالرحمن أحمد عبدالعزيز حسن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f t="shared" si="0"/>
        <v>0</v>
      </c>
      <c r="N35" s="2">
        <f t="shared" si="1"/>
        <v>0</v>
      </c>
      <c r="O35" s="2">
        <f t="shared" si="2"/>
        <v>0</v>
      </c>
      <c r="P35" s="2">
        <f t="shared" si="3"/>
        <v>0</v>
      </c>
      <c r="Q35" s="44"/>
    </row>
    <row r="36" spans="1:17" x14ac:dyDescent="0.3">
      <c r="A36" s="44">
        <f>مرتبات!A36</f>
        <v>0</v>
      </c>
      <c r="B36" s="44" t="str">
        <f>مرتبات!B36</f>
        <v>Spare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f t="shared" si="0"/>
        <v>0</v>
      </c>
      <c r="N36" s="2">
        <f t="shared" si="1"/>
        <v>0</v>
      </c>
      <c r="O36" s="2">
        <f t="shared" si="2"/>
        <v>0</v>
      </c>
      <c r="P36" s="2">
        <f t="shared" si="3"/>
        <v>0</v>
      </c>
      <c r="Q36" s="44"/>
    </row>
    <row r="37" spans="1:17" x14ac:dyDescent="0.3">
      <c r="A37" s="44">
        <f>مرتبات!A37</f>
        <v>0</v>
      </c>
      <c r="B37" s="44" t="str">
        <f>مرتبات!B37</f>
        <v>Spare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f t="shared" si="0"/>
        <v>0</v>
      </c>
      <c r="N37" s="2">
        <f t="shared" si="1"/>
        <v>0</v>
      </c>
      <c r="O37" s="2">
        <f t="shared" si="2"/>
        <v>0</v>
      </c>
      <c r="P37" s="2">
        <f t="shared" si="3"/>
        <v>0</v>
      </c>
      <c r="Q37" s="44"/>
    </row>
    <row r="38" spans="1:17" x14ac:dyDescent="0.3">
      <c r="A38" s="44">
        <f>مرتبات!A38</f>
        <v>0</v>
      </c>
      <c r="B38" s="44" t="str">
        <f>مرتبات!B38</f>
        <v>Spare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f t="shared" si="0"/>
        <v>0</v>
      </c>
      <c r="N38" s="2">
        <f t="shared" si="1"/>
        <v>0</v>
      </c>
      <c r="O38" s="2">
        <f t="shared" si="2"/>
        <v>0</v>
      </c>
      <c r="P38" s="2">
        <f t="shared" si="3"/>
        <v>0</v>
      </c>
      <c r="Q38" s="44"/>
    </row>
    <row r="39" spans="1:17" x14ac:dyDescent="0.3">
      <c r="A39" s="44">
        <f>مرتبات!A39</f>
        <v>0</v>
      </c>
      <c r="B39" s="44" t="str">
        <f>مرتبات!B39</f>
        <v>Spare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f t="shared" si="0"/>
        <v>0</v>
      </c>
      <c r="N39" s="2">
        <f t="shared" si="1"/>
        <v>0</v>
      </c>
      <c r="O39" s="2">
        <f t="shared" si="2"/>
        <v>0</v>
      </c>
      <c r="P39" s="2">
        <f t="shared" si="3"/>
        <v>0</v>
      </c>
      <c r="Q39" s="44"/>
    </row>
    <row r="40" spans="1:17" x14ac:dyDescent="0.3">
      <c r="A40" s="44">
        <f>مرتبات!A40</f>
        <v>0</v>
      </c>
      <c r="B40" s="44" t="str">
        <f>مرتبات!B40</f>
        <v>Spare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f t="shared" si="0"/>
        <v>0</v>
      </c>
      <c r="N40" s="2">
        <f t="shared" si="1"/>
        <v>0</v>
      </c>
      <c r="O40" s="2">
        <f t="shared" si="2"/>
        <v>0</v>
      </c>
      <c r="P40" s="2">
        <f t="shared" si="3"/>
        <v>0</v>
      </c>
      <c r="Q40" s="44"/>
    </row>
    <row r="41" spans="1:17" x14ac:dyDescent="0.3">
      <c r="A41" s="44">
        <f>مرتبات!A41</f>
        <v>0</v>
      </c>
      <c r="B41" s="44" t="str">
        <f>مرتبات!B41</f>
        <v>Spare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f t="shared" si="0"/>
        <v>0</v>
      </c>
      <c r="N41" s="2">
        <f t="shared" si="1"/>
        <v>0</v>
      </c>
      <c r="O41" s="2">
        <f t="shared" si="2"/>
        <v>0</v>
      </c>
      <c r="P41" s="2">
        <f t="shared" si="3"/>
        <v>0</v>
      </c>
      <c r="Q41" s="44"/>
    </row>
    <row r="42" spans="1:17" x14ac:dyDescent="0.3">
      <c r="A42" s="44">
        <f>مرتبات!A42</f>
        <v>0</v>
      </c>
      <c r="B42" s="44" t="str">
        <f>مرتبات!B42</f>
        <v>Spare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f t="shared" si="0"/>
        <v>0</v>
      </c>
      <c r="N42" s="2">
        <f t="shared" si="1"/>
        <v>0</v>
      </c>
      <c r="O42" s="2">
        <f t="shared" si="2"/>
        <v>0</v>
      </c>
      <c r="P42" s="2">
        <f t="shared" si="3"/>
        <v>0</v>
      </c>
      <c r="Q42" s="44"/>
    </row>
    <row r="43" spans="1:17" x14ac:dyDescent="0.3">
      <c r="A43" s="44">
        <f>مرتبات!A43</f>
        <v>0</v>
      </c>
      <c r="B43" s="44" t="str">
        <f>مرتبات!B43</f>
        <v>Spare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f t="shared" si="0"/>
        <v>0</v>
      </c>
      <c r="N43" s="2">
        <f t="shared" si="1"/>
        <v>0</v>
      </c>
      <c r="O43" s="2">
        <f t="shared" si="2"/>
        <v>0</v>
      </c>
      <c r="P43" s="2">
        <f t="shared" si="3"/>
        <v>0</v>
      </c>
      <c r="Q43" s="44"/>
    </row>
    <row r="44" spans="1:17" x14ac:dyDescent="0.3">
      <c r="A44" s="44">
        <f>مرتبات!A44</f>
        <v>0</v>
      </c>
      <c r="B44" s="44" t="str">
        <f>مرتبات!B44</f>
        <v>Spare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f t="shared" si="0"/>
        <v>0</v>
      </c>
      <c r="N44" s="2">
        <f t="shared" si="1"/>
        <v>0</v>
      </c>
      <c r="O44" s="2">
        <f t="shared" si="2"/>
        <v>0</v>
      </c>
      <c r="P44" s="2">
        <f t="shared" si="3"/>
        <v>0</v>
      </c>
      <c r="Q44" s="44"/>
    </row>
    <row r="45" spans="1:17" x14ac:dyDescent="0.3">
      <c r="A45" s="44">
        <f>مرتبات!A45</f>
        <v>11</v>
      </c>
      <c r="B45" s="44" t="str">
        <f>مرتبات!B45</f>
        <v>أ/حبيبة محمود سمير محمود عيسى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f t="shared" si="0"/>
        <v>0</v>
      </c>
      <c r="N45" s="2">
        <f t="shared" si="1"/>
        <v>0</v>
      </c>
      <c r="O45" s="2">
        <f t="shared" si="2"/>
        <v>0</v>
      </c>
      <c r="P45" s="2">
        <f t="shared" si="3"/>
        <v>0</v>
      </c>
      <c r="Q45" s="44"/>
    </row>
    <row r="46" spans="1:17" x14ac:dyDescent="0.3">
      <c r="A46" s="44">
        <f>مرتبات!A46</f>
        <v>12</v>
      </c>
      <c r="B46" s="44" t="str">
        <f>مرتبات!B46</f>
        <v>أ/احمد ابو العباس محمد الاتربي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f t="shared" si="0"/>
        <v>0</v>
      </c>
      <c r="N46" s="2">
        <f t="shared" si="1"/>
        <v>0</v>
      </c>
      <c r="O46" s="2">
        <f t="shared" si="2"/>
        <v>0</v>
      </c>
      <c r="P46" s="2">
        <f t="shared" si="3"/>
        <v>0</v>
      </c>
      <c r="Q46" s="44"/>
    </row>
    <row r="47" spans="1:17" x14ac:dyDescent="0.3">
      <c r="A47" s="44">
        <f>مرتبات!A47</f>
        <v>13</v>
      </c>
      <c r="B47" s="44" t="str">
        <f>مرتبات!B47</f>
        <v>أ/ليلي امين محمد امين طموم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f t="shared" si="0"/>
        <v>0</v>
      </c>
      <c r="N47" s="2">
        <f t="shared" si="1"/>
        <v>0</v>
      </c>
      <c r="O47" s="2">
        <f t="shared" si="2"/>
        <v>0</v>
      </c>
      <c r="P47" s="2">
        <f t="shared" si="3"/>
        <v>0</v>
      </c>
      <c r="Q47" s="44"/>
    </row>
    <row r="48" spans="1:17" x14ac:dyDescent="0.3">
      <c r="A48" s="44">
        <f>مرتبات!A48</f>
        <v>14</v>
      </c>
      <c r="B48" s="44" t="str">
        <f>مرتبات!B48</f>
        <v>أ/كريم ايمن محمد عادل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f t="shared" si="0"/>
        <v>0</v>
      </c>
      <c r="N48" s="2">
        <f t="shared" si="1"/>
        <v>0</v>
      </c>
      <c r="O48" s="2">
        <f t="shared" si="2"/>
        <v>0</v>
      </c>
      <c r="P48" s="2">
        <f t="shared" si="3"/>
        <v>0</v>
      </c>
      <c r="Q48" s="44"/>
    </row>
    <row r="49" spans="1:17" x14ac:dyDescent="0.3">
      <c r="A49" s="44">
        <f>مرتبات!A49</f>
        <v>15</v>
      </c>
      <c r="B49" s="44" t="str">
        <f>مرتبات!B49</f>
        <v>عمرو محمد عبدالحليم أبو سليم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f t="shared" si="0"/>
        <v>0</v>
      </c>
      <c r="N49" s="2">
        <f t="shared" si="1"/>
        <v>0</v>
      </c>
      <c r="O49" s="2">
        <f t="shared" si="2"/>
        <v>0</v>
      </c>
      <c r="P49" s="2">
        <f t="shared" si="3"/>
        <v>0</v>
      </c>
      <c r="Q49" s="44"/>
    </row>
    <row r="50" spans="1:17" x14ac:dyDescent="0.3">
      <c r="A50" s="44">
        <f>مرتبات!A50</f>
        <v>0</v>
      </c>
      <c r="B50" s="44" t="str">
        <f>مرتبات!B50</f>
        <v>Spare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f t="shared" si="0"/>
        <v>0</v>
      </c>
      <c r="N50" s="2">
        <f t="shared" si="1"/>
        <v>0</v>
      </c>
      <c r="O50" s="2">
        <f t="shared" si="2"/>
        <v>0</v>
      </c>
      <c r="P50" s="2">
        <f t="shared" si="3"/>
        <v>0</v>
      </c>
      <c r="Q50" s="44"/>
    </row>
    <row r="51" spans="1:17" x14ac:dyDescent="0.3">
      <c r="A51" s="44">
        <f>مرتبات!A51</f>
        <v>0</v>
      </c>
      <c r="B51" s="44" t="str">
        <f>مرتبات!B51</f>
        <v>Spare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f t="shared" si="0"/>
        <v>0</v>
      </c>
      <c r="N51" s="2">
        <f t="shared" si="1"/>
        <v>0</v>
      </c>
      <c r="O51" s="2">
        <f t="shared" si="2"/>
        <v>0</v>
      </c>
      <c r="P51" s="2">
        <f t="shared" si="3"/>
        <v>0</v>
      </c>
      <c r="Q51" s="44"/>
    </row>
    <row r="52" spans="1:17" x14ac:dyDescent="0.3">
      <c r="A52" s="44">
        <f>مرتبات!A52</f>
        <v>0</v>
      </c>
      <c r="B52" s="44" t="str">
        <f>مرتبات!B52</f>
        <v>Spare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f t="shared" si="0"/>
        <v>0</v>
      </c>
      <c r="N52" s="2">
        <f t="shared" si="1"/>
        <v>0</v>
      </c>
      <c r="O52" s="2">
        <f t="shared" si="2"/>
        <v>0</v>
      </c>
      <c r="P52" s="2">
        <f t="shared" si="3"/>
        <v>0</v>
      </c>
      <c r="Q52" s="44"/>
    </row>
    <row r="53" spans="1:17" x14ac:dyDescent="0.3">
      <c r="A53" s="44">
        <f>مرتبات!A53</f>
        <v>0</v>
      </c>
      <c r="B53" s="44" t="str">
        <f>مرتبات!B53</f>
        <v>Spare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f t="shared" si="0"/>
        <v>0</v>
      </c>
      <c r="N53" s="2">
        <f t="shared" si="1"/>
        <v>0</v>
      </c>
      <c r="O53" s="2">
        <f t="shared" si="2"/>
        <v>0</v>
      </c>
      <c r="P53" s="2">
        <f t="shared" si="3"/>
        <v>0</v>
      </c>
      <c r="Q53" s="44"/>
    </row>
    <row r="54" spans="1:17" x14ac:dyDescent="0.3">
      <c r="A54" s="44">
        <f>مرتبات!A54</f>
        <v>0</v>
      </c>
      <c r="B54" s="44" t="str">
        <f>مرتبات!B54</f>
        <v>Spare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f t="shared" si="0"/>
        <v>0</v>
      </c>
      <c r="N54" s="2">
        <f t="shared" si="1"/>
        <v>0</v>
      </c>
      <c r="O54" s="2">
        <f t="shared" si="2"/>
        <v>0</v>
      </c>
      <c r="P54" s="2">
        <f t="shared" si="3"/>
        <v>0</v>
      </c>
      <c r="Q54" s="44"/>
    </row>
    <row r="55" spans="1:17" x14ac:dyDescent="0.3">
      <c r="A55" s="44">
        <f>مرتبات!A55</f>
        <v>0</v>
      </c>
      <c r="B55" s="44" t="str">
        <f>مرتبات!B55</f>
        <v>Spare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f t="shared" si="0"/>
        <v>0</v>
      </c>
      <c r="N55" s="2">
        <f t="shared" si="1"/>
        <v>0</v>
      </c>
      <c r="O55" s="2">
        <f t="shared" si="2"/>
        <v>0</v>
      </c>
      <c r="P55" s="2">
        <f t="shared" si="3"/>
        <v>0</v>
      </c>
      <c r="Q55" s="44"/>
    </row>
    <row r="56" spans="1:17" x14ac:dyDescent="0.3">
      <c r="A56" s="44">
        <f>مرتبات!A56</f>
        <v>15</v>
      </c>
      <c r="B56" s="44" t="s">
        <v>81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44"/>
    </row>
    <row r="57" spans="1:17" x14ac:dyDescent="0.3">
      <c r="A57" s="44">
        <f>مرتبات!A57</f>
        <v>1</v>
      </c>
      <c r="B57" s="44" t="str">
        <f>مرتبات!B57</f>
        <v>أ/دعاء عبد الدايم إبراهيم نصار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f t="shared" si="0"/>
        <v>0</v>
      </c>
      <c r="N57" s="2">
        <f t="shared" si="1"/>
        <v>0</v>
      </c>
      <c r="O57" s="2">
        <f t="shared" si="2"/>
        <v>0</v>
      </c>
      <c r="P57" s="2">
        <f t="shared" si="3"/>
        <v>0</v>
      </c>
      <c r="Q57" s="44"/>
    </row>
    <row r="58" spans="1:17" x14ac:dyDescent="0.3">
      <c r="A58" s="44">
        <f>مرتبات!A58</f>
        <v>2</v>
      </c>
      <c r="B58" s="44" t="str">
        <f>مرتبات!B58</f>
        <v>أ/أحمد محمد رزق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f t="shared" si="0"/>
        <v>0</v>
      </c>
      <c r="N58" s="2">
        <f t="shared" si="1"/>
        <v>0</v>
      </c>
      <c r="O58" s="2">
        <f t="shared" si="2"/>
        <v>0</v>
      </c>
      <c r="P58" s="2">
        <f t="shared" si="3"/>
        <v>0</v>
      </c>
      <c r="Q58" s="44"/>
    </row>
    <row r="59" spans="1:17" x14ac:dyDescent="0.3">
      <c r="A59" s="44">
        <f>مرتبات!A59</f>
        <v>0</v>
      </c>
      <c r="B59" s="44" t="str">
        <f>مرتبات!B59</f>
        <v>Manager Spare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f t="shared" si="0"/>
        <v>0</v>
      </c>
      <c r="N59" s="2">
        <f t="shared" si="1"/>
        <v>0</v>
      </c>
      <c r="O59" s="2">
        <f t="shared" si="2"/>
        <v>0</v>
      </c>
      <c r="P59" s="2">
        <f t="shared" si="3"/>
        <v>0</v>
      </c>
      <c r="Q59" s="44"/>
    </row>
    <row r="60" spans="1:17" x14ac:dyDescent="0.3">
      <c r="A60" s="44">
        <f>مرتبات!A60</f>
        <v>0</v>
      </c>
      <c r="B60" s="44" t="str">
        <f>مرتبات!B60</f>
        <v>Manager Spare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f t="shared" si="0"/>
        <v>0</v>
      </c>
      <c r="N60" s="2">
        <f t="shared" si="1"/>
        <v>0</v>
      </c>
      <c r="O60" s="2">
        <f t="shared" si="2"/>
        <v>0</v>
      </c>
      <c r="P60" s="2">
        <f t="shared" si="3"/>
        <v>0</v>
      </c>
      <c r="Q60" s="44"/>
    </row>
    <row r="61" spans="1:17" x14ac:dyDescent="0.3">
      <c r="A61" s="44">
        <f>مرتبات!A61</f>
        <v>0</v>
      </c>
      <c r="B61" s="44" t="str">
        <f>مرتبات!B61</f>
        <v>Manager Spare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f t="shared" si="0"/>
        <v>0</v>
      </c>
      <c r="N61" s="2">
        <f t="shared" si="1"/>
        <v>0</v>
      </c>
      <c r="O61" s="2">
        <f t="shared" si="2"/>
        <v>0</v>
      </c>
      <c r="P61" s="2">
        <f t="shared" si="3"/>
        <v>0</v>
      </c>
      <c r="Q61" s="44"/>
    </row>
    <row r="62" spans="1:17" x14ac:dyDescent="0.3">
      <c r="A62" s="44">
        <f>مرتبات!A62</f>
        <v>3</v>
      </c>
      <c r="B62" s="44" t="str">
        <f>مرتبات!B62</f>
        <v>أ/خالد محمد حلمى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f t="shared" si="0"/>
        <v>0</v>
      </c>
      <c r="N62" s="2">
        <f t="shared" si="1"/>
        <v>0</v>
      </c>
      <c r="O62" s="2">
        <f t="shared" si="2"/>
        <v>0</v>
      </c>
      <c r="P62" s="2">
        <f t="shared" si="3"/>
        <v>0</v>
      </c>
      <c r="Q62" s="44"/>
    </row>
    <row r="63" spans="1:17" x14ac:dyDescent="0.3">
      <c r="A63" s="44">
        <f>مرتبات!A63</f>
        <v>4</v>
      </c>
      <c r="B63" s="44" t="str">
        <f>مرتبات!B63</f>
        <v>أ/ نيرمين عصمت محمد حجازي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f t="shared" si="0"/>
        <v>0</v>
      </c>
      <c r="N63" s="2">
        <f t="shared" si="1"/>
        <v>0</v>
      </c>
      <c r="O63" s="2">
        <f t="shared" si="2"/>
        <v>0</v>
      </c>
      <c r="P63" s="2">
        <f t="shared" si="3"/>
        <v>0</v>
      </c>
      <c r="Q63" s="44"/>
    </row>
    <row r="64" spans="1:17" x14ac:dyDescent="0.3">
      <c r="A64" s="44">
        <f>مرتبات!A64</f>
        <v>0</v>
      </c>
      <c r="B64" s="44" t="str">
        <f>مرتبات!B64</f>
        <v>Senior Spare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f t="shared" si="0"/>
        <v>0</v>
      </c>
      <c r="N64" s="2">
        <f t="shared" si="1"/>
        <v>0</v>
      </c>
      <c r="O64" s="2">
        <f t="shared" si="2"/>
        <v>0</v>
      </c>
      <c r="P64" s="2">
        <f t="shared" si="3"/>
        <v>0</v>
      </c>
      <c r="Q64" s="44"/>
    </row>
    <row r="65" spans="1:17" x14ac:dyDescent="0.3">
      <c r="A65" s="44">
        <f>مرتبات!A65</f>
        <v>0</v>
      </c>
      <c r="B65" s="44" t="str">
        <f>مرتبات!B65</f>
        <v>Senior Spare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f t="shared" si="0"/>
        <v>0</v>
      </c>
      <c r="N65" s="2">
        <f t="shared" si="1"/>
        <v>0</v>
      </c>
      <c r="O65" s="2">
        <f t="shared" si="2"/>
        <v>0</v>
      </c>
      <c r="P65" s="2">
        <f t="shared" si="3"/>
        <v>0</v>
      </c>
      <c r="Q65" s="44"/>
    </row>
    <row r="66" spans="1:17" x14ac:dyDescent="0.3">
      <c r="A66" s="44">
        <f>مرتبات!A66</f>
        <v>0</v>
      </c>
      <c r="B66" s="44" t="str">
        <f>مرتبات!B66</f>
        <v>Senior Spare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f t="shared" si="0"/>
        <v>0</v>
      </c>
      <c r="N66" s="2">
        <f t="shared" si="1"/>
        <v>0</v>
      </c>
      <c r="O66" s="2">
        <f t="shared" si="2"/>
        <v>0</v>
      </c>
      <c r="P66" s="2">
        <f t="shared" si="3"/>
        <v>0</v>
      </c>
      <c r="Q66" s="44"/>
    </row>
    <row r="67" spans="1:17" x14ac:dyDescent="0.3">
      <c r="A67" s="44">
        <f>مرتبات!A67</f>
        <v>0</v>
      </c>
      <c r="B67" s="44" t="str">
        <f>مرتبات!B67</f>
        <v>Senior Spare</v>
      </c>
      <c r="C67" s="2">
        <v>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f t="shared" si="0"/>
        <v>0</v>
      </c>
      <c r="N67" s="2">
        <f t="shared" si="1"/>
        <v>0</v>
      </c>
      <c r="O67" s="2">
        <f t="shared" si="2"/>
        <v>0</v>
      </c>
      <c r="P67" s="2">
        <f t="shared" si="3"/>
        <v>0</v>
      </c>
      <c r="Q67" s="44"/>
    </row>
    <row r="68" spans="1:17" x14ac:dyDescent="0.3">
      <c r="A68" s="44">
        <f>مرتبات!A68</f>
        <v>5</v>
      </c>
      <c r="B68" s="44" t="str">
        <f>مرتبات!B68</f>
        <v>أ/مروة شريف عبدالحميد سلامة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f t="shared" si="0"/>
        <v>0</v>
      </c>
      <c r="N68" s="2">
        <f t="shared" si="1"/>
        <v>0</v>
      </c>
      <c r="O68" s="2">
        <f t="shared" si="2"/>
        <v>0</v>
      </c>
      <c r="P68" s="2">
        <f t="shared" si="3"/>
        <v>0</v>
      </c>
      <c r="Q68" s="44"/>
    </row>
    <row r="69" spans="1:17" x14ac:dyDescent="0.3">
      <c r="A69" s="44">
        <f>مرتبات!A69</f>
        <v>6</v>
      </c>
      <c r="B69" s="44" t="str">
        <f>مرتبات!B69</f>
        <v>أ/حازم ابراهيم عبد الحميد محمد فتاتة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f t="shared" ref="M69:M100" si="4">SUM(C69:E69)+L69</f>
        <v>0</v>
      </c>
      <c r="N69" s="2">
        <f t="shared" ref="N69:N100" si="5">SUM(I69:K69)</f>
        <v>0</v>
      </c>
      <c r="O69" s="2">
        <f t="shared" ref="O69:O100" si="6">SUM(G69:H69)</f>
        <v>0</v>
      </c>
      <c r="P69" s="2">
        <f t="shared" ref="P69:P100" si="7">SUM(M69:O69)</f>
        <v>0</v>
      </c>
      <c r="Q69" s="44"/>
    </row>
    <row r="70" spans="1:17" x14ac:dyDescent="0.3">
      <c r="A70" s="44">
        <f>مرتبات!A70</f>
        <v>0</v>
      </c>
      <c r="B70" s="44" t="str">
        <f>مرتبات!B70</f>
        <v xml:space="preserve">أ/أحمد سمير حسن السيد 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f t="shared" si="4"/>
        <v>0</v>
      </c>
      <c r="N70" s="2">
        <f t="shared" si="5"/>
        <v>0</v>
      </c>
      <c r="O70" s="2">
        <f t="shared" si="6"/>
        <v>0</v>
      </c>
      <c r="P70" s="2">
        <f t="shared" si="7"/>
        <v>0</v>
      </c>
      <c r="Q70" s="44"/>
    </row>
    <row r="71" spans="1:17" x14ac:dyDescent="0.3">
      <c r="A71" s="44">
        <f>مرتبات!A71</f>
        <v>7</v>
      </c>
      <c r="B71" s="44" t="str">
        <f>مرتبات!B71</f>
        <v>أ/إيمان صبحى شكرى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f t="shared" si="4"/>
        <v>0</v>
      </c>
      <c r="N71" s="2">
        <f t="shared" si="5"/>
        <v>0</v>
      </c>
      <c r="O71" s="2">
        <f t="shared" si="6"/>
        <v>0</v>
      </c>
      <c r="P71" s="2">
        <f t="shared" si="7"/>
        <v>0</v>
      </c>
      <c r="Q71" s="44"/>
    </row>
    <row r="72" spans="1:17" x14ac:dyDescent="0.3">
      <c r="A72" s="44">
        <f>مرتبات!A72</f>
        <v>8</v>
      </c>
      <c r="B72" s="44" t="str">
        <f>مرتبات!B72</f>
        <v>أ/شريف شكرى محمد</v>
      </c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f t="shared" si="4"/>
        <v>0</v>
      </c>
      <c r="N72" s="2">
        <f t="shared" si="5"/>
        <v>0</v>
      </c>
      <c r="O72" s="2">
        <f t="shared" si="6"/>
        <v>0</v>
      </c>
      <c r="P72" s="2">
        <f t="shared" si="7"/>
        <v>0</v>
      </c>
      <c r="Q72" s="44"/>
    </row>
    <row r="73" spans="1:17" x14ac:dyDescent="0.3">
      <c r="A73" s="44">
        <f>مرتبات!A73</f>
        <v>9</v>
      </c>
      <c r="B73" s="44" t="str">
        <f>مرتبات!B73</f>
        <v>أ/محمد حسن محمد كامل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f t="shared" si="4"/>
        <v>0</v>
      </c>
      <c r="N73" s="2">
        <f t="shared" si="5"/>
        <v>0</v>
      </c>
      <c r="O73" s="2">
        <f t="shared" si="6"/>
        <v>0</v>
      </c>
      <c r="P73" s="2">
        <f t="shared" si="7"/>
        <v>0</v>
      </c>
      <c r="Q73" s="44"/>
    </row>
    <row r="74" spans="1:17" x14ac:dyDescent="0.3">
      <c r="A74" s="44">
        <f>مرتبات!A74</f>
        <v>10</v>
      </c>
      <c r="B74" s="44" t="str">
        <f>مرتبات!B74</f>
        <v>أ/سامي ابراهيم محمد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f t="shared" si="4"/>
        <v>0</v>
      </c>
      <c r="N74" s="2">
        <f t="shared" si="5"/>
        <v>0</v>
      </c>
      <c r="O74" s="2">
        <f t="shared" si="6"/>
        <v>0</v>
      </c>
      <c r="P74" s="2">
        <f t="shared" si="7"/>
        <v>0</v>
      </c>
      <c r="Q74" s="44"/>
    </row>
    <row r="75" spans="1:17" x14ac:dyDescent="0.3">
      <c r="A75" s="44">
        <f>مرتبات!A75</f>
        <v>11</v>
      </c>
      <c r="B75" s="44" t="str">
        <f>مرتبات!B75</f>
        <v>أ/محمود على محمود حسين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f t="shared" si="4"/>
        <v>0</v>
      </c>
      <c r="N75" s="2">
        <f t="shared" si="5"/>
        <v>0</v>
      </c>
      <c r="O75" s="2">
        <f t="shared" si="6"/>
        <v>0</v>
      </c>
      <c r="P75" s="2">
        <f t="shared" si="7"/>
        <v>0</v>
      </c>
      <c r="Q75" s="44"/>
    </row>
    <row r="76" spans="1:17" x14ac:dyDescent="0.3">
      <c r="A76" s="44">
        <f>مرتبات!A76</f>
        <v>12</v>
      </c>
      <c r="B76" s="44" t="str">
        <f>مرتبات!B76</f>
        <v>أ/عمرو عبد الكريم صقر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f t="shared" si="4"/>
        <v>0</v>
      </c>
      <c r="N76" s="2">
        <f t="shared" si="5"/>
        <v>0</v>
      </c>
      <c r="O76" s="2">
        <f t="shared" si="6"/>
        <v>0</v>
      </c>
      <c r="P76" s="2">
        <f t="shared" si="7"/>
        <v>0</v>
      </c>
      <c r="Q76" s="44"/>
    </row>
    <row r="77" spans="1:17" x14ac:dyDescent="0.3">
      <c r="A77" s="44">
        <f>مرتبات!A77</f>
        <v>13</v>
      </c>
      <c r="B77" s="44" t="str">
        <f>مرتبات!B77</f>
        <v>أ/مختار احمد المجدلي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f t="shared" si="4"/>
        <v>0</v>
      </c>
      <c r="N77" s="2">
        <f t="shared" si="5"/>
        <v>0</v>
      </c>
      <c r="O77" s="2">
        <f t="shared" si="6"/>
        <v>0</v>
      </c>
      <c r="P77" s="2">
        <f t="shared" si="7"/>
        <v>0</v>
      </c>
      <c r="Q77" s="44"/>
    </row>
    <row r="78" spans="1:17" x14ac:dyDescent="0.3">
      <c r="A78" s="44">
        <f>مرتبات!A78</f>
        <v>14</v>
      </c>
      <c r="B78" s="44" t="str">
        <f>مرتبات!B78</f>
        <v>أ/طارق محمد جمعه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f t="shared" si="4"/>
        <v>0</v>
      </c>
      <c r="N78" s="2">
        <f t="shared" si="5"/>
        <v>0</v>
      </c>
      <c r="O78" s="2">
        <f t="shared" si="6"/>
        <v>0</v>
      </c>
      <c r="P78" s="2">
        <f t="shared" si="7"/>
        <v>0</v>
      </c>
      <c r="Q78" s="44"/>
    </row>
    <row r="79" spans="1:17" x14ac:dyDescent="0.3">
      <c r="A79" s="44">
        <f>مرتبات!A79</f>
        <v>15</v>
      </c>
      <c r="B79" s="44" t="str">
        <f>مرتبات!B79</f>
        <v>أ/ أحمد محمد عبدالسلام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f t="shared" si="4"/>
        <v>0</v>
      </c>
      <c r="N79" s="2">
        <f t="shared" si="5"/>
        <v>0</v>
      </c>
      <c r="O79" s="2">
        <f t="shared" si="6"/>
        <v>0</v>
      </c>
      <c r="P79" s="2">
        <f t="shared" si="7"/>
        <v>0</v>
      </c>
      <c r="Q79" s="44"/>
    </row>
    <row r="80" spans="1:17" x14ac:dyDescent="0.3">
      <c r="A80" s="44">
        <f>مرتبات!A80</f>
        <v>0</v>
      </c>
      <c r="B80" s="44">
        <f>مرتبات!B80</f>
        <v>0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f t="shared" si="4"/>
        <v>0</v>
      </c>
      <c r="N80" s="2">
        <f t="shared" si="5"/>
        <v>0</v>
      </c>
      <c r="O80" s="2">
        <f t="shared" si="6"/>
        <v>0</v>
      </c>
      <c r="P80" s="2">
        <f t="shared" si="7"/>
        <v>0</v>
      </c>
      <c r="Q80" s="44"/>
    </row>
    <row r="81" spans="1:17" x14ac:dyDescent="0.3">
      <c r="A81" s="44">
        <f>مرتبات!A81</f>
        <v>16</v>
      </c>
      <c r="B81" s="44" t="str">
        <f>مرتبات!B81</f>
        <v>أ/محمد عبدالجواد محمد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f t="shared" si="4"/>
        <v>0</v>
      </c>
      <c r="N81" s="2">
        <f t="shared" si="5"/>
        <v>0</v>
      </c>
      <c r="O81" s="2">
        <f t="shared" si="6"/>
        <v>0</v>
      </c>
      <c r="P81" s="2">
        <f t="shared" si="7"/>
        <v>0</v>
      </c>
      <c r="Q81" s="44"/>
    </row>
    <row r="82" spans="1:17" x14ac:dyDescent="0.3">
      <c r="A82" s="44">
        <f>مرتبات!A82</f>
        <v>17</v>
      </c>
      <c r="B82" s="44" t="str">
        <f>مرتبات!B82</f>
        <v>أ/ منة الله محب عبدالغفار السيد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f t="shared" si="4"/>
        <v>0</v>
      </c>
      <c r="N82" s="2">
        <f t="shared" si="5"/>
        <v>0</v>
      </c>
      <c r="O82" s="2">
        <f t="shared" si="6"/>
        <v>0</v>
      </c>
      <c r="P82" s="2">
        <f t="shared" si="7"/>
        <v>0</v>
      </c>
      <c r="Q82" s="44"/>
    </row>
    <row r="83" spans="1:17" x14ac:dyDescent="0.3">
      <c r="A83" s="44">
        <f>مرتبات!A83</f>
        <v>18</v>
      </c>
      <c r="B83" s="44" t="str">
        <f>مرتبات!B83</f>
        <v>أ/عاصم محمد سعيد عبده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f t="shared" si="4"/>
        <v>0</v>
      </c>
      <c r="N83" s="2">
        <f t="shared" si="5"/>
        <v>0</v>
      </c>
      <c r="O83" s="2">
        <f t="shared" si="6"/>
        <v>0</v>
      </c>
      <c r="P83" s="2">
        <f t="shared" si="7"/>
        <v>0</v>
      </c>
      <c r="Q83" s="44"/>
    </row>
    <row r="84" spans="1:17" x14ac:dyDescent="0.3">
      <c r="A84" s="44">
        <f>مرتبات!A84</f>
        <v>19</v>
      </c>
      <c r="B84" s="44" t="str">
        <f>مرتبات!B84</f>
        <v>أ/ نجوى إبراهيم محمود غنيم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f t="shared" si="4"/>
        <v>0</v>
      </c>
      <c r="N84" s="2">
        <f t="shared" si="5"/>
        <v>0</v>
      </c>
      <c r="O84" s="2">
        <f t="shared" si="6"/>
        <v>0</v>
      </c>
      <c r="P84" s="2">
        <f t="shared" si="7"/>
        <v>0</v>
      </c>
      <c r="Q84" s="44"/>
    </row>
    <row r="85" spans="1:17" x14ac:dyDescent="0.3">
      <c r="A85" s="44">
        <f>مرتبات!A85</f>
        <v>20</v>
      </c>
      <c r="B85" s="44" t="str">
        <f>مرتبات!B85</f>
        <v>محمد حسين محمد محمد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f t="shared" si="4"/>
        <v>0</v>
      </c>
      <c r="N85" s="2">
        <f t="shared" si="5"/>
        <v>0</v>
      </c>
      <c r="O85" s="2">
        <f t="shared" si="6"/>
        <v>0</v>
      </c>
      <c r="P85" s="2">
        <f t="shared" si="7"/>
        <v>0</v>
      </c>
      <c r="Q85" s="44"/>
    </row>
    <row r="86" spans="1:17" x14ac:dyDescent="0.3">
      <c r="A86" s="44">
        <f>مرتبات!A86</f>
        <v>0</v>
      </c>
      <c r="B86" s="44" t="str">
        <f>مرتبات!B86</f>
        <v>Spare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f t="shared" si="4"/>
        <v>0</v>
      </c>
      <c r="N86" s="2">
        <f t="shared" si="5"/>
        <v>0</v>
      </c>
      <c r="O86" s="2">
        <f t="shared" si="6"/>
        <v>0</v>
      </c>
      <c r="P86" s="2">
        <f t="shared" si="7"/>
        <v>0</v>
      </c>
      <c r="Q86" s="44"/>
    </row>
    <row r="87" spans="1:17" x14ac:dyDescent="0.3">
      <c r="A87" s="44">
        <f>مرتبات!A87</f>
        <v>0</v>
      </c>
      <c r="B87" s="44" t="str">
        <f>مرتبات!B87</f>
        <v>Spare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f t="shared" si="4"/>
        <v>0</v>
      </c>
      <c r="N87" s="2">
        <f t="shared" si="5"/>
        <v>0</v>
      </c>
      <c r="O87" s="2">
        <f t="shared" si="6"/>
        <v>0</v>
      </c>
      <c r="P87" s="2">
        <f t="shared" si="7"/>
        <v>0</v>
      </c>
      <c r="Q87" s="44"/>
    </row>
    <row r="88" spans="1:17" x14ac:dyDescent="0.3">
      <c r="A88" s="44">
        <f>مرتبات!A88</f>
        <v>0</v>
      </c>
      <c r="B88" s="44" t="str">
        <f>مرتبات!B88</f>
        <v>Spare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f t="shared" si="4"/>
        <v>0</v>
      </c>
      <c r="N88" s="2">
        <f t="shared" si="5"/>
        <v>0</v>
      </c>
      <c r="O88" s="2">
        <f t="shared" si="6"/>
        <v>0</v>
      </c>
      <c r="P88" s="2">
        <f t="shared" si="7"/>
        <v>0</v>
      </c>
      <c r="Q88" s="44"/>
    </row>
    <row r="89" spans="1:17" x14ac:dyDescent="0.3">
      <c r="A89" s="44">
        <f>مرتبات!A89</f>
        <v>0</v>
      </c>
      <c r="B89" s="44" t="str">
        <f>مرتبات!B89</f>
        <v>Spare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f t="shared" si="4"/>
        <v>0</v>
      </c>
      <c r="N89" s="2">
        <f t="shared" si="5"/>
        <v>0</v>
      </c>
      <c r="O89" s="2">
        <f t="shared" si="6"/>
        <v>0</v>
      </c>
      <c r="P89" s="2">
        <f t="shared" si="7"/>
        <v>0</v>
      </c>
      <c r="Q89" s="44"/>
    </row>
    <row r="90" spans="1:17" x14ac:dyDescent="0.3">
      <c r="A90" s="44">
        <f>مرتبات!A90</f>
        <v>0</v>
      </c>
      <c r="B90" s="44" t="str">
        <f>مرتبات!B90</f>
        <v>Spare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f t="shared" si="4"/>
        <v>0</v>
      </c>
      <c r="N90" s="2">
        <f t="shared" si="5"/>
        <v>0</v>
      </c>
      <c r="O90" s="2">
        <f t="shared" si="6"/>
        <v>0</v>
      </c>
      <c r="P90" s="2">
        <f t="shared" si="7"/>
        <v>0</v>
      </c>
      <c r="Q90" s="44"/>
    </row>
    <row r="91" spans="1:17" x14ac:dyDescent="0.3">
      <c r="A91" s="44">
        <f>مرتبات!A91</f>
        <v>0</v>
      </c>
      <c r="B91" s="44" t="str">
        <f>مرتبات!B91</f>
        <v>Spare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f t="shared" si="4"/>
        <v>0</v>
      </c>
      <c r="N91" s="2">
        <f t="shared" si="5"/>
        <v>0</v>
      </c>
      <c r="O91" s="2">
        <f t="shared" si="6"/>
        <v>0</v>
      </c>
      <c r="P91" s="2">
        <f t="shared" si="7"/>
        <v>0</v>
      </c>
      <c r="Q91" s="44"/>
    </row>
    <row r="92" spans="1:17" x14ac:dyDescent="0.3">
      <c r="A92" s="44">
        <f>مرتبات!A92</f>
        <v>0</v>
      </c>
      <c r="B92" s="44" t="str">
        <f>مرتبات!B92</f>
        <v>Spare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f t="shared" si="4"/>
        <v>0</v>
      </c>
      <c r="N92" s="2">
        <f t="shared" si="5"/>
        <v>0</v>
      </c>
      <c r="O92" s="2">
        <f t="shared" si="6"/>
        <v>0</v>
      </c>
      <c r="P92" s="2">
        <f t="shared" si="7"/>
        <v>0</v>
      </c>
      <c r="Q92" s="44"/>
    </row>
    <row r="93" spans="1:17" x14ac:dyDescent="0.3">
      <c r="A93" s="44">
        <f>مرتبات!A93</f>
        <v>0</v>
      </c>
      <c r="B93" s="44" t="str">
        <f>مرتبات!B93</f>
        <v>Spare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f t="shared" si="4"/>
        <v>0</v>
      </c>
      <c r="N93" s="2">
        <f t="shared" si="5"/>
        <v>0</v>
      </c>
      <c r="O93" s="2">
        <f t="shared" si="6"/>
        <v>0</v>
      </c>
      <c r="P93" s="2">
        <f t="shared" si="7"/>
        <v>0</v>
      </c>
      <c r="Q93" s="44"/>
    </row>
    <row r="94" spans="1:17" x14ac:dyDescent="0.3">
      <c r="A94" s="44">
        <f>مرتبات!A94</f>
        <v>0</v>
      </c>
      <c r="B94" s="44" t="str">
        <f>مرتبات!B94</f>
        <v>Spare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f t="shared" si="4"/>
        <v>0</v>
      </c>
      <c r="N94" s="2">
        <f t="shared" si="5"/>
        <v>0</v>
      </c>
      <c r="O94" s="2">
        <f t="shared" si="6"/>
        <v>0</v>
      </c>
      <c r="P94" s="2">
        <f t="shared" si="7"/>
        <v>0</v>
      </c>
      <c r="Q94" s="44"/>
    </row>
    <row r="95" spans="1:17" x14ac:dyDescent="0.3">
      <c r="A95" s="44">
        <f>مرتبات!A95</f>
        <v>0</v>
      </c>
      <c r="B95" s="44" t="str">
        <f>مرتبات!B95</f>
        <v>Spare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f t="shared" si="4"/>
        <v>0</v>
      </c>
      <c r="N95" s="2">
        <f t="shared" si="5"/>
        <v>0</v>
      </c>
      <c r="O95" s="2">
        <f t="shared" si="6"/>
        <v>0</v>
      </c>
      <c r="P95" s="2">
        <f t="shared" si="7"/>
        <v>0</v>
      </c>
      <c r="Q95" s="44"/>
    </row>
    <row r="96" spans="1:17" x14ac:dyDescent="0.3">
      <c r="A96" s="44">
        <f>مرتبات!A96</f>
        <v>0</v>
      </c>
      <c r="B96" s="44" t="str">
        <f>مرتبات!B96</f>
        <v>Spare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f t="shared" si="4"/>
        <v>0</v>
      </c>
      <c r="N96" s="2">
        <f t="shared" si="5"/>
        <v>0</v>
      </c>
      <c r="O96" s="2">
        <f t="shared" si="6"/>
        <v>0</v>
      </c>
      <c r="P96" s="2">
        <f t="shared" si="7"/>
        <v>0</v>
      </c>
      <c r="Q96" s="44"/>
    </row>
    <row r="97" spans="1:17" x14ac:dyDescent="0.3">
      <c r="A97" s="44">
        <f>مرتبات!A97</f>
        <v>0</v>
      </c>
      <c r="B97" s="44" t="str">
        <f>مرتبات!B97</f>
        <v>Spare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f t="shared" si="4"/>
        <v>0</v>
      </c>
      <c r="N97" s="2">
        <f t="shared" si="5"/>
        <v>0</v>
      </c>
      <c r="O97" s="2">
        <f t="shared" si="6"/>
        <v>0</v>
      </c>
      <c r="P97" s="2">
        <f t="shared" si="7"/>
        <v>0</v>
      </c>
      <c r="Q97" s="44"/>
    </row>
    <row r="98" spans="1:17" x14ac:dyDescent="0.3">
      <c r="A98" s="44">
        <f>مرتبات!A98</f>
        <v>0</v>
      </c>
      <c r="B98" s="44" t="str">
        <f>مرتبات!B98</f>
        <v>Spare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f t="shared" si="4"/>
        <v>0</v>
      </c>
      <c r="N98" s="2">
        <f t="shared" si="5"/>
        <v>0</v>
      </c>
      <c r="O98" s="2">
        <f t="shared" si="6"/>
        <v>0</v>
      </c>
      <c r="P98" s="2">
        <f t="shared" si="7"/>
        <v>0</v>
      </c>
      <c r="Q98" s="44"/>
    </row>
    <row r="99" spans="1:17" x14ac:dyDescent="0.3">
      <c r="A99" s="44">
        <f>مرتبات!A99</f>
        <v>0</v>
      </c>
      <c r="B99" s="44" t="str">
        <f>مرتبات!B99</f>
        <v>Spare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f t="shared" si="4"/>
        <v>0</v>
      </c>
      <c r="N99" s="2">
        <f t="shared" si="5"/>
        <v>0</v>
      </c>
      <c r="O99" s="2">
        <f t="shared" si="6"/>
        <v>0</v>
      </c>
      <c r="P99" s="2">
        <f t="shared" si="7"/>
        <v>0</v>
      </c>
      <c r="Q99" s="44"/>
    </row>
    <row r="100" spans="1:17" x14ac:dyDescent="0.3">
      <c r="A100" s="44">
        <f>مرتبات!A100</f>
        <v>0</v>
      </c>
      <c r="B100" s="44" t="str">
        <f>مرتبات!B100</f>
        <v>Spare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f t="shared" si="4"/>
        <v>0</v>
      </c>
      <c r="N100" s="2">
        <f t="shared" si="5"/>
        <v>0</v>
      </c>
      <c r="O100" s="2">
        <f t="shared" si="6"/>
        <v>0</v>
      </c>
      <c r="P100" s="2">
        <f t="shared" si="7"/>
        <v>0</v>
      </c>
      <c r="Q100" s="44"/>
    </row>
    <row r="101" spans="1:17" x14ac:dyDescent="0.3">
      <c r="A101" s="44">
        <v>19</v>
      </c>
      <c r="B101" s="44" t="s">
        <v>82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44"/>
    </row>
    <row r="102" spans="1:17" x14ac:dyDescent="0.3">
      <c r="A102" s="44">
        <f>مرتبات!A102</f>
        <v>1</v>
      </c>
      <c r="B102" s="44" t="str">
        <f>مرتبات!B102</f>
        <v>أ/هالة فوزي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f t="shared" ref="M102:M118" si="8">SUM(C102:E102)+L102</f>
        <v>0</v>
      </c>
      <c r="N102" s="2">
        <f t="shared" ref="N102:N118" si="9">SUM(I102:K102)</f>
        <v>0</v>
      </c>
      <c r="O102" s="2">
        <f t="shared" ref="O102:O118" si="10">SUM(G102:H102)</f>
        <v>0</v>
      </c>
      <c r="P102" s="2">
        <f t="shared" ref="P102:P118" si="11">SUM(M102:O102)</f>
        <v>0</v>
      </c>
      <c r="Q102" s="44"/>
    </row>
    <row r="103" spans="1:17" x14ac:dyDescent="0.3">
      <c r="A103" s="44">
        <f>مرتبات!A103</f>
        <v>2</v>
      </c>
      <c r="B103" s="44" t="str">
        <f>مرتبات!B103</f>
        <v>د/أمجد سعيد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f t="shared" si="8"/>
        <v>0</v>
      </c>
      <c r="N103" s="2">
        <f t="shared" si="9"/>
        <v>0</v>
      </c>
      <c r="O103" s="2">
        <f t="shared" si="10"/>
        <v>0</v>
      </c>
      <c r="P103" s="2">
        <f t="shared" si="11"/>
        <v>0</v>
      </c>
      <c r="Q103" s="44"/>
    </row>
    <row r="104" spans="1:17" x14ac:dyDescent="0.3">
      <c r="A104" s="44">
        <f>مرتبات!A104</f>
        <v>3</v>
      </c>
      <c r="B104" s="44" t="str">
        <f>مرتبات!B104</f>
        <v>د/وليد رزق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f t="shared" si="8"/>
        <v>0</v>
      </c>
      <c r="N104" s="2">
        <f t="shared" si="9"/>
        <v>0</v>
      </c>
      <c r="O104" s="2">
        <f t="shared" si="10"/>
        <v>0</v>
      </c>
      <c r="P104" s="2">
        <f t="shared" si="11"/>
        <v>0</v>
      </c>
      <c r="Q104" s="44"/>
    </row>
    <row r="105" spans="1:17" x14ac:dyDescent="0.3">
      <c r="A105" s="44">
        <f>مرتبات!A105</f>
        <v>4</v>
      </c>
      <c r="B105" s="44" t="str">
        <f>مرتبات!B105</f>
        <v>د/أمينة العطيفي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f t="shared" si="8"/>
        <v>0</v>
      </c>
      <c r="N105" s="2">
        <f t="shared" si="9"/>
        <v>0</v>
      </c>
      <c r="O105" s="2">
        <f t="shared" si="10"/>
        <v>0</v>
      </c>
      <c r="P105" s="2">
        <f t="shared" si="11"/>
        <v>0</v>
      </c>
      <c r="Q105" s="44"/>
    </row>
    <row r="106" spans="1:17" x14ac:dyDescent="0.3">
      <c r="A106" s="44">
        <f>مرتبات!A106</f>
        <v>5</v>
      </c>
      <c r="B106" s="44" t="str">
        <f>مرتبات!B106</f>
        <v>أ/ محمد فاروق عبد الحليم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f t="shared" si="8"/>
        <v>0</v>
      </c>
      <c r="N106" s="2">
        <f t="shared" si="9"/>
        <v>0</v>
      </c>
      <c r="O106" s="2">
        <f t="shared" si="10"/>
        <v>0</v>
      </c>
      <c r="P106" s="2">
        <f t="shared" si="11"/>
        <v>0</v>
      </c>
      <c r="Q106" s="44"/>
    </row>
    <row r="107" spans="1:17" x14ac:dyDescent="0.3">
      <c r="A107" s="44">
        <f>مرتبات!A107</f>
        <v>6</v>
      </c>
      <c r="B107" s="44" t="str">
        <f>مرتبات!B107</f>
        <v>د/ أحمد بغدادي رشدي محمد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f t="shared" si="8"/>
        <v>0</v>
      </c>
      <c r="N107" s="2">
        <f t="shared" si="9"/>
        <v>0</v>
      </c>
      <c r="O107" s="2">
        <f t="shared" si="10"/>
        <v>0</v>
      </c>
      <c r="P107" s="2">
        <f t="shared" si="11"/>
        <v>0</v>
      </c>
      <c r="Q107" s="44"/>
    </row>
    <row r="108" spans="1:17" x14ac:dyDescent="0.3">
      <c r="A108" s="44">
        <f>مرتبات!A108</f>
        <v>7</v>
      </c>
      <c r="B108" s="44" t="s">
        <v>83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f t="shared" si="8"/>
        <v>0</v>
      </c>
      <c r="N108" s="2">
        <f t="shared" si="9"/>
        <v>0</v>
      </c>
      <c r="O108" s="2">
        <f t="shared" si="10"/>
        <v>0</v>
      </c>
      <c r="P108" s="2">
        <f t="shared" si="11"/>
        <v>0</v>
      </c>
      <c r="Q108" s="44"/>
    </row>
    <row r="109" spans="1:17" x14ac:dyDescent="0.3">
      <c r="A109" s="44">
        <f>مرتبات!A109</f>
        <v>0</v>
      </c>
      <c r="B109" s="44" t="str">
        <f>مرتبات!B109</f>
        <v>Spare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f t="shared" si="8"/>
        <v>0</v>
      </c>
      <c r="N109" s="2">
        <f t="shared" si="9"/>
        <v>0</v>
      </c>
      <c r="O109" s="2">
        <f t="shared" si="10"/>
        <v>0</v>
      </c>
      <c r="P109" s="2">
        <f t="shared" si="11"/>
        <v>0</v>
      </c>
      <c r="Q109" s="44"/>
    </row>
    <row r="110" spans="1:17" x14ac:dyDescent="0.3">
      <c r="A110" s="44">
        <f>مرتبات!A110</f>
        <v>0</v>
      </c>
      <c r="B110" s="44" t="str">
        <f>مرتبات!B110</f>
        <v>Spare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f t="shared" si="8"/>
        <v>0</v>
      </c>
      <c r="N110" s="2">
        <f t="shared" si="9"/>
        <v>0</v>
      </c>
      <c r="O110" s="2">
        <f t="shared" si="10"/>
        <v>0</v>
      </c>
      <c r="P110" s="2">
        <f t="shared" si="11"/>
        <v>0</v>
      </c>
      <c r="Q110" s="44"/>
    </row>
    <row r="111" spans="1:17" x14ac:dyDescent="0.3">
      <c r="A111" s="44">
        <f>مرتبات!A111</f>
        <v>0</v>
      </c>
      <c r="B111" s="44" t="str">
        <f>مرتبات!B111</f>
        <v>Spare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f t="shared" si="8"/>
        <v>0</v>
      </c>
      <c r="N111" s="2">
        <f t="shared" si="9"/>
        <v>0</v>
      </c>
      <c r="O111" s="2">
        <f t="shared" si="10"/>
        <v>0</v>
      </c>
      <c r="P111" s="2">
        <f t="shared" si="11"/>
        <v>0</v>
      </c>
      <c r="Q111" s="44"/>
    </row>
    <row r="112" spans="1:17" x14ac:dyDescent="0.3">
      <c r="A112" s="44">
        <f>مرتبات!A112</f>
        <v>0</v>
      </c>
      <c r="B112" s="44" t="str">
        <f>مرتبات!B112</f>
        <v>Spare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f t="shared" si="8"/>
        <v>0</v>
      </c>
      <c r="N112" s="2">
        <f t="shared" si="9"/>
        <v>0</v>
      </c>
      <c r="O112" s="2">
        <f t="shared" si="10"/>
        <v>0</v>
      </c>
      <c r="P112" s="2">
        <f t="shared" si="11"/>
        <v>0</v>
      </c>
      <c r="Q112" s="44"/>
    </row>
    <row r="113" spans="1:17" x14ac:dyDescent="0.3">
      <c r="A113" s="44">
        <f>مرتبات!A113</f>
        <v>0</v>
      </c>
      <c r="B113" s="44" t="str">
        <f>مرتبات!B113</f>
        <v>Spare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f t="shared" si="8"/>
        <v>0</v>
      </c>
      <c r="N113" s="2">
        <f t="shared" si="9"/>
        <v>0</v>
      </c>
      <c r="O113" s="2">
        <f t="shared" si="10"/>
        <v>0</v>
      </c>
      <c r="P113" s="2">
        <f t="shared" si="11"/>
        <v>0</v>
      </c>
      <c r="Q113" s="44"/>
    </row>
    <row r="114" spans="1:17" x14ac:dyDescent="0.3">
      <c r="A114" s="44">
        <f>مرتبات!A114</f>
        <v>0</v>
      </c>
      <c r="B114" s="44" t="str">
        <f>مرتبات!B114</f>
        <v>Spare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f t="shared" si="8"/>
        <v>0</v>
      </c>
      <c r="N114" s="2">
        <f t="shared" si="9"/>
        <v>0</v>
      </c>
      <c r="O114" s="2">
        <f t="shared" si="10"/>
        <v>0</v>
      </c>
      <c r="P114" s="2">
        <f t="shared" si="11"/>
        <v>0</v>
      </c>
      <c r="Q114" s="44"/>
    </row>
    <row r="115" spans="1:17" x14ac:dyDescent="0.3">
      <c r="A115" s="44">
        <f>مرتبات!A115</f>
        <v>0</v>
      </c>
      <c r="B115" s="44" t="str">
        <f>مرتبات!B115</f>
        <v>Spare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f t="shared" si="8"/>
        <v>0</v>
      </c>
      <c r="N115" s="2">
        <f t="shared" si="9"/>
        <v>0</v>
      </c>
      <c r="O115" s="2">
        <f t="shared" si="10"/>
        <v>0</v>
      </c>
      <c r="P115" s="2">
        <f t="shared" si="11"/>
        <v>0</v>
      </c>
      <c r="Q115" s="44"/>
    </row>
    <row r="116" spans="1:17" x14ac:dyDescent="0.3">
      <c r="A116" s="44">
        <f>مرتبات!A116</f>
        <v>0</v>
      </c>
      <c r="B116" s="44" t="str">
        <f>مرتبات!B116</f>
        <v>Spare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f t="shared" si="8"/>
        <v>0</v>
      </c>
      <c r="N116" s="2">
        <f t="shared" si="9"/>
        <v>0</v>
      </c>
      <c r="O116" s="2">
        <f t="shared" si="10"/>
        <v>0</v>
      </c>
      <c r="P116" s="2">
        <f t="shared" si="11"/>
        <v>0</v>
      </c>
      <c r="Q116" s="44"/>
    </row>
    <row r="117" spans="1:17" x14ac:dyDescent="0.3">
      <c r="A117" s="44">
        <f>مرتبات!A117</f>
        <v>0</v>
      </c>
      <c r="B117" s="44" t="str">
        <f>مرتبات!B117</f>
        <v>Spare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f t="shared" si="8"/>
        <v>0</v>
      </c>
      <c r="N117" s="2">
        <f t="shared" si="9"/>
        <v>0</v>
      </c>
      <c r="O117" s="2">
        <f t="shared" si="10"/>
        <v>0</v>
      </c>
      <c r="P117" s="2">
        <f t="shared" si="11"/>
        <v>0</v>
      </c>
      <c r="Q117" s="44"/>
    </row>
    <row r="118" spans="1:17" x14ac:dyDescent="0.3">
      <c r="A118" s="44">
        <f>مرتبات!A118</f>
        <v>6</v>
      </c>
      <c r="B118" s="44" t="s">
        <v>84</v>
      </c>
      <c r="C118" s="2">
        <f t="shared" ref="C118:L118" si="12">SUM(C4:C17)+SUM(C19:C55)+SUM(C57:C100)+SUM(C102:C117)</f>
        <v>0</v>
      </c>
      <c r="D118" s="2">
        <f t="shared" si="12"/>
        <v>0</v>
      </c>
      <c r="E118" s="2">
        <f t="shared" si="12"/>
        <v>0</v>
      </c>
      <c r="F118" s="2">
        <f t="shared" si="12"/>
        <v>0</v>
      </c>
      <c r="G118" s="2">
        <f t="shared" si="12"/>
        <v>0</v>
      </c>
      <c r="H118" s="2">
        <f t="shared" si="12"/>
        <v>0</v>
      </c>
      <c r="I118" s="2">
        <f t="shared" si="12"/>
        <v>0</v>
      </c>
      <c r="J118" s="2">
        <f t="shared" si="12"/>
        <v>0</v>
      </c>
      <c r="K118" s="2">
        <f t="shared" si="12"/>
        <v>0</v>
      </c>
      <c r="L118" s="2">
        <f t="shared" si="12"/>
        <v>0</v>
      </c>
      <c r="M118" s="2">
        <f t="shared" si="8"/>
        <v>0</v>
      </c>
      <c r="N118" s="2">
        <f t="shared" si="9"/>
        <v>0</v>
      </c>
      <c r="O118" s="2">
        <f t="shared" si="10"/>
        <v>0</v>
      </c>
      <c r="P118" s="2">
        <f t="shared" si="11"/>
        <v>0</v>
      </c>
      <c r="Q118" s="4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BFDA8-BF74-4049-815A-1E798993C700}">
  <dimension ref="A1:M118"/>
  <sheetViews>
    <sheetView rightToLeft="1" zoomScale="80" zoomScaleNormal="80" workbookViewId="0">
      <selection activeCell="G7" sqref="G7"/>
    </sheetView>
  </sheetViews>
  <sheetFormatPr defaultRowHeight="14.4" x14ac:dyDescent="0.3"/>
  <cols>
    <col min="1" max="1" width="3.5546875" customWidth="1"/>
    <col min="2" max="2" width="27.33203125" customWidth="1"/>
    <col min="3" max="13" width="20.77734375" customWidth="1"/>
  </cols>
  <sheetData>
    <row r="1" spans="1:13" x14ac:dyDescent="0.3">
      <c r="B1" t="s">
        <v>85</v>
      </c>
    </row>
    <row r="2" spans="1:13" ht="43.95" customHeight="1" x14ac:dyDescent="0.3">
      <c r="A2" s="65" t="s">
        <v>62</v>
      </c>
      <c r="B2" s="65" t="s">
        <v>86</v>
      </c>
      <c r="C2" s="65" t="s">
        <v>87</v>
      </c>
      <c r="D2" s="65" t="s">
        <v>88</v>
      </c>
      <c r="E2" s="65" t="s">
        <v>89</v>
      </c>
      <c r="F2" s="65" t="s">
        <v>90</v>
      </c>
      <c r="G2" s="65" t="s">
        <v>91</v>
      </c>
      <c r="H2" s="65" t="s">
        <v>92</v>
      </c>
      <c r="I2" s="65" t="s">
        <v>93</v>
      </c>
      <c r="J2" s="65" t="s">
        <v>94</v>
      </c>
      <c r="K2" s="65" t="s">
        <v>95</v>
      </c>
      <c r="L2" s="65" t="s">
        <v>96</v>
      </c>
      <c r="M2" s="65" t="s">
        <v>78</v>
      </c>
    </row>
    <row r="3" spans="1:13" x14ac:dyDescent="0.3">
      <c r="B3" t="s">
        <v>79</v>
      </c>
    </row>
    <row r="4" spans="1:13" x14ac:dyDescent="0.3">
      <c r="A4">
        <f>مرتبات!A4</f>
        <v>1</v>
      </c>
      <c r="B4" t="str">
        <f>مرتبات!B4</f>
        <v>د/هانى صلاح الدين محمد سري الدين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f t="shared" ref="L4:L67" si="0">SUM(C4:K4)</f>
        <v>0</v>
      </c>
    </row>
    <row r="5" spans="1:13" x14ac:dyDescent="0.3">
      <c r="A5">
        <f>مرتبات!A5</f>
        <v>2</v>
      </c>
      <c r="B5" t="str">
        <f>مرتبات!B5</f>
        <v>أ/أميرة محمد على شريف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f t="shared" si="0"/>
        <v>0</v>
      </c>
    </row>
    <row r="6" spans="1:13" x14ac:dyDescent="0.3">
      <c r="A6">
        <f>مرتبات!A6</f>
        <v>3</v>
      </c>
      <c r="B6" t="str">
        <f>مرتبات!B6</f>
        <v>أ/إيهاب حمدى ابراهيم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f t="shared" si="0"/>
        <v>0</v>
      </c>
    </row>
    <row r="7" spans="1:13" x14ac:dyDescent="0.3">
      <c r="A7">
        <f>مرتبات!A7</f>
        <v>0</v>
      </c>
      <c r="B7" t="str">
        <f>مرتبات!B7</f>
        <v>Spare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f t="shared" si="0"/>
        <v>0</v>
      </c>
    </row>
    <row r="8" spans="1:13" x14ac:dyDescent="0.3">
      <c r="A8">
        <f>مرتبات!A8</f>
        <v>0</v>
      </c>
      <c r="B8" t="str">
        <f>مرتبات!B8</f>
        <v>Spare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f t="shared" si="0"/>
        <v>0</v>
      </c>
    </row>
    <row r="9" spans="1:13" x14ac:dyDescent="0.3">
      <c r="A9">
        <f>مرتبات!A9</f>
        <v>0</v>
      </c>
      <c r="B9" t="str">
        <f>مرتبات!B9</f>
        <v>Spare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f t="shared" si="0"/>
        <v>0</v>
      </c>
    </row>
    <row r="10" spans="1:13" x14ac:dyDescent="0.3">
      <c r="A10">
        <f>مرتبات!A10</f>
        <v>0</v>
      </c>
      <c r="B10" t="str">
        <f>مرتبات!B10</f>
        <v>Spare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 t="shared" si="0"/>
        <v>0</v>
      </c>
    </row>
    <row r="11" spans="1:13" x14ac:dyDescent="0.3">
      <c r="A11">
        <f>مرتبات!A11</f>
        <v>0</v>
      </c>
      <c r="B11" t="str">
        <f>مرتبات!B11</f>
        <v>Spare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0"/>
        <v>0</v>
      </c>
    </row>
    <row r="12" spans="1:13" x14ac:dyDescent="0.3">
      <c r="A12">
        <f>مرتبات!A12</f>
        <v>0</v>
      </c>
      <c r="B12" t="str">
        <f>مرتبات!B12</f>
        <v>Spare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f t="shared" si="0"/>
        <v>0</v>
      </c>
    </row>
    <row r="13" spans="1:13" x14ac:dyDescent="0.3">
      <c r="A13">
        <f>مرتبات!A13</f>
        <v>0</v>
      </c>
      <c r="B13" t="str">
        <f>مرتبات!B13</f>
        <v>Spare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f t="shared" si="0"/>
        <v>0</v>
      </c>
    </row>
    <row r="14" spans="1:13" x14ac:dyDescent="0.3">
      <c r="A14">
        <f>مرتبات!A14</f>
        <v>0</v>
      </c>
      <c r="B14" t="str">
        <f>مرتبات!B14</f>
        <v>Spare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f t="shared" si="0"/>
        <v>0</v>
      </c>
    </row>
    <row r="15" spans="1:13" x14ac:dyDescent="0.3">
      <c r="A15">
        <f>مرتبات!A15</f>
        <v>0</v>
      </c>
      <c r="B15" t="str">
        <f>مرتبات!B15</f>
        <v>Spare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f t="shared" si="0"/>
        <v>0</v>
      </c>
    </row>
    <row r="16" spans="1:13" x14ac:dyDescent="0.3">
      <c r="A16">
        <f>مرتبات!A16</f>
        <v>0</v>
      </c>
      <c r="B16" t="str">
        <f>مرتبات!B16</f>
        <v>Spare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f t="shared" si="0"/>
        <v>0</v>
      </c>
    </row>
    <row r="17" spans="1:12" x14ac:dyDescent="0.3">
      <c r="A17">
        <f>مرتبات!A17</f>
        <v>0</v>
      </c>
      <c r="B17" t="str">
        <f>مرتبات!B17</f>
        <v>Spare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f t="shared" si="0"/>
        <v>0</v>
      </c>
    </row>
    <row r="18" spans="1:12" x14ac:dyDescent="0.3">
      <c r="A18">
        <f>مرتبات!A18</f>
        <v>3</v>
      </c>
      <c r="B18" t="s">
        <v>80</v>
      </c>
    </row>
    <row r="19" spans="1:12" x14ac:dyDescent="0.3">
      <c r="A19">
        <f>مرتبات!A19</f>
        <v>1</v>
      </c>
      <c r="B19" t="str">
        <f>مرتبات!B19</f>
        <v>أ/ناجى رمضان أمين محمد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f t="shared" si="0"/>
        <v>0</v>
      </c>
    </row>
    <row r="20" spans="1:12" x14ac:dyDescent="0.3">
      <c r="A20">
        <f>مرتبات!A20</f>
        <v>2</v>
      </c>
      <c r="B20" t="str">
        <f>مرتبات!B20</f>
        <v>أ/محمد عبد العزيز عبدالحافظ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f t="shared" si="0"/>
        <v>0</v>
      </c>
    </row>
    <row r="21" spans="1:12" x14ac:dyDescent="0.3">
      <c r="A21">
        <f>مرتبات!A21</f>
        <v>3</v>
      </c>
      <c r="B21" t="str">
        <f>مرتبات!B21</f>
        <v>أ/ أحمد سعيد أحمد محمد علي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f t="shared" si="0"/>
        <v>0</v>
      </c>
    </row>
    <row r="22" spans="1:12" x14ac:dyDescent="0.3">
      <c r="A22">
        <f>مرتبات!A22</f>
        <v>4</v>
      </c>
      <c r="B22" t="str">
        <f>مرتبات!B22</f>
        <v>أ/منة الله البلتاجى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f t="shared" si="0"/>
        <v>0</v>
      </c>
    </row>
    <row r="23" spans="1:12" x14ac:dyDescent="0.3">
      <c r="A23">
        <f>مرتبات!A23</f>
        <v>5</v>
      </c>
      <c r="B23" t="str">
        <f>مرتبات!B23</f>
        <v>أ/نهى عمرو محمد رضوان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f t="shared" si="0"/>
        <v>0</v>
      </c>
    </row>
    <row r="24" spans="1:12" x14ac:dyDescent="0.3">
      <c r="A24">
        <f>مرتبات!A24</f>
        <v>6</v>
      </c>
      <c r="B24" t="str">
        <f>مرتبات!B24</f>
        <v>أ/عبد الله عمرو حافظ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f t="shared" si="0"/>
        <v>0</v>
      </c>
    </row>
    <row r="25" spans="1:12" x14ac:dyDescent="0.3">
      <c r="A25">
        <f>مرتبات!A25</f>
        <v>7</v>
      </c>
      <c r="B25" t="str">
        <f>مرتبات!B25</f>
        <v>أ/محمد حمدى كامل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f t="shared" si="0"/>
        <v>0</v>
      </c>
    </row>
    <row r="26" spans="1:12" x14ac:dyDescent="0.3">
      <c r="A26">
        <f>مرتبات!A26</f>
        <v>0</v>
      </c>
      <c r="B26" t="str">
        <f>مرتبات!B26</f>
        <v>Spare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f t="shared" si="0"/>
        <v>0</v>
      </c>
    </row>
    <row r="27" spans="1:12" x14ac:dyDescent="0.3">
      <c r="A27">
        <f>مرتبات!A27</f>
        <v>0</v>
      </c>
      <c r="B27" t="str">
        <f>مرتبات!B27</f>
        <v>Spare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f t="shared" si="0"/>
        <v>0</v>
      </c>
    </row>
    <row r="28" spans="1:12" x14ac:dyDescent="0.3">
      <c r="A28">
        <f>مرتبات!A28</f>
        <v>0</v>
      </c>
      <c r="B28" t="str">
        <f>مرتبات!B28</f>
        <v>Spare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f t="shared" si="0"/>
        <v>0</v>
      </c>
    </row>
    <row r="29" spans="1:12" x14ac:dyDescent="0.3">
      <c r="A29">
        <f>مرتبات!A29</f>
        <v>0</v>
      </c>
      <c r="B29" t="str">
        <f>مرتبات!B29</f>
        <v>Spare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f t="shared" si="0"/>
        <v>0</v>
      </c>
    </row>
    <row r="30" spans="1:12" x14ac:dyDescent="0.3">
      <c r="A30">
        <f>مرتبات!A30</f>
        <v>0</v>
      </c>
      <c r="B30" t="str">
        <f>مرتبات!B30</f>
        <v>Spare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f t="shared" si="0"/>
        <v>0</v>
      </c>
    </row>
    <row r="31" spans="1:12" x14ac:dyDescent="0.3">
      <c r="A31">
        <f>مرتبات!A31</f>
        <v>0</v>
      </c>
      <c r="B31" t="str">
        <f>مرتبات!B31</f>
        <v>Spare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f t="shared" si="0"/>
        <v>0</v>
      </c>
    </row>
    <row r="32" spans="1:12" x14ac:dyDescent="0.3">
      <c r="A32">
        <f>مرتبات!A32</f>
        <v>0</v>
      </c>
      <c r="B32" t="str">
        <f>مرتبات!B32</f>
        <v>Spare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f t="shared" si="0"/>
        <v>0</v>
      </c>
    </row>
    <row r="33" spans="1:12" x14ac:dyDescent="0.3">
      <c r="A33">
        <f>مرتبات!A33</f>
        <v>8</v>
      </c>
      <c r="B33" t="str">
        <f>مرتبات!B33</f>
        <v>أ/أحمد سيف الدين أبو بكر سري الدين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f t="shared" si="0"/>
        <v>0</v>
      </c>
    </row>
    <row r="34" spans="1:12" x14ac:dyDescent="0.3">
      <c r="A34">
        <f>مرتبات!A34</f>
        <v>9</v>
      </c>
      <c r="B34" t="str">
        <f>مرتبات!B34</f>
        <v>أ/هاني أحمد الدالي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f t="shared" si="0"/>
        <v>0</v>
      </c>
    </row>
    <row r="35" spans="1:12" x14ac:dyDescent="0.3">
      <c r="A35">
        <f>مرتبات!A35</f>
        <v>10</v>
      </c>
      <c r="B35" t="str">
        <f>مرتبات!B35</f>
        <v>أ/عبدالرحمن أحمد عبدالعزيز حسن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f t="shared" si="0"/>
        <v>0</v>
      </c>
    </row>
    <row r="36" spans="1:12" x14ac:dyDescent="0.3">
      <c r="A36">
        <f>مرتبات!A36</f>
        <v>0</v>
      </c>
      <c r="B36" t="str">
        <f>مرتبات!B36</f>
        <v>Spare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f t="shared" si="0"/>
        <v>0</v>
      </c>
    </row>
    <row r="37" spans="1:12" x14ac:dyDescent="0.3">
      <c r="A37">
        <f>مرتبات!A37</f>
        <v>0</v>
      </c>
      <c r="B37" t="str">
        <f>مرتبات!B37</f>
        <v>Spare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f t="shared" si="0"/>
        <v>0</v>
      </c>
    </row>
    <row r="38" spans="1:12" x14ac:dyDescent="0.3">
      <c r="A38">
        <f>مرتبات!A38</f>
        <v>0</v>
      </c>
      <c r="B38" t="str">
        <f>مرتبات!B38</f>
        <v>Spare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f t="shared" si="0"/>
        <v>0</v>
      </c>
    </row>
    <row r="39" spans="1:12" x14ac:dyDescent="0.3">
      <c r="A39">
        <f>مرتبات!A39</f>
        <v>0</v>
      </c>
      <c r="B39" t="str">
        <f>مرتبات!B39</f>
        <v>Spare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f t="shared" si="0"/>
        <v>0</v>
      </c>
    </row>
    <row r="40" spans="1:12" x14ac:dyDescent="0.3">
      <c r="A40">
        <f>مرتبات!A40</f>
        <v>0</v>
      </c>
      <c r="B40" t="str">
        <f>مرتبات!B40</f>
        <v>Spare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f t="shared" si="0"/>
        <v>0</v>
      </c>
    </row>
    <row r="41" spans="1:12" x14ac:dyDescent="0.3">
      <c r="A41">
        <f>مرتبات!A41</f>
        <v>0</v>
      </c>
      <c r="B41" t="str">
        <f>مرتبات!B41</f>
        <v>Spare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f t="shared" si="0"/>
        <v>0</v>
      </c>
    </row>
    <row r="42" spans="1:12" x14ac:dyDescent="0.3">
      <c r="A42">
        <f>مرتبات!A42</f>
        <v>0</v>
      </c>
      <c r="B42" t="str">
        <f>مرتبات!B42</f>
        <v>Spare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f t="shared" si="0"/>
        <v>0</v>
      </c>
    </row>
    <row r="43" spans="1:12" x14ac:dyDescent="0.3">
      <c r="A43">
        <f>مرتبات!A43</f>
        <v>0</v>
      </c>
      <c r="B43" t="str">
        <f>مرتبات!B43</f>
        <v>Spare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f t="shared" si="0"/>
        <v>0</v>
      </c>
    </row>
    <row r="44" spans="1:12" x14ac:dyDescent="0.3">
      <c r="A44">
        <f>مرتبات!A44</f>
        <v>0</v>
      </c>
      <c r="B44" t="str">
        <f>مرتبات!B44</f>
        <v>Spare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f t="shared" si="0"/>
        <v>0</v>
      </c>
    </row>
    <row r="45" spans="1:12" x14ac:dyDescent="0.3">
      <c r="A45">
        <f>مرتبات!A45</f>
        <v>11</v>
      </c>
      <c r="B45" t="str">
        <f>مرتبات!B45</f>
        <v>أ/حبيبة محمود سمير محمود عيسى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f t="shared" si="0"/>
        <v>0</v>
      </c>
    </row>
    <row r="46" spans="1:12" x14ac:dyDescent="0.3">
      <c r="A46">
        <f>مرتبات!A46</f>
        <v>12</v>
      </c>
      <c r="B46" t="str">
        <f>مرتبات!B46</f>
        <v>أ/احمد ابو العباس محمد الاتربي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f t="shared" si="0"/>
        <v>0</v>
      </c>
    </row>
    <row r="47" spans="1:12" x14ac:dyDescent="0.3">
      <c r="A47">
        <f>مرتبات!A47</f>
        <v>13</v>
      </c>
      <c r="B47" t="str">
        <f>مرتبات!B47</f>
        <v>أ/ليلي امين محمد امين طموم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f t="shared" si="0"/>
        <v>0</v>
      </c>
    </row>
    <row r="48" spans="1:12" x14ac:dyDescent="0.3">
      <c r="A48">
        <f>مرتبات!A48</f>
        <v>14</v>
      </c>
      <c r="B48" t="str">
        <f>مرتبات!B48</f>
        <v>أ/كريم ايمن محمد عادل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f t="shared" si="0"/>
        <v>0</v>
      </c>
    </row>
    <row r="49" spans="1:12" x14ac:dyDescent="0.3">
      <c r="A49">
        <f>مرتبات!A49</f>
        <v>15</v>
      </c>
      <c r="B49" t="str">
        <f>مرتبات!B49</f>
        <v>عمرو محمد عبدالحليم أبو سليم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f t="shared" si="0"/>
        <v>0</v>
      </c>
    </row>
    <row r="50" spans="1:12" x14ac:dyDescent="0.3">
      <c r="A50">
        <f>مرتبات!A50</f>
        <v>0</v>
      </c>
      <c r="B50" t="str">
        <f>مرتبات!B50</f>
        <v>Spare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f t="shared" si="0"/>
        <v>0</v>
      </c>
    </row>
    <row r="51" spans="1:12" x14ac:dyDescent="0.3">
      <c r="A51">
        <f>مرتبات!A51</f>
        <v>0</v>
      </c>
      <c r="B51" t="str">
        <f>مرتبات!B51</f>
        <v>Spare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f t="shared" si="0"/>
        <v>0</v>
      </c>
    </row>
    <row r="52" spans="1:12" x14ac:dyDescent="0.3">
      <c r="A52">
        <f>مرتبات!A52</f>
        <v>0</v>
      </c>
      <c r="B52" t="str">
        <f>مرتبات!B52</f>
        <v>Spare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f t="shared" si="0"/>
        <v>0</v>
      </c>
    </row>
    <row r="53" spans="1:12" x14ac:dyDescent="0.3">
      <c r="A53">
        <f>مرتبات!A53</f>
        <v>0</v>
      </c>
      <c r="B53" t="str">
        <f>مرتبات!B53</f>
        <v>Spare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f t="shared" si="0"/>
        <v>0</v>
      </c>
    </row>
    <row r="54" spans="1:12" x14ac:dyDescent="0.3">
      <c r="A54">
        <f>مرتبات!A54</f>
        <v>0</v>
      </c>
      <c r="B54" t="str">
        <f>مرتبات!B54</f>
        <v>Spare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f t="shared" si="0"/>
        <v>0</v>
      </c>
    </row>
    <row r="55" spans="1:12" x14ac:dyDescent="0.3">
      <c r="A55">
        <f>مرتبات!A55</f>
        <v>0</v>
      </c>
      <c r="B55" t="str">
        <f>مرتبات!B55</f>
        <v>Spare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f t="shared" si="0"/>
        <v>0</v>
      </c>
    </row>
    <row r="56" spans="1:12" x14ac:dyDescent="0.3">
      <c r="A56">
        <f>مرتبات!A56</f>
        <v>15</v>
      </c>
      <c r="B56" t="s">
        <v>81</v>
      </c>
    </row>
    <row r="57" spans="1:12" x14ac:dyDescent="0.3">
      <c r="A57">
        <f>مرتبات!A57</f>
        <v>1</v>
      </c>
      <c r="B57" t="str">
        <f>مرتبات!B57</f>
        <v>أ/دعاء عبد الدايم إبراهيم نصار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f t="shared" si="0"/>
        <v>0</v>
      </c>
    </row>
    <row r="58" spans="1:12" x14ac:dyDescent="0.3">
      <c r="A58">
        <f>مرتبات!A58</f>
        <v>2</v>
      </c>
      <c r="B58" t="str">
        <f>مرتبات!B58</f>
        <v>أ/أحمد محمد رزق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f t="shared" si="0"/>
        <v>0</v>
      </c>
    </row>
    <row r="59" spans="1:12" x14ac:dyDescent="0.3">
      <c r="A59">
        <f>مرتبات!A59</f>
        <v>0</v>
      </c>
      <c r="B59" t="str">
        <f>مرتبات!B59</f>
        <v>Manager Spare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f t="shared" si="0"/>
        <v>0</v>
      </c>
    </row>
    <row r="60" spans="1:12" x14ac:dyDescent="0.3">
      <c r="A60">
        <f>مرتبات!A60</f>
        <v>0</v>
      </c>
      <c r="B60" t="str">
        <f>مرتبات!B60</f>
        <v>Manager Spare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f t="shared" si="0"/>
        <v>0</v>
      </c>
    </row>
    <row r="61" spans="1:12" x14ac:dyDescent="0.3">
      <c r="A61">
        <f>مرتبات!A61</f>
        <v>0</v>
      </c>
      <c r="B61" t="str">
        <f>مرتبات!B61</f>
        <v>Manager Spare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f t="shared" si="0"/>
        <v>0</v>
      </c>
    </row>
    <row r="62" spans="1:12" x14ac:dyDescent="0.3">
      <c r="A62">
        <f>مرتبات!A62</f>
        <v>3</v>
      </c>
      <c r="B62" t="str">
        <f>مرتبات!B62</f>
        <v>أ/خالد محمد حلمى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f t="shared" si="0"/>
        <v>0</v>
      </c>
    </row>
    <row r="63" spans="1:12" x14ac:dyDescent="0.3">
      <c r="A63">
        <f>مرتبات!A63</f>
        <v>4</v>
      </c>
      <c r="B63" t="str">
        <f>مرتبات!B63</f>
        <v>أ/ نيرمين عصمت محمد حجازي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f t="shared" si="0"/>
        <v>0</v>
      </c>
    </row>
    <row r="64" spans="1:12" x14ac:dyDescent="0.3">
      <c r="A64">
        <f>مرتبات!A64</f>
        <v>0</v>
      </c>
      <c r="B64" t="str">
        <f>مرتبات!B64</f>
        <v>Senior Spare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f t="shared" si="0"/>
        <v>0</v>
      </c>
    </row>
    <row r="65" spans="1:12" x14ac:dyDescent="0.3">
      <c r="A65">
        <f>مرتبات!A65</f>
        <v>0</v>
      </c>
      <c r="B65" t="str">
        <f>مرتبات!B65</f>
        <v>Senior Spare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f t="shared" si="0"/>
        <v>0</v>
      </c>
    </row>
    <row r="66" spans="1:12" x14ac:dyDescent="0.3">
      <c r="A66">
        <f>مرتبات!A66</f>
        <v>0</v>
      </c>
      <c r="B66" t="str">
        <f>مرتبات!B66</f>
        <v>Senior Spare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f t="shared" si="0"/>
        <v>0</v>
      </c>
    </row>
    <row r="67" spans="1:12" x14ac:dyDescent="0.3">
      <c r="A67">
        <f>مرتبات!A67</f>
        <v>0</v>
      </c>
      <c r="B67" t="str">
        <f>مرتبات!B67</f>
        <v>Senior Spare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f t="shared" si="0"/>
        <v>0</v>
      </c>
    </row>
    <row r="68" spans="1:12" x14ac:dyDescent="0.3">
      <c r="A68">
        <f>مرتبات!A68</f>
        <v>5</v>
      </c>
      <c r="B68" t="str">
        <f>مرتبات!B68</f>
        <v>أ/مروة شريف عبدالحميد سلامة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f t="shared" ref="L68:L117" si="1">SUM(C68:K68)</f>
        <v>0</v>
      </c>
    </row>
    <row r="69" spans="1:12" x14ac:dyDescent="0.3">
      <c r="A69">
        <f>مرتبات!A69</f>
        <v>6</v>
      </c>
      <c r="B69" t="str">
        <f>مرتبات!B69</f>
        <v>أ/حازم ابراهيم عبد الحميد محمد فتاتة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f t="shared" si="1"/>
        <v>0</v>
      </c>
    </row>
    <row r="70" spans="1:12" x14ac:dyDescent="0.3">
      <c r="A70">
        <v>0</v>
      </c>
      <c r="B70" t="str">
        <f>مرتبات!B70</f>
        <v xml:space="preserve">أ/أحمد سمير حسن السيد 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f t="shared" si="1"/>
        <v>0</v>
      </c>
    </row>
    <row r="71" spans="1:12" x14ac:dyDescent="0.3">
      <c r="A71">
        <v>7</v>
      </c>
      <c r="B71" t="str">
        <f>مرتبات!B71</f>
        <v>أ/إيمان صبحى شكرى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f t="shared" si="1"/>
        <v>0</v>
      </c>
    </row>
    <row r="72" spans="1:12" x14ac:dyDescent="0.3">
      <c r="A72">
        <v>8</v>
      </c>
      <c r="B72" t="str">
        <f>مرتبات!B72</f>
        <v>أ/شريف شكرى محمد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f t="shared" si="1"/>
        <v>0</v>
      </c>
    </row>
    <row r="73" spans="1:12" x14ac:dyDescent="0.3">
      <c r="A73">
        <v>9</v>
      </c>
      <c r="B73" t="str">
        <f>مرتبات!B73</f>
        <v>أ/محمد حسن محمد كامل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f t="shared" si="1"/>
        <v>0</v>
      </c>
    </row>
    <row r="74" spans="1:12" x14ac:dyDescent="0.3">
      <c r="A74">
        <v>10</v>
      </c>
      <c r="B74" t="str">
        <f>مرتبات!B74</f>
        <v>أ/سامي ابراهيم محمد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f t="shared" si="1"/>
        <v>0</v>
      </c>
    </row>
    <row r="75" spans="1:12" x14ac:dyDescent="0.3">
      <c r="A75">
        <v>11</v>
      </c>
      <c r="B75" t="str">
        <f>مرتبات!B75</f>
        <v>أ/محمود على محمود حسين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f t="shared" si="1"/>
        <v>0</v>
      </c>
    </row>
    <row r="76" spans="1:12" x14ac:dyDescent="0.3">
      <c r="A76">
        <v>12</v>
      </c>
      <c r="B76" t="str">
        <f>مرتبات!B76</f>
        <v>أ/عمرو عبد الكريم صقر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f t="shared" si="1"/>
        <v>0</v>
      </c>
    </row>
    <row r="77" spans="1:12" x14ac:dyDescent="0.3">
      <c r="A77">
        <v>13</v>
      </c>
      <c r="B77" t="str">
        <f>مرتبات!B77</f>
        <v>أ/مختار احمد المجدلي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f t="shared" si="1"/>
        <v>0</v>
      </c>
    </row>
    <row r="78" spans="1:12" x14ac:dyDescent="0.3">
      <c r="A78">
        <v>14</v>
      </c>
      <c r="B78" t="str">
        <f>مرتبات!B78</f>
        <v>أ/طارق محمد جمعه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f t="shared" si="1"/>
        <v>0</v>
      </c>
    </row>
    <row r="79" spans="1:12" x14ac:dyDescent="0.3">
      <c r="A79">
        <v>15</v>
      </c>
      <c r="B79" t="str">
        <f>مرتبات!B79</f>
        <v>أ/ أحمد محمد عبدالسلام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f t="shared" si="1"/>
        <v>0</v>
      </c>
    </row>
    <row r="80" spans="1:12" x14ac:dyDescent="0.3">
      <c r="A80">
        <f>مرتبات!A80</f>
        <v>0</v>
      </c>
      <c r="B80">
        <f>مرتبات!B80</f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f t="shared" si="1"/>
        <v>0</v>
      </c>
    </row>
    <row r="81" spans="1:12" x14ac:dyDescent="0.3">
      <c r="A81">
        <v>16</v>
      </c>
      <c r="B81" t="str">
        <f>مرتبات!B81</f>
        <v>أ/محمد عبدالجواد محمد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f t="shared" si="1"/>
        <v>0</v>
      </c>
    </row>
    <row r="82" spans="1:12" x14ac:dyDescent="0.3">
      <c r="A82">
        <v>17</v>
      </c>
      <c r="B82" t="str">
        <f>مرتبات!B82</f>
        <v>أ/ منة الله محب عبدالغفار السيد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f t="shared" si="1"/>
        <v>0</v>
      </c>
    </row>
    <row r="83" spans="1:12" x14ac:dyDescent="0.3">
      <c r="A83">
        <v>18</v>
      </c>
      <c r="B83" t="str">
        <f>مرتبات!B83</f>
        <v>أ/عاصم محمد سعيد عبده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f t="shared" si="1"/>
        <v>0</v>
      </c>
    </row>
    <row r="84" spans="1:12" x14ac:dyDescent="0.3">
      <c r="A84">
        <v>19</v>
      </c>
      <c r="B84" t="str">
        <f>مرتبات!B84</f>
        <v>أ/ نجوى إبراهيم محمود غنيم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f t="shared" si="1"/>
        <v>0</v>
      </c>
    </row>
    <row r="85" spans="1:12" x14ac:dyDescent="0.3">
      <c r="A85">
        <v>20</v>
      </c>
      <c r="B85" t="s">
        <v>49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f t="shared" si="1"/>
        <v>0</v>
      </c>
    </row>
    <row r="86" spans="1:12" x14ac:dyDescent="0.3">
      <c r="A86">
        <f>مرتبات!A86</f>
        <v>0</v>
      </c>
      <c r="B86" t="str">
        <f>مرتبات!B86</f>
        <v>Spare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f t="shared" si="1"/>
        <v>0</v>
      </c>
    </row>
    <row r="87" spans="1:12" x14ac:dyDescent="0.3">
      <c r="A87">
        <f>مرتبات!A87</f>
        <v>0</v>
      </c>
      <c r="B87" t="str">
        <f>مرتبات!B87</f>
        <v>Spare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f t="shared" si="1"/>
        <v>0</v>
      </c>
    </row>
    <row r="88" spans="1:12" x14ac:dyDescent="0.3">
      <c r="A88">
        <f>مرتبات!A88</f>
        <v>0</v>
      </c>
      <c r="B88" t="str">
        <f>مرتبات!B88</f>
        <v>Spare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f t="shared" si="1"/>
        <v>0</v>
      </c>
    </row>
    <row r="89" spans="1:12" x14ac:dyDescent="0.3">
      <c r="A89">
        <f>مرتبات!A89</f>
        <v>0</v>
      </c>
      <c r="B89" t="str">
        <f>مرتبات!B89</f>
        <v>Spare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f t="shared" si="1"/>
        <v>0</v>
      </c>
    </row>
    <row r="90" spans="1:12" x14ac:dyDescent="0.3">
      <c r="A90">
        <f>مرتبات!A90</f>
        <v>0</v>
      </c>
      <c r="B90" t="str">
        <f>مرتبات!B90</f>
        <v>Spare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f t="shared" si="1"/>
        <v>0</v>
      </c>
    </row>
    <row r="91" spans="1:12" x14ac:dyDescent="0.3">
      <c r="A91">
        <f>مرتبات!A91</f>
        <v>0</v>
      </c>
      <c r="B91" t="str">
        <f>مرتبات!B91</f>
        <v>Spare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f t="shared" si="1"/>
        <v>0</v>
      </c>
    </row>
    <row r="92" spans="1:12" x14ac:dyDescent="0.3">
      <c r="A92">
        <f>مرتبات!A92</f>
        <v>0</v>
      </c>
      <c r="B92" t="str">
        <f>مرتبات!B92</f>
        <v>Spare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f t="shared" si="1"/>
        <v>0</v>
      </c>
    </row>
    <row r="93" spans="1:12" x14ac:dyDescent="0.3">
      <c r="A93">
        <f>مرتبات!A93</f>
        <v>0</v>
      </c>
      <c r="B93" t="str">
        <f>مرتبات!B93</f>
        <v>Spare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f t="shared" si="1"/>
        <v>0</v>
      </c>
    </row>
    <row r="94" spans="1:12" x14ac:dyDescent="0.3">
      <c r="A94">
        <f>مرتبات!A94</f>
        <v>0</v>
      </c>
      <c r="B94" t="str">
        <f>مرتبات!B94</f>
        <v>Spare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f t="shared" si="1"/>
        <v>0</v>
      </c>
    </row>
    <row r="95" spans="1:12" x14ac:dyDescent="0.3">
      <c r="A95">
        <f>مرتبات!A95</f>
        <v>0</v>
      </c>
      <c r="B95" t="str">
        <f>مرتبات!B95</f>
        <v>Spare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f t="shared" si="1"/>
        <v>0</v>
      </c>
    </row>
    <row r="96" spans="1:12" x14ac:dyDescent="0.3">
      <c r="A96">
        <f>مرتبات!A96</f>
        <v>0</v>
      </c>
      <c r="B96" t="str">
        <f>مرتبات!B96</f>
        <v>Spare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f t="shared" si="1"/>
        <v>0</v>
      </c>
    </row>
    <row r="97" spans="1:12" x14ac:dyDescent="0.3">
      <c r="A97">
        <f>مرتبات!A97</f>
        <v>0</v>
      </c>
      <c r="B97" t="str">
        <f>مرتبات!B97</f>
        <v>Spare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f t="shared" si="1"/>
        <v>0</v>
      </c>
    </row>
    <row r="98" spans="1:12" x14ac:dyDescent="0.3">
      <c r="A98">
        <f>مرتبات!A98</f>
        <v>0</v>
      </c>
      <c r="B98" t="str">
        <f>مرتبات!B98</f>
        <v>Spare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f t="shared" si="1"/>
        <v>0</v>
      </c>
    </row>
    <row r="99" spans="1:12" x14ac:dyDescent="0.3">
      <c r="A99">
        <f>مرتبات!A99</f>
        <v>0</v>
      </c>
      <c r="B99" t="str">
        <f>مرتبات!B99</f>
        <v>Spare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f t="shared" si="1"/>
        <v>0</v>
      </c>
    </row>
    <row r="100" spans="1:12" x14ac:dyDescent="0.3">
      <c r="A100">
        <f>مرتبات!A100</f>
        <v>0</v>
      </c>
      <c r="B100" t="str">
        <f>مرتبات!B100</f>
        <v>Spare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f t="shared" si="1"/>
        <v>0</v>
      </c>
    </row>
    <row r="101" spans="1:12" x14ac:dyDescent="0.3">
      <c r="A101">
        <v>20</v>
      </c>
      <c r="B101" t="s">
        <v>82</v>
      </c>
    </row>
    <row r="102" spans="1:12" x14ac:dyDescent="0.3">
      <c r="A102">
        <f>مرتبات!A102</f>
        <v>1</v>
      </c>
      <c r="B102" t="str">
        <f>مرتبات!B102</f>
        <v>أ/هالة فوزي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f t="shared" si="1"/>
        <v>0</v>
      </c>
    </row>
    <row r="103" spans="1:12" x14ac:dyDescent="0.3">
      <c r="A103">
        <f>مرتبات!A103</f>
        <v>2</v>
      </c>
      <c r="B103" t="str">
        <f>مرتبات!B103</f>
        <v>د/أمجد سعيد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f t="shared" si="1"/>
        <v>0</v>
      </c>
    </row>
    <row r="104" spans="1:12" x14ac:dyDescent="0.3">
      <c r="A104">
        <f>مرتبات!A104</f>
        <v>3</v>
      </c>
      <c r="B104" t="str">
        <f>مرتبات!B104</f>
        <v>د/وليد رزق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f t="shared" si="1"/>
        <v>0</v>
      </c>
    </row>
    <row r="105" spans="1:12" x14ac:dyDescent="0.3">
      <c r="A105">
        <f>مرتبات!A105</f>
        <v>4</v>
      </c>
      <c r="B105" t="str">
        <f>مرتبات!B105</f>
        <v>د/أمينة العطيفي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f t="shared" si="1"/>
        <v>0</v>
      </c>
    </row>
    <row r="106" spans="1:12" x14ac:dyDescent="0.3">
      <c r="A106">
        <f>مرتبات!A106</f>
        <v>5</v>
      </c>
      <c r="B106" t="str">
        <f>مرتبات!B106</f>
        <v>أ/ محمد فاروق عبد الحليم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f t="shared" si="1"/>
        <v>0</v>
      </c>
    </row>
    <row r="107" spans="1:12" x14ac:dyDescent="0.3">
      <c r="A107">
        <f>مرتبات!A107</f>
        <v>6</v>
      </c>
      <c r="B107" t="str">
        <f>مرتبات!B107</f>
        <v>د/ أحمد بغدادي رشدي محمد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f t="shared" si="1"/>
        <v>0</v>
      </c>
    </row>
    <row r="108" spans="1:12" x14ac:dyDescent="0.3">
      <c r="A108">
        <v>7</v>
      </c>
      <c r="B108" t="str">
        <f>مرتبات!B108</f>
        <v>المستشار محمد ماهر عبدالواحد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f t="shared" si="1"/>
        <v>0</v>
      </c>
    </row>
    <row r="109" spans="1:12" x14ac:dyDescent="0.3">
      <c r="A109">
        <f>مرتبات!A109</f>
        <v>0</v>
      </c>
      <c r="B109" t="str">
        <f>مرتبات!B109</f>
        <v>Spare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f t="shared" si="1"/>
        <v>0</v>
      </c>
    </row>
    <row r="110" spans="1:12" x14ac:dyDescent="0.3">
      <c r="A110">
        <f>مرتبات!A110</f>
        <v>0</v>
      </c>
      <c r="B110" t="str">
        <f>مرتبات!B110</f>
        <v>Spare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f t="shared" si="1"/>
        <v>0</v>
      </c>
    </row>
    <row r="111" spans="1:12" x14ac:dyDescent="0.3">
      <c r="A111">
        <f>مرتبات!A111</f>
        <v>0</v>
      </c>
      <c r="B111" t="str">
        <f>مرتبات!B111</f>
        <v>Spare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f t="shared" si="1"/>
        <v>0</v>
      </c>
    </row>
    <row r="112" spans="1:12" x14ac:dyDescent="0.3">
      <c r="A112">
        <f>مرتبات!A112</f>
        <v>0</v>
      </c>
      <c r="B112" t="str">
        <f>مرتبات!B112</f>
        <v>Spare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f t="shared" si="1"/>
        <v>0</v>
      </c>
    </row>
    <row r="113" spans="1:12" x14ac:dyDescent="0.3">
      <c r="A113">
        <f>مرتبات!A113</f>
        <v>0</v>
      </c>
      <c r="B113" t="str">
        <f>مرتبات!B113</f>
        <v>Spare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f t="shared" si="1"/>
        <v>0</v>
      </c>
    </row>
    <row r="114" spans="1:12" x14ac:dyDescent="0.3">
      <c r="A114">
        <f>مرتبات!A114</f>
        <v>0</v>
      </c>
      <c r="B114" t="str">
        <f>مرتبات!B114</f>
        <v>Spare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f t="shared" si="1"/>
        <v>0</v>
      </c>
    </row>
    <row r="115" spans="1:12" x14ac:dyDescent="0.3">
      <c r="A115">
        <f>مرتبات!A115</f>
        <v>0</v>
      </c>
      <c r="B115" t="str">
        <f>مرتبات!B115</f>
        <v>Spare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f t="shared" si="1"/>
        <v>0</v>
      </c>
    </row>
    <row r="116" spans="1:12" x14ac:dyDescent="0.3">
      <c r="A116">
        <f>مرتبات!A116</f>
        <v>0</v>
      </c>
      <c r="B116" t="str">
        <f>مرتبات!B116</f>
        <v>Spare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f t="shared" si="1"/>
        <v>0</v>
      </c>
    </row>
    <row r="117" spans="1:12" x14ac:dyDescent="0.3">
      <c r="A117">
        <f>مرتبات!A117</f>
        <v>0</v>
      </c>
      <c r="B117" t="str">
        <f>مرتبات!B117</f>
        <v>Spare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f t="shared" si="1"/>
        <v>0</v>
      </c>
    </row>
    <row r="118" spans="1:12" x14ac:dyDescent="0.3">
      <c r="A118">
        <v>7</v>
      </c>
      <c r="B118" t="s">
        <v>97</v>
      </c>
      <c r="C118">
        <f>SUM(C4:C17)+SUM(C19:C55)+SUM(C57:C100)+SUM(C102:C117)</f>
        <v>0</v>
      </c>
      <c r="D118">
        <f t="shared" ref="D118:K118" si="2">SUM(D4:D17)+SUM(D19:D55)+SUM(D57:D100)+SUM(D102:D117)</f>
        <v>0</v>
      </c>
      <c r="E118">
        <f t="shared" si="2"/>
        <v>0</v>
      </c>
      <c r="F118">
        <f t="shared" si="2"/>
        <v>0</v>
      </c>
      <c r="G118">
        <f t="shared" si="2"/>
        <v>0</v>
      </c>
      <c r="H118">
        <f>SUM(H4:H17)+SUM(H19:H55)+SUM(H57:H100)+SUM(H102:H117)</f>
        <v>0</v>
      </c>
      <c r="I118">
        <f t="shared" si="2"/>
        <v>0</v>
      </c>
      <c r="J118">
        <f t="shared" si="2"/>
        <v>0</v>
      </c>
      <c r="K118">
        <f t="shared" si="2"/>
        <v>0</v>
      </c>
      <c r="L118">
        <f>SUM(C118:K118)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583E-9838-4135-9A24-645F7BBCEA54}">
  <dimension ref="A1:H20"/>
  <sheetViews>
    <sheetView rightToLeft="1" zoomScaleNormal="100" workbookViewId="0">
      <selection activeCell="L9" sqref="L9"/>
    </sheetView>
  </sheetViews>
  <sheetFormatPr defaultRowHeight="14.4" x14ac:dyDescent="0.3"/>
  <cols>
    <col min="1" max="1" width="2.88671875" customWidth="1"/>
    <col min="2" max="2" width="3.21875" customWidth="1"/>
    <col min="3" max="3" width="24.109375" customWidth="1"/>
    <col min="4" max="4" width="19.77734375" customWidth="1"/>
    <col min="5" max="5" width="26" customWidth="1"/>
    <col min="6" max="6" width="25.88671875" customWidth="1"/>
    <col min="7" max="7" width="3.21875" customWidth="1"/>
  </cols>
  <sheetData>
    <row r="1" spans="1:8" ht="15" thickBot="1" x14ac:dyDescent="0.35">
      <c r="A1" s="20"/>
      <c r="B1" s="20"/>
      <c r="C1" s="20"/>
      <c r="D1" s="20"/>
      <c r="E1" s="20"/>
      <c r="F1" s="20"/>
      <c r="G1" s="20"/>
      <c r="H1" s="8"/>
    </row>
    <row r="2" spans="1:8" x14ac:dyDescent="0.3">
      <c r="A2" s="20"/>
      <c r="B2" s="21"/>
      <c r="C2" s="22"/>
      <c r="D2" s="22"/>
      <c r="E2" s="22"/>
      <c r="F2" s="23"/>
      <c r="G2" s="24"/>
      <c r="H2" s="8"/>
    </row>
    <row r="3" spans="1:8" ht="33" customHeight="1" thickBot="1" x14ac:dyDescent="0.35">
      <c r="A3" s="20"/>
      <c r="B3" s="25"/>
      <c r="C3" s="52"/>
      <c r="D3" s="53"/>
      <c r="E3" s="53"/>
      <c r="F3" s="54"/>
      <c r="G3" s="26"/>
      <c r="H3" s="8" t="s">
        <v>98</v>
      </c>
    </row>
    <row r="4" spans="1:8" ht="18.600000000000001" thickTop="1" thickBot="1" x14ac:dyDescent="0.35">
      <c r="A4" s="20"/>
      <c r="B4" s="25"/>
      <c r="C4" s="27" t="s">
        <v>99</v>
      </c>
      <c r="D4" s="9" t="str">
        <f>INDEX(مرتبات!B1:B1066,H4,1)</f>
        <v>أ/محمد عبدالجواد محمد</v>
      </c>
      <c r="E4" s="27" t="s">
        <v>1</v>
      </c>
      <c r="F4" s="10">
        <f>مرتبات!D2</f>
        <v>45992</v>
      </c>
      <c r="G4" s="26"/>
      <c r="H4" s="8">
        <v>81</v>
      </c>
    </row>
    <row r="5" spans="1:8" ht="15.6" thickTop="1" thickBot="1" x14ac:dyDescent="0.35">
      <c r="A5" s="20"/>
      <c r="B5" s="25"/>
      <c r="C5" s="11" t="s">
        <v>100</v>
      </c>
      <c r="D5" s="55">
        <f>SUM((INDEX(مرتبات!D1:D1066,H4,1)),VALUE((INDEX(مرتبات!G1:G1066,H4,1))))</f>
        <v>0</v>
      </c>
      <c r="E5" s="56"/>
      <c r="F5" s="57"/>
      <c r="G5" s="26"/>
      <c r="H5" s="8"/>
    </row>
    <row r="6" spans="1:8" ht="15" thickTop="1" x14ac:dyDescent="0.3">
      <c r="A6" s="20"/>
      <c r="B6" s="25"/>
      <c r="C6" s="58" t="s">
        <v>101</v>
      </c>
      <c r="D6" s="59"/>
      <c r="E6" s="58" t="s">
        <v>102</v>
      </c>
      <c r="F6" s="59"/>
      <c r="G6" s="26"/>
      <c r="H6" s="8"/>
    </row>
    <row r="7" spans="1:8" x14ac:dyDescent="0.3">
      <c r="A7" s="20"/>
      <c r="B7" s="25"/>
      <c r="C7" s="11" t="s">
        <v>103</v>
      </c>
      <c r="D7" s="28">
        <f>INDEX(اضافات!C1:C1069,H4,1)</f>
        <v>0</v>
      </c>
      <c r="E7" s="11" t="s">
        <v>104</v>
      </c>
      <c r="F7" s="29">
        <f>INDEX(خصومات!C1:C1069,H4,1)</f>
        <v>0</v>
      </c>
      <c r="G7" s="26"/>
      <c r="H7" s="8"/>
    </row>
    <row r="8" spans="1:8" x14ac:dyDescent="0.3">
      <c r="A8" s="20"/>
      <c r="B8" s="25"/>
      <c r="C8" s="13" t="s">
        <v>105</v>
      </c>
      <c r="D8" s="28">
        <f>INDEX(اضافات!D1:D1069,H4,1)</f>
        <v>0</v>
      </c>
      <c r="E8" s="13" t="s">
        <v>106</v>
      </c>
      <c r="F8" s="29">
        <f>INDEX(خصومات!E1:E1070,H4,1)</f>
        <v>0</v>
      </c>
      <c r="G8" s="26"/>
      <c r="H8" s="8"/>
    </row>
    <row r="9" spans="1:8" x14ac:dyDescent="0.3">
      <c r="A9" s="20"/>
      <c r="B9" s="25"/>
      <c r="C9" s="14" t="s">
        <v>107</v>
      </c>
      <c r="D9" s="28">
        <f>INDEX(اضافات!E1:E1069,H4,1)</f>
        <v>0</v>
      </c>
      <c r="E9" s="14" t="s">
        <v>108</v>
      </c>
      <c r="F9" s="29">
        <f>INDEX(خصومات!F1:F1071,H4,1)</f>
        <v>0</v>
      </c>
      <c r="G9" s="26"/>
      <c r="H9" s="8"/>
    </row>
    <row r="10" spans="1:8" x14ac:dyDescent="0.3">
      <c r="A10" s="20"/>
      <c r="B10" s="25"/>
      <c r="C10" s="14" t="s">
        <v>109</v>
      </c>
      <c r="D10" s="28">
        <f>INDEX(اضافات!L1:L1069,H4,1)</f>
        <v>0</v>
      </c>
      <c r="E10" s="14" t="s">
        <v>110</v>
      </c>
      <c r="F10" s="29">
        <f>INDEX(خصومات!I1:I1072,H4,1)</f>
        <v>0</v>
      </c>
      <c r="G10" s="26"/>
      <c r="H10" s="8"/>
    </row>
    <row r="11" spans="1:8" x14ac:dyDescent="0.3">
      <c r="A11" s="20"/>
      <c r="B11" s="25"/>
      <c r="C11" s="14" t="s">
        <v>111</v>
      </c>
      <c r="D11" s="28">
        <f>INDEX(اضافات!J1:J1069,H4,1)</f>
        <v>0</v>
      </c>
      <c r="E11" s="14" t="s">
        <v>112</v>
      </c>
      <c r="F11" s="29">
        <f>INDEX(خصومات!H1:H1073,H4,1)</f>
        <v>0</v>
      </c>
      <c r="G11" s="26"/>
      <c r="H11" s="8"/>
    </row>
    <row r="12" spans="1:8" x14ac:dyDescent="0.3">
      <c r="A12" s="20"/>
      <c r="B12" s="25"/>
      <c r="C12" s="14" t="s">
        <v>113</v>
      </c>
      <c r="D12" s="28">
        <f>INDEX(اضافات!I1:I1069,H4,1)</f>
        <v>0</v>
      </c>
      <c r="E12" s="14" t="s">
        <v>114</v>
      </c>
      <c r="F12" s="29">
        <f>INDEX(خصومات!D1:D1074,H4,1)</f>
        <v>0</v>
      </c>
      <c r="G12" s="26"/>
      <c r="H12" s="8"/>
    </row>
    <row r="13" spans="1:8" x14ac:dyDescent="0.3">
      <c r="A13" s="20"/>
      <c r="B13" s="25"/>
      <c r="C13" s="14" t="s">
        <v>115</v>
      </c>
      <c r="D13" s="28">
        <f>INDEX(اضافات!K1:K1069,H4,1)</f>
        <v>0</v>
      </c>
      <c r="E13" s="14" t="s">
        <v>116</v>
      </c>
      <c r="F13" s="29">
        <f>INDEX(خصومات!G1:G1075,H4,1)</f>
        <v>0</v>
      </c>
      <c r="G13" s="26"/>
      <c r="H13" s="8"/>
    </row>
    <row r="14" spans="1:8" x14ac:dyDescent="0.3">
      <c r="A14" s="20"/>
      <c r="B14" s="25"/>
      <c r="C14" s="14"/>
      <c r="D14" s="14"/>
      <c r="E14" s="14" t="s">
        <v>117</v>
      </c>
      <c r="F14" s="29">
        <f>INDEX(خصومات!J1:J1076,H4,1)</f>
        <v>0</v>
      </c>
      <c r="G14" s="26"/>
      <c r="H14" s="8"/>
    </row>
    <row r="15" spans="1:8" ht="15" thickBot="1" x14ac:dyDescent="0.35">
      <c r="A15" s="20"/>
      <c r="B15" s="25"/>
      <c r="C15" s="14"/>
      <c r="D15" s="14"/>
      <c r="E15" s="14" t="s">
        <v>118</v>
      </c>
      <c r="F15" s="29">
        <f>INDEX(خصومات!K1:K1077,H4,1)</f>
        <v>0</v>
      </c>
      <c r="G15" s="26"/>
      <c r="H15" s="8"/>
    </row>
    <row r="16" spans="1:8" ht="15.6" thickTop="1" thickBot="1" x14ac:dyDescent="0.35">
      <c r="A16" s="20"/>
      <c r="B16" s="25"/>
      <c r="C16" s="15" t="s">
        <v>119</v>
      </c>
      <c r="D16" s="55">
        <f>D5+D7+D8+D9+D10+D11+D12+D13</f>
        <v>0</v>
      </c>
      <c r="E16" s="56"/>
      <c r="F16" s="57"/>
      <c r="G16" s="26"/>
      <c r="H16" s="8"/>
    </row>
    <row r="17" spans="1:8" ht="15.6" thickTop="1" thickBot="1" x14ac:dyDescent="0.35">
      <c r="A17" s="20"/>
      <c r="B17" s="25"/>
      <c r="C17" s="16" t="s">
        <v>120</v>
      </c>
      <c r="D17" s="55">
        <f>SUM(D7:D15)</f>
        <v>0</v>
      </c>
      <c r="E17" s="56"/>
      <c r="F17" s="57"/>
      <c r="G17" s="26"/>
      <c r="H17" s="8"/>
    </row>
    <row r="18" spans="1:8" ht="15.6" thickTop="1" thickBot="1" x14ac:dyDescent="0.35">
      <c r="A18" s="20"/>
      <c r="B18" s="25"/>
      <c r="C18" s="15" t="s">
        <v>121</v>
      </c>
      <c r="D18" s="46">
        <f>(SUM(F7:F15))</f>
        <v>0</v>
      </c>
      <c r="E18" s="47"/>
      <c r="F18" s="48"/>
      <c r="G18" s="26"/>
      <c r="H18" s="8"/>
    </row>
    <row r="19" spans="1:8" ht="15.6" thickTop="1" thickBot="1" x14ac:dyDescent="0.35">
      <c r="A19" s="20"/>
      <c r="B19" s="25"/>
      <c r="C19" s="15" t="s">
        <v>122</v>
      </c>
      <c r="D19" s="49">
        <f>D16-D17-D18</f>
        <v>0</v>
      </c>
      <c r="E19" s="50"/>
      <c r="F19" s="51"/>
      <c r="G19" s="26"/>
      <c r="H19" s="8"/>
    </row>
    <row r="20" spans="1:8" ht="15.6" thickTop="1" thickBot="1" x14ac:dyDescent="0.35">
      <c r="A20" s="20"/>
      <c r="B20" s="30"/>
      <c r="C20" s="31"/>
      <c r="D20" s="31"/>
      <c r="E20" s="31"/>
      <c r="F20" s="31"/>
      <c r="G20" s="32"/>
      <c r="H20" s="8"/>
    </row>
  </sheetData>
  <mergeCells count="8">
    <mergeCell ref="D18:F18"/>
    <mergeCell ref="D19:F19"/>
    <mergeCell ref="C3:F3"/>
    <mergeCell ref="D5:F5"/>
    <mergeCell ref="C6:D6"/>
    <mergeCell ref="E6:F6"/>
    <mergeCell ref="D16:F16"/>
    <mergeCell ref="D17:F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7A77E-71B7-4381-AEAC-DE9853371E1D}">
  <dimension ref="B1:H20"/>
  <sheetViews>
    <sheetView workbookViewId="0">
      <selection activeCell="C3" sqref="C3:F3"/>
    </sheetView>
  </sheetViews>
  <sheetFormatPr defaultRowHeight="14.4" x14ac:dyDescent="0.3"/>
  <cols>
    <col min="1" max="1" width="2.88671875" customWidth="1"/>
    <col min="2" max="2" width="3.21875" customWidth="1"/>
    <col min="3" max="3" width="24.109375" customWidth="1"/>
    <col min="4" max="4" width="19.77734375" customWidth="1"/>
    <col min="5" max="5" width="26" customWidth="1"/>
    <col min="6" max="6" width="25.88671875" customWidth="1"/>
    <col min="7" max="7" width="3.21875" customWidth="1"/>
  </cols>
  <sheetData>
    <row r="1" spans="2:8" ht="13.8" customHeight="1" thickBot="1" x14ac:dyDescent="0.35">
      <c r="H1" s="2"/>
    </row>
    <row r="2" spans="2:8" ht="13.2" customHeight="1" x14ac:dyDescent="0.3">
      <c r="B2" s="3"/>
      <c r="C2" s="4"/>
      <c r="D2" s="4"/>
      <c r="E2" s="4"/>
      <c r="F2" s="4"/>
      <c r="G2" s="5"/>
      <c r="H2" s="2"/>
    </row>
    <row r="3" spans="2:8" ht="33" customHeight="1" thickBot="1" x14ac:dyDescent="0.35">
      <c r="B3" s="6"/>
      <c r="C3" s="52"/>
      <c r="D3" s="53"/>
      <c r="E3" s="53"/>
      <c r="F3" s="54"/>
      <c r="G3" s="7"/>
      <c r="H3" s="8" t="s">
        <v>98</v>
      </c>
    </row>
    <row r="4" spans="2:8" ht="16.8" thickTop="1" thickBot="1" x14ac:dyDescent="0.35">
      <c r="B4" s="6"/>
      <c r="C4" s="33" t="s">
        <v>123</v>
      </c>
      <c r="D4" s="34" t="str">
        <f>INDEX(مرتبات!B1:B1066,H4,1)</f>
        <v>أ/ناجى رمضان أمين محمد</v>
      </c>
      <c r="E4" s="33" t="s">
        <v>124</v>
      </c>
      <c r="F4" s="34">
        <f>مرتبات!D2</f>
        <v>45992</v>
      </c>
      <c r="G4" s="7"/>
      <c r="H4" s="2">
        <v>19</v>
      </c>
    </row>
    <row r="5" spans="2:8" ht="15.6" thickTop="1" thickBot="1" x14ac:dyDescent="0.35">
      <c r="B5" s="6"/>
      <c r="C5" s="35" t="s">
        <v>125</v>
      </c>
      <c r="D5" s="60">
        <f>SUM((INDEX(مرتبات!D1:D1066,H4,1)),VALUE((INDEX(مرتبات!G1:G1066,H4,1))))</f>
        <v>0</v>
      </c>
      <c r="E5" s="61"/>
      <c r="F5" s="62"/>
      <c r="G5" s="7"/>
      <c r="H5" s="2"/>
    </row>
    <row r="6" spans="2:8" ht="15" thickTop="1" x14ac:dyDescent="0.3">
      <c r="B6" s="6"/>
      <c r="C6" s="63" t="s">
        <v>126</v>
      </c>
      <c r="D6" s="64"/>
      <c r="E6" s="58" t="s">
        <v>127</v>
      </c>
      <c r="F6" s="59"/>
      <c r="G6" s="7"/>
      <c r="H6" s="2"/>
    </row>
    <row r="7" spans="2:8" x14ac:dyDescent="0.3">
      <c r="B7" s="6"/>
      <c r="C7" s="36" t="s">
        <v>128</v>
      </c>
      <c r="D7" s="12">
        <f>INDEX(اضافات!C1:C1069,H4,1)</f>
        <v>0</v>
      </c>
      <c r="E7" s="36" t="s">
        <v>129</v>
      </c>
      <c r="F7" s="37">
        <f>INDEX(خصومات!C1:C1069,H4,1)</f>
        <v>0</v>
      </c>
      <c r="G7" s="7"/>
      <c r="H7" s="2"/>
    </row>
    <row r="8" spans="2:8" x14ac:dyDescent="0.3">
      <c r="B8" s="6"/>
      <c r="C8" s="38" t="s">
        <v>130</v>
      </c>
      <c r="D8" s="12">
        <f>INDEX(اضافات!D1:D1069,H4,1)</f>
        <v>0</v>
      </c>
      <c r="E8" s="38" t="s">
        <v>131</v>
      </c>
      <c r="F8" s="37">
        <f>INDEX(خصومات!E1:E1070,H4,1)</f>
        <v>0</v>
      </c>
      <c r="G8" s="7"/>
      <c r="H8" s="2"/>
    </row>
    <row r="9" spans="2:8" x14ac:dyDescent="0.3">
      <c r="B9" s="6"/>
      <c r="C9" s="39" t="s">
        <v>132</v>
      </c>
      <c r="D9" s="12">
        <f>INDEX(اضافات!E1:E1069,H4,1)</f>
        <v>0</v>
      </c>
      <c r="E9" s="39" t="s">
        <v>133</v>
      </c>
      <c r="F9" s="37">
        <f>INDEX(خصومات!F1:F1071,H4,1)</f>
        <v>0</v>
      </c>
      <c r="G9" s="7"/>
      <c r="H9" s="2"/>
    </row>
    <row r="10" spans="2:8" x14ac:dyDescent="0.3">
      <c r="B10" s="6"/>
      <c r="C10" s="39" t="s">
        <v>134</v>
      </c>
      <c r="D10" s="12">
        <f>INDEX(اضافات!L1:L1069,H4,1)</f>
        <v>0</v>
      </c>
      <c r="E10" s="39" t="s">
        <v>135</v>
      </c>
      <c r="F10" s="37">
        <f>INDEX(خصومات!I1:I1072,H4,1)</f>
        <v>0</v>
      </c>
      <c r="G10" s="7"/>
      <c r="H10" s="2"/>
    </row>
    <row r="11" spans="2:8" x14ac:dyDescent="0.3">
      <c r="B11" s="6"/>
      <c r="C11" s="39" t="s">
        <v>136</v>
      </c>
      <c r="D11" s="12">
        <f>INDEX(اضافات!J1:J1069,H4,1)</f>
        <v>0</v>
      </c>
      <c r="E11" s="39" t="s">
        <v>137</v>
      </c>
      <c r="F11" s="37">
        <f>INDEX(خصومات!H1:H1073,H4,1)</f>
        <v>0</v>
      </c>
      <c r="G11" s="7"/>
      <c r="H11" s="2"/>
    </row>
    <row r="12" spans="2:8" x14ac:dyDescent="0.3">
      <c r="B12" s="6"/>
      <c r="C12" s="39" t="s">
        <v>138</v>
      </c>
      <c r="D12" s="12">
        <f>INDEX(اضافات!I1:I1069,H4,1)</f>
        <v>0</v>
      </c>
      <c r="E12" s="39" t="s">
        <v>139</v>
      </c>
      <c r="F12" s="37">
        <f>INDEX(خصومات!D1:D1074,H4,1)</f>
        <v>0</v>
      </c>
      <c r="G12" s="7"/>
      <c r="H12" s="2"/>
    </row>
    <row r="13" spans="2:8" x14ac:dyDescent="0.3">
      <c r="B13" s="6"/>
      <c r="C13" s="39" t="s">
        <v>140</v>
      </c>
      <c r="D13" s="12">
        <f>INDEX(اضافات!K1:K1069,H4,1)</f>
        <v>0</v>
      </c>
      <c r="E13" s="39" t="s">
        <v>141</v>
      </c>
      <c r="F13" s="37">
        <f>INDEX(خصومات!G1:G1075,H4,1)</f>
        <v>0</v>
      </c>
      <c r="G13" s="7"/>
      <c r="H13" s="2"/>
    </row>
    <row r="14" spans="2:8" x14ac:dyDescent="0.3">
      <c r="B14" s="6"/>
      <c r="C14" s="14"/>
      <c r="D14" s="14"/>
      <c r="E14" s="39" t="s">
        <v>142</v>
      </c>
      <c r="F14" s="37">
        <f>INDEX(خصومات!J1:J1076,H4,1)</f>
        <v>0</v>
      </c>
      <c r="G14" s="7"/>
      <c r="H14" s="2"/>
    </row>
    <row r="15" spans="2:8" ht="15" thickBot="1" x14ac:dyDescent="0.35">
      <c r="B15" s="6"/>
      <c r="C15" s="14"/>
      <c r="D15" s="14"/>
      <c r="E15" s="39" t="s">
        <v>143</v>
      </c>
      <c r="F15" s="37">
        <f>INDEX(خصومات!K1:K1077,H4,1)</f>
        <v>0</v>
      </c>
      <c r="G15" s="7"/>
      <c r="H15" s="2"/>
    </row>
    <row r="16" spans="2:8" ht="15.6" thickTop="1" thickBot="1" x14ac:dyDescent="0.35">
      <c r="B16" s="6"/>
      <c r="C16" s="40" t="s">
        <v>144</v>
      </c>
      <c r="D16" s="60">
        <f>D5+D7+D8+D9+D10+D11+D12+D13</f>
        <v>0</v>
      </c>
      <c r="E16" s="61"/>
      <c r="F16" s="62"/>
      <c r="G16" s="7"/>
      <c r="H16" s="2"/>
    </row>
    <row r="17" spans="2:8" ht="15.6" thickTop="1" thickBot="1" x14ac:dyDescent="0.35">
      <c r="B17" s="6"/>
      <c r="C17" s="41" t="s">
        <v>145</v>
      </c>
      <c r="D17" s="46">
        <f>SUM(D7:D15)</f>
        <v>0</v>
      </c>
      <c r="E17" s="47"/>
      <c r="F17" s="48"/>
      <c r="G17" s="7"/>
      <c r="H17" s="2"/>
    </row>
    <row r="18" spans="2:8" ht="15.6" thickTop="1" thickBot="1" x14ac:dyDescent="0.35">
      <c r="B18" s="6"/>
      <c r="C18" s="42" t="s">
        <v>127</v>
      </c>
      <c r="D18" s="46">
        <f>(SUM(F7:F15))</f>
        <v>0</v>
      </c>
      <c r="E18" s="47"/>
      <c r="F18" s="48"/>
      <c r="G18" s="7"/>
      <c r="H18" s="2"/>
    </row>
    <row r="19" spans="2:8" ht="15.6" thickTop="1" thickBot="1" x14ac:dyDescent="0.35">
      <c r="B19" s="6"/>
      <c r="C19" s="42" t="s">
        <v>146</v>
      </c>
      <c r="D19" s="49">
        <f>D16-D17-D18</f>
        <v>0</v>
      </c>
      <c r="E19" s="50"/>
      <c r="F19" s="51"/>
      <c r="G19" s="7"/>
      <c r="H19" s="2"/>
    </row>
    <row r="20" spans="2:8" ht="15.6" thickTop="1" thickBot="1" x14ac:dyDescent="0.35">
      <c r="B20" s="17"/>
      <c r="C20" s="18"/>
      <c r="D20" s="18"/>
      <c r="E20" s="18"/>
      <c r="F20" s="18"/>
      <c r="G20" s="19"/>
      <c r="H20" s="2"/>
    </row>
  </sheetData>
  <mergeCells count="8">
    <mergeCell ref="D18:F18"/>
    <mergeCell ref="D19:F19"/>
    <mergeCell ref="C3:F3"/>
    <mergeCell ref="D5:F5"/>
    <mergeCell ref="C6:D6"/>
    <mergeCell ref="E6:F6"/>
    <mergeCell ref="D16:F16"/>
    <mergeCell ref="D17:F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مرتبات</vt:lpstr>
      <vt:lpstr>اضافات</vt:lpstr>
      <vt:lpstr>خصومات</vt:lpstr>
      <vt:lpstr>Pay Clip (AR)</vt:lpstr>
      <vt:lpstr>Pay Clip (EN)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Helmy</dc:creator>
  <cp:lastModifiedBy>Khaled Helmy</cp:lastModifiedBy>
  <dcterms:created xsi:type="dcterms:W3CDTF">2015-06-05T18:17:20Z</dcterms:created>
  <dcterms:modified xsi:type="dcterms:W3CDTF">2025-12-31T12:29:57Z</dcterms:modified>
</cp:coreProperties>
</file>