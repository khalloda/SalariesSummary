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2024\Salaries Sheet 2024\"/>
    </mc:Choice>
  </mc:AlternateContent>
  <xr:revisionPtr revIDLastSave="0" documentId="13_ncr:8001_{8008E4EF-BCD6-4482-89B6-27DA8B3050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مرتبات!$A$1:$M$120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8" i="12" l="1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P45" i="16" l="1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P118" i="16" l="1"/>
  <c r="A4" i="12"/>
  <c r="H118" i="12" l="1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L48" i="12"/>
  <c r="I48" i="7" s="1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I34" i="7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 s="1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L118" i="7" l="1"/>
  <c r="L101" i="7"/>
  <c r="L18" i="7"/>
  <c r="J119" i="7"/>
  <c r="L56" i="7"/>
  <c r="L120" i="7" l="1"/>
  <c r="L119" i="7"/>
</calcChain>
</file>

<file path=xl/sharedStrings.xml><?xml version="1.0" encoding="utf-8"?>
<sst xmlns="http://schemas.openxmlformats.org/spreadsheetml/2006/main" count="240" uniqueCount="160">
  <si>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</si>
  <si>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</si>
  <si>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</si>
  <si>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</si>
  <si>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</si>
  <si>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</si>
  <si>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</si>
  <si>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</si>
  <si>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</si>
  <si>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</si>
  <si>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</si>
  <si>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</si>
  <si>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</si>
  <si>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</si>
  <si>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</si>
  <si>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</si>
  <si>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</si>
  <si>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</si>
  <si>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</si>
  <si>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</si>
  <si>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</si>
  <si>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</si>
  <si>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</si>
  <si>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</si>
  <si>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</si>
  <si>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</si>
  <si>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</si>
  <si>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</si>
  <si>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</si>
  <si>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</si>
  <si>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</si>
  <si>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</si>
  <si>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</si>
  <si>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</si>
  <si>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</si>
  <si>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</si>
  <si>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</si>
  <si>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</si>
  <si>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</si>
  <si>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</si>
  <si>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</si>
  <si>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</si>
  <si>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</si>
  <si>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</si>
  <si>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</si>
  <si>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</si>
  <si>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</si>
  <si>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</si>
  <si>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</si>
  <si>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</si>
  <si>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</si>
  <si>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</si>
  <si>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</si>
  <si>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</si>
  <si>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</si>
  <si>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</si>
  <si>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</si>
  <si>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</si>
  <si>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</si>
  <si>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</si>
  <si>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</si>
  <si>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</si>
  <si>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</si>
  <si>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ا / اميره شــريف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</si>
  <si>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</si>
  <si>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</si>
  <si>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</si>
  <si>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</si>
  <si>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</si>
  <si>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</si>
  <si>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</si>
  <si>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أ/ إيهاب حمدى إبراهيم امام</t>
  </si>
  <si>
    <t>اتعاب/ راتب</t>
  </si>
  <si>
    <t>أ/خالد محمد حلمى</t>
  </si>
  <si>
    <t>أ/دعاء عبد الدايم إبراهيم نصار</t>
  </si>
  <si>
    <t xml:space="preserve"> أ/عمرو عبد الكريم صقر</t>
  </si>
  <si>
    <t>أ/ محمد فاروق عبد الحليم</t>
  </si>
  <si>
    <t>أ/سامي ابراهيم محمد</t>
  </si>
  <si>
    <t xml:space="preserve"> أ/مختار احمد المجدلي</t>
  </si>
  <si>
    <t xml:space="preserve"> أ/طارق محمد جمعه</t>
  </si>
  <si>
    <t>أ/شريف شكرى محمد</t>
  </si>
  <si>
    <t>أ/ أحمد محمد رزق</t>
  </si>
  <si>
    <t>أ/ محمود على محمود حسين</t>
  </si>
  <si>
    <t>أ/ إيمان صبحى شكرى</t>
  </si>
  <si>
    <t>د/ هاني سري الدين</t>
  </si>
  <si>
    <t>أ/ نيرمين عصمت محمد حجازي</t>
  </si>
  <si>
    <t>أ/ أحمد محمد عبدالسلام</t>
  </si>
  <si>
    <t xml:space="preserve"> أ/محمد عبدالجواد محمد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</si>
  <si>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</si>
  <si>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</si>
  <si>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</si>
  <si>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</si>
  <si>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</si>
  <si>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</si>
  <si>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</si>
  <si>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</si>
  <si>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</si>
  <si>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</si>
  <si>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</si>
  <si>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</si>
  <si>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</si>
  <si>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</si>
  <si>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</si>
  <si>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أ/ مروة شريف عبدالحميد سلامة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</si>
  <si>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</si>
  <si>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</si>
  <si>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</si>
  <si>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</si>
  <si>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</si>
  <si>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</si>
  <si>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</si>
  <si>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</si>
  <si>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</si>
  <si>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</si>
  <si>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</si>
  <si>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</si>
  <si>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</si>
  <si>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</si>
  <si>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</si>
  <si>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</si>
  <si>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</si>
  <si>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</si>
  <si>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</si>
  <si>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</si>
  <si>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</si>
  <si>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</si>
  <si>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</si>
  <si>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</si>
  <si>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</si>
  <si>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</si>
  <si>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</si>
  <si>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</si>
  <si>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</si>
  <si>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</si>
  <si>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</si>
  <si>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</si>
  <si>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 ياسمين صفوت صلاح الدين إبراهيم</t>
  </si>
  <si>
    <t>أ/فرح عبدالله محمود النحاس</t>
  </si>
  <si>
    <t>أ/ عبدالرحمن أحمد عبدالعزيز حسن</t>
  </si>
  <si>
    <t>أ/حبيبة محمود سمير محمود عيسى</t>
  </si>
  <si>
    <t>أ/محمد حسن محمد كامل</t>
  </si>
  <si>
    <t>أ/ منة الله محب عبدالغفار السيد</t>
  </si>
  <si>
    <t>كشف الاتعاب والمرتبات عن شهر أبريل 2024</t>
  </si>
  <si>
    <t>شهر أبريل 2024</t>
  </si>
  <si>
    <t>أ/ أحمد أبو العباس محمد الإتربي</t>
  </si>
  <si>
    <t xml:space="preserve">أ/ ليلي امين محمد امين طموم </t>
  </si>
  <si>
    <t>SPARE</t>
  </si>
  <si>
    <t>أ/ هند علاء الدين عبدالسلام النشار</t>
  </si>
  <si>
    <t>أ/ خالد حسين عمر عبدالقادر</t>
  </si>
  <si>
    <t>أ/ حسين شريف محمد منير عامر</t>
  </si>
  <si>
    <t>Daughter medical 4/6</t>
  </si>
  <si>
    <t>Spose Medical 4/6</t>
  </si>
  <si>
    <t>Son Medical 4/6</t>
  </si>
  <si>
    <t>Start date 15/4/24</t>
  </si>
  <si>
    <t>Spose Medical 4/12</t>
  </si>
  <si>
    <t>Family Medical 4/12</t>
  </si>
  <si>
    <t>Morning late +early leave</t>
  </si>
  <si>
    <t>Disciplinary action 31/3</t>
  </si>
  <si>
    <t>Start date 15/4/24 + 22/4</t>
  </si>
  <si>
    <t>Tax Card issue-09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</si>
</sst>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1" x14ac:knownFonts="1">
    <font>
      <sz val="10"/>
      <name val="Arial"/>
      <charset val="178"/>
    </font>
    <font>
      <sz val="10"/>
      <name val="Arial"/>
      <charset val="17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181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4" fontId="3" fillId="3" borderId="1" xfId="0" applyNumberFormat="1" applyFont="1" applyFill="1" applyBorder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4" fontId="27" fillId="7" borderId="1" xfId="0" applyNumberFormat="1" applyFont="1" applyFill="1" applyBorder="1" applyAlignment="1">
      <alignment horizontal="center"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6" fillId="0" borderId="1" xfId="1" applyFont="1" applyBorder="1"/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4" fontId="21" fillId="10" borderId="1" xfId="3" applyNumberFormat="1" applyFill="1" applyBorder="1" applyAlignment="1" applyProtection="1">
      <alignment horizontal="center" vertical="center"/>
    </xf>
    <xf numFmtId="165" fontId="21" fillId="10" borderId="1" xfId="1" applyFont="1" applyFill="1" applyBorder="1" applyAlignment="1" applyProtection="1">
      <alignment horizontal="center" vertical="center"/>
    </xf>
    <xf numFmtId="4" fontId="3" fillId="10" borderId="1" xfId="0" applyNumberFormat="1" applyFont="1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0" fontId="10" fillId="0" borderId="0" xfId="0" applyFont="1"/>
    <xf numFmtId="165" fontId="28" fillId="18" borderId="33" xfId="1" applyFont="1" applyFill="1" applyBorder="1"/>
    <xf numFmtId="165" fontId="28" fillId="19" borderId="33" xfId="1" applyFont="1" applyFill="1" applyBorder="1"/>
    <xf numFmtId="2" fontId="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 wrapText="1"/>
    </xf>
    <xf numFmtId="2" fontId="16" fillId="0" borderId="23" xfId="0" applyNumberFormat="1" applyFont="1" applyBorder="1" applyAlignment="1">
      <alignment horizontal="center" vertical="center"/>
    </xf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  <alignment horizont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أبريل 2024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tabSelected="1" zoomScale="80" zoomScaleNormal="80" zoomScaleSheetLayoutView="75" workbookViewId="0">
      <pane ySplit="3" topLeftCell="A4" activePane="bottomLeft" state="frozen"/>
      <selection pane="bottomLeft" activeCell="A36" sqref="A36:XFD36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6.6640625" customWidth="1"/>
    <col min="11" max="11" width="14.6640625" customWidth="1"/>
    <col min="12" max="12" width="18.664062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49"/>
  </cols>
  <sheetData>
    <row r="1" spans="1:16" s="51" customFormat="1" ht="21" x14ac:dyDescent="0.4">
      <c r="A1" s="133" t="s">
        <v>142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5"/>
      <c r="O1" s="135"/>
      <c r="P1" s="134"/>
    </row>
    <row r="2" spans="1:16" ht="17.399999999999999" x14ac:dyDescent="0.3">
      <c r="A2" s="136"/>
      <c r="B2" s="137" t="s">
        <v>6</v>
      </c>
      <c r="C2" s="136"/>
      <c r="D2" s="138">
        <v>45383</v>
      </c>
      <c r="E2" s="65"/>
      <c r="F2" s="65"/>
      <c r="G2" s="65"/>
      <c r="H2" s="65"/>
      <c r="I2" s="3"/>
      <c r="J2" s="3"/>
      <c r="K2" s="3"/>
      <c r="L2" s="66"/>
      <c r="M2" s="66"/>
      <c r="P2" s="4"/>
    </row>
    <row r="3" spans="1:16" s="52" customFormat="1" ht="52.2" x14ac:dyDescent="0.3">
      <c r="A3" s="111" t="s">
        <v>19</v>
      </c>
      <c r="B3" s="111" t="s">
        <v>36</v>
      </c>
      <c r="C3" s="111"/>
      <c r="D3" s="112" t="s">
        <v>35</v>
      </c>
      <c r="E3" s="113" t="s">
        <v>34</v>
      </c>
      <c r="F3" s="113" t="s">
        <v>33</v>
      </c>
      <c r="G3" s="112" t="s">
        <v>58</v>
      </c>
      <c r="H3" s="113" t="s">
        <v>32</v>
      </c>
      <c r="I3" s="112" t="s">
        <v>31</v>
      </c>
      <c r="J3" s="18" t="s">
        <v>12</v>
      </c>
      <c r="K3" s="132" t="s">
        <v>13</v>
      </c>
      <c r="L3" s="111"/>
      <c r="M3" s="111" t="s">
        <v>88</v>
      </c>
      <c r="N3" s="114" t="s">
        <v>2</v>
      </c>
      <c r="O3" s="115" t="s">
        <v>17</v>
      </c>
      <c r="P3" s="112" t="s">
        <v>18</v>
      </c>
    </row>
    <row r="4" spans="1:16" ht="16.8" x14ac:dyDescent="0.25">
      <c r="A4" s="31">
        <v>1</v>
      </c>
      <c r="B4" s="69" t="s">
        <v>84</v>
      </c>
      <c r="C4" s="3"/>
      <c r="D4" s="93">
        <v>0</v>
      </c>
      <c r="E4" s="33" t="str">
        <f>HYPERLINK(اضافات!N4)</f>
        <v>1270</v>
      </c>
      <c r="F4" s="33" t="str">
        <f>HYPERLINK(اضافات!M4)</f>
        <v>0</v>
      </c>
      <c r="G4" s="33" t="str">
        <f>HYPERLINK(اضافات!F4)</f>
        <v>0</v>
      </c>
      <c r="H4" s="33" t="str">
        <f>HYPERLINK(اضافات!O4)</f>
        <v>0</v>
      </c>
      <c r="I4" s="91" t="str">
        <f>HYPERLINK(خصومات!L4)</f>
        <v>0</v>
      </c>
      <c r="J4" s="24">
        <f>SUM(D4,VALUE(E4),VALUE(F4),VALUE(G4))</f>
        <v>1270</v>
      </c>
      <c r="K4" s="24">
        <f>VALUE(D4)+VALUE(G4)+VALUE(H4)-VALUE(I4)</f>
        <v>0</v>
      </c>
      <c r="L4" s="26"/>
      <c r="M4" s="28"/>
      <c r="N4" s="56"/>
      <c r="O4" s="55"/>
      <c r="P4" s="27"/>
    </row>
    <row r="5" spans="1:16" ht="16.8" x14ac:dyDescent="0.25">
      <c r="A5" s="31">
        <v>2</v>
      </c>
      <c r="B5" s="69" t="s">
        <v>63</v>
      </c>
      <c r="C5" s="25"/>
      <c r="D5" s="93">
        <v>360000</v>
      </c>
      <c r="E5" s="33" t="str">
        <f>HYPERLINK(اضافات!N5)</f>
        <v>73738</v>
      </c>
      <c r="F5" s="33" t="str">
        <f>HYPERLINK(اضافات!M5)</f>
        <v>385</v>
      </c>
      <c r="G5" s="33" t="str">
        <f>HYPERLINK(اضافات!F5)</f>
        <v>0</v>
      </c>
      <c r="H5" s="33" t="str">
        <f>HYPERLINK(اضافات!O5)</f>
        <v>0</v>
      </c>
      <c r="I5" s="91" t="str">
        <f>HYPERLINK(خصومات!L5)</f>
        <v>0</v>
      </c>
      <c r="J5" s="24">
        <f t="shared" ref="J5:J68" si="0">SUM(D5,VALUE(E5),VALUE(F5),VALUE(G5))</f>
        <v>434123</v>
      </c>
      <c r="K5" s="24">
        <f t="shared" ref="K5:K68" si="1">VALUE(D5)+VALUE(G5)+VALUE(H5)-VALUE(I5)</f>
        <v>360000</v>
      </c>
      <c r="L5" s="26"/>
      <c r="M5" s="28"/>
      <c r="N5" s="56"/>
      <c r="O5" s="55"/>
      <c r="P5" s="27"/>
    </row>
    <row r="6" spans="1:16" ht="16.8" x14ac:dyDescent="0.25">
      <c r="A6" s="31"/>
      <c r="B6" s="69" t="s">
        <v>93</v>
      </c>
      <c r="C6" s="25"/>
      <c r="D6" s="93">
        <v>0</v>
      </c>
      <c r="E6" s="33" t="str">
        <f>HYPERLINK(اضافات!N6)</f>
        <v>0</v>
      </c>
      <c r="F6" s="33" t="str">
        <f>HYPERLINK(اضافات!M6)</f>
        <v>0</v>
      </c>
      <c r="G6" s="33" t="str">
        <f>HYPERLINK(اضافات!F6)</f>
        <v>0</v>
      </c>
      <c r="H6" s="33" t="str">
        <f>HYPERLINK(اضافات!O6)</f>
        <v>0</v>
      </c>
      <c r="I6" s="91" t="str">
        <f>HYPERLINK(خصومات!L6)</f>
        <v>0</v>
      </c>
      <c r="J6" s="24">
        <f t="shared" si="0"/>
        <v>0</v>
      </c>
      <c r="K6" s="24">
        <f t="shared" si="1"/>
        <v>0</v>
      </c>
      <c r="L6" s="26"/>
      <c r="M6" s="28"/>
      <c r="N6" s="56"/>
      <c r="O6" s="55"/>
      <c r="P6" s="27"/>
    </row>
    <row r="7" spans="1:16" ht="16.8" x14ac:dyDescent="0.25">
      <c r="A7" s="31"/>
      <c r="B7" s="69" t="s">
        <v>93</v>
      </c>
      <c r="C7" s="25"/>
      <c r="D7" s="93">
        <v>0</v>
      </c>
      <c r="E7" s="33" t="str">
        <f>HYPERLINK(اضافات!N7)</f>
        <v>0</v>
      </c>
      <c r="F7" s="33" t="str">
        <f>HYPERLINK(اضافات!M7)</f>
        <v>0</v>
      </c>
      <c r="G7" s="33" t="str">
        <f>HYPERLINK(اضافات!F7)</f>
        <v>0</v>
      </c>
      <c r="H7" s="33" t="str">
        <f>HYPERLINK(اضافات!O7)</f>
        <v>0</v>
      </c>
      <c r="I7" s="91" t="str">
        <f>HYPERLINK(خصومات!L7)</f>
        <v>0</v>
      </c>
      <c r="J7" s="24">
        <f t="shared" si="0"/>
        <v>0</v>
      </c>
      <c r="K7" s="24">
        <f t="shared" si="1"/>
        <v>0</v>
      </c>
      <c r="L7" s="26"/>
      <c r="M7" s="28"/>
      <c r="N7" s="56"/>
      <c r="O7" s="55"/>
      <c r="P7" s="27"/>
    </row>
    <row r="8" spans="1:16" ht="16.8" x14ac:dyDescent="0.25">
      <c r="A8" s="31"/>
      <c r="B8" s="69" t="s">
        <v>93</v>
      </c>
      <c r="C8" s="25"/>
      <c r="D8" s="93">
        <v>0</v>
      </c>
      <c r="E8" s="33" t="str">
        <f>HYPERLINK(اضافات!N8)</f>
        <v>0</v>
      </c>
      <c r="F8" s="33" t="str">
        <f>HYPERLINK(اضافات!M8)</f>
        <v>0</v>
      </c>
      <c r="G8" s="33" t="str">
        <f>HYPERLINK(اضافات!F8)</f>
        <v>0</v>
      </c>
      <c r="H8" s="33" t="str">
        <f>HYPERLINK(اضافات!O8)</f>
        <v>0</v>
      </c>
      <c r="I8" s="91" t="str">
        <f>HYPERLINK(خصومات!L8)</f>
        <v>0</v>
      </c>
      <c r="J8" s="24">
        <f t="shared" si="0"/>
        <v>0</v>
      </c>
      <c r="K8" s="24">
        <f t="shared" si="1"/>
        <v>0</v>
      </c>
      <c r="L8" s="26"/>
      <c r="M8" s="28"/>
      <c r="N8" s="56"/>
      <c r="O8" s="55"/>
      <c r="P8" s="27"/>
    </row>
    <row r="9" spans="1:16" ht="16.8" x14ac:dyDescent="0.25">
      <c r="A9" s="31"/>
      <c r="B9" s="69" t="s">
        <v>93</v>
      </c>
      <c r="C9" s="25"/>
      <c r="D9" s="93">
        <v>0</v>
      </c>
      <c r="E9" s="33" t="str">
        <f>HYPERLINK(اضافات!N9)</f>
        <v>0</v>
      </c>
      <c r="F9" s="33" t="str">
        <f>HYPERLINK(اضافات!M9)</f>
        <v>0</v>
      </c>
      <c r="G9" s="33" t="str">
        <f>HYPERLINK(اضافات!F9)</f>
        <v>0</v>
      </c>
      <c r="H9" s="33" t="str">
        <f>HYPERLINK(اضافات!O9)</f>
        <v>0</v>
      </c>
      <c r="I9" s="91" t="str">
        <f>HYPERLINK(خصومات!L9)</f>
        <v>0</v>
      </c>
      <c r="J9" s="24">
        <f t="shared" si="0"/>
        <v>0</v>
      </c>
      <c r="K9" s="24">
        <f t="shared" si="1"/>
        <v>0</v>
      </c>
      <c r="L9" s="26"/>
      <c r="M9" s="28"/>
      <c r="N9" s="56"/>
      <c r="O9" s="55"/>
      <c r="P9" s="27"/>
    </row>
    <row r="10" spans="1:16" ht="16.8" x14ac:dyDescent="0.25">
      <c r="A10" s="31"/>
      <c r="B10" s="69" t="s">
        <v>93</v>
      </c>
      <c r="C10" s="25"/>
      <c r="D10" s="93">
        <v>0</v>
      </c>
      <c r="E10" s="33" t="str">
        <f>HYPERLINK(اضافات!N10)</f>
        <v>0</v>
      </c>
      <c r="F10" s="33" t="str">
        <f>HYPERLINK(اضافات!M10)</f>
        <v>0</v>
      </c>
      <c r="G10" s="33" t="str">
        <f>HYPERLINK(اضافات!F10)</f>
        <v>0</v>
      </c>
      <c r="H10" s="33" t="str">
        <f>HYPERLINK(اضافات!O10)</f>
        <v>0</v>
      </c>
      <c r="I10" s="91" t="str">
        <f>HYPERLINK(خصومات!L10)</f>
        <v>0</v>
      </c>
      <c r="J10" s="24">
        <f t="shared" si="0"/>
        <v>0</v>
      </c>
      <c r="K10" s="24">
        <f t="shared" si="1"/>
        <v>0</v>
      </c>
      <c r="L10" s="26"/>
      <c r="M10" s="28"/>
      <c r="N10" s="56"/>
      <c r="O10" s="55"/>
      <c r="P10" s="27"/>
    </row>
    <row r="11" spans="1:16" ht="16.8" x14ac:dyDescent="0.25">
      <c r="A11" s="31"/>
      <c r="B11" s="69" t="s">
        <v>93</v>
      </c>
      <c r="C11" s="25"/>
      <c r="D11" s="93">
        <v>0</v>
      </c>
      <c r="E11" s="33" t="str">
        <f>HYPERLINK(اضافات!N11)</f>
        <v>0</v>
      </c>
      <c r="F11" s="33" t="str">
        <f>HYPERLINK(اضافات!M11)</f>
        <v>0</v>
      </c>
      <c r="G11" s="33" t="str">
        <f>HYPERLINK(اضافات!F11)</f>
        <v>0</v>
      </c>
      <c r="H11" s="33" t="str">
        <f>HYPERLINK(اضافات!O11)</f>
        <v>0</v>
      </c>
      <c r="I11" s="91" t="str">
        <f>HYPERLINK(خصومات!L11)</f>
        <v>0</v>
      </c>
      <c r="J11" s="24">
        <f t="shared" si="0"/>
        <v>0</v>
      </c>
      <c r="K11" s="24">
        <f t="shared" si="1"/>
        <v>0</v>
      </c>
      <c r="L11" s="26"/>
      <c r="M11" s="28"/>
      <c r="N11" s="56"/>
      <c r="O11" s="55"/>
      <c r="P11" s="27"/>
    </row>
    <row r="12" spans="1:16" ht="16.8" x14ac:dyDescent="0.25">
      <c r="A12" s="31"/>
      <c r="B12" s="69" t="s">
        <v>93</v>
      </c>
      <c r="C12" s="25"/>
      <c r="D12" s="93">
        <v>0</v>
      </c>
      <c r="E12" s="33" t="str">
        <f>HYPERLINK(اضافات!N12)</f>
        <v>0</v>
      </c>
      <c r="F12" s="33" t="str">
        <f>HYPERLINK(اضافات!M12)</f>
        <v>0</v>
      </c>
      <c r="G12" s="33" t="str">
        <f>HYPERLINK(اضافات!F12)</f>
        <v>0</v>
      </c>
      <c r="H12" s="33" t="str">
        <f>HYPERLINK(اضافات!O12)</f>
        <v>0</v>
      </c>
      <c r="I12" s="91" t="str">
        <f>HYPERLINK(خصومات!L12)</f>
        <v>0</v>
      </c>
      <c r="J12" s="24">
        <f t="shared" si="0"/>
        <v>0</v>
      </c>
      <c r="K12" s="24">
        <f t="shared" si="1"/>
        <v>0</v>
      </c>
      <c r="L12" s="26"/>
      <c r="M12" s="28"/>
      <c r="N12" s="56"/>
      <c r="O12" s="55"/>
      <c r="P12" s="27"/>
    </row>
    <row r="13" spans="1:16" ht="16.8" x14ac:dyDescent="0.25">
      <c r="A13" s="31"/>
      <c r="B13" s="69" t="s">
        <v>93</v>
      </c>
      <c r="C13" s="25"/>
      <c r="D13" s="93">
        <v>0</v>
      </c>
      <c r="E13" s="33" t="str">
        <f>HYPERLINK(اضافات!N13)</f>
        <v>0</v>
      </c>
      <c r="F13" s="33" t="str">
        <f>HYPERLINK(اضافات!M13)</f>
        <v>0</v>
      </c>
      <c r="G13" s="33" t="str">
        <f>HYPERLINK(اضافات!F13)</f>
        <v>0</v>
      </c>
      <c r="H13" s="33" t="str">
        <f>HYPERLINK(اضافات!O13)</f>
        <v>0</v>
      </c>
      <c r="I13" s="91" t="str">
        <f>HYPERLINK(خصومات!L13)</f>
        <v>0</v>
      </c>
      <c r="J13" s="24">
        <f t="shared" si="0"/>
        <v>0</v>
      </c>
      <c r="K13" s="24">
        <f t="shared" si="1"/>
        <v>0</v>
      </c>
      <c r="L13" s="26"/>
      <c r="M13" s="28"/>
      <c r="N13" s="56"/>
      <c r="O13" s="55"/>
      <c r="P13" s="27"/>
    </row>
    <row r="14" spans="1:16" ht="16.8" x14ac:dyDescent="0.25">
      <c r="A14" s="31"/>
      <c r="B14" s="69" t="s">
        <v>93</v>
      </c>
      <c r="C14" s="25"/>
      <c r="D14" s="93">
        <v>0</v>
      </c>
      <c r="E14" s="33" t="str">
        <f>HYPERLINK(اضافات!N14)</f>
        <v>0</v>
      </c>
      <c r="F14" s="33" t="str">
        <f>HYPERLINK(اضافات!M14)</f>
        <v>0</v>
      </c>
      <c r="G14" s="33" t="str">
        <f>HYPERLINK(اضافات!F14)</f>
        <v>0</v>
      </c>
      <c r="H14" s="33" t="str">
        <f>HYPERLINK(اضافات!O14)</f>
        <v>0</v>
      </c>
      <c r="I14" s="91" t="str">
        <f>HYPERLINK(خصومات!L14)</f>
        <v>0</v>
      </c>
      <c r="J14" s="24">
        <f t="shared" si="0"/>
        <v>0</v>
      </c>
      <c r="K14" s="24">
        <f t="shared" si="1"/>
        <v>0</v>
      </c>
      <c r="L14" s="26"/>
      <c r="M14" s="28"/>
      <c r="N14" s="56"/>
      <c r="O14" s="55"/>
      <c r="P14" s="27"/>
    </row>
    <row r="15" spans="1:16" ht="16.8" x14ac:dyDescent="0.25">
      <c r="A15" s="31"/>
      <c r="B15" s="69" t="s">
        <v>93</v>
      </c>
      <c r="C15" s="25"/>
      <c r="D15" s="93">
        <v>0</v>
      </c>
      <c r="E15" s="33" t="str">
        <f>HYPERLINK(اضافات!N15)</f>
        <v>0</v>
      </c>
      <c r="F15" s="33" t="str">
        <f>HYPERLINK(اضافات!M15)</f>
        <v>0</v>
      </c>
      <c r="G15" s="33" t="str">
        <f>HYPERLINK(اضافات!F15)</f>
        <v>0</v>
      </c>
      <c r="H15" s="33" t="str">
        <f>HYPERLINK(اضافات!O15)</f>
        <v>0</v>
      </c>
      <c r="I15" s="91" t="str">
        <f>HYPERLINK(خصومات!L15)</f>
        <v>0</v>
      </c>
      <c r="J15" s="24">
        <f t="shared" si="0"/>
        <v>0</v>
      </c>
      <c r="K15" s="24">
        <f t="shared" si="1"/>
        <v>0</v>
      </c>
      <c r="L15" s="26"/>
      <c r="M15" s="28"/>
      <c r="N15" s="56"/>
      <c r="O15" s="55"/>
      <c r="P15" s="27"/>
    </row>
    <row r="16" spans="1:16" ht="16.8" x14ac:dyDescent="0.25">
      <c r="A16" s="31"/>
      <c r="B16" s="69" t="s">
        <v>93</v>
      </c>
      <c r="C16" s="25"/>
      <c r="D16" s="93">
        <v>0</v>
      </c>
      <c r="E16" s="33" t="str">
        <f>HYPERLINK(اضافات!N16)</f>
        <v>0</v>
      </c>
      <c r="F16" s="33" t="str">
        <f>HYPERLINK(اضافات!M16)</f>
        <v>0</v>
      </c>
      <c r="G16" s="33" t="str">
        <f>HYPERLINK(اضافات!F16)</f>
        <v>0</v>
      </c>
      <c r="H16" s="33" t="str">
        <f>HYPERLINK(اضافات!O16)</f>
        <v>0</v>
      </c>
      <c r="I16" s="91" t="str">
        <f>HYPERLINK(خصومات!L16)</f>
        <v>0</v>
      </c>
      <c r="J16" s="24">
        <f t="shared" si="0"/>
        <v>0</v>
      </c>
      <c r="K16" s="24">
        <f t="shared" si="1"/>
        <v>0</v>
      </c>
      <c r="L16" s="26"/>
      <c r="M16" s="28"/>
      <c r="N16" s="56"/>
      <c r="O16" s="55"/>
      <c r="P16" s="27"/>
    </row>
    <row r="17" spans="1:16" ht="16.8" x14ac:dyDescent="0.25">
      <c r="A17" s="31"/>
      <c r="B17" s="69" t="s">
        <v>93</v>
      </c>
      <c r="C17" s="25"/>
      <c r="D17" s="93">
        <v>0</v>
      </c>
      <c r="E17" s="33" t="str">
        <f>HYPERLINK(اضافات!N17)</f>
        <v>0</v>
      </c>
      <c r="F17" s="33" t="str">
        <f>HYPERLINK(اضافات!M17)</f>
        <v>0</v>
      </c>
      <c r="G17" s="33" t="str">
        <f>HYPERLINK(اضافات!F17)</f>
        <v>0</v>
      </c>
      <c r="H17" s="33" t="str">
        <f>HYPERLINK(اضافات!O17)</f>
        <v>0</v>
      </c>
      <c r="I17" s="91" t="str">
        <f>HYPERLINK(خصومات!L17)</f>
        <v>0</v>
      </c>
      <c r="J17" s="24">
        <f t="shared" si="0"/>
        <v>0</v>
      </c>
      <c r="K17" s="24">
        <f t="shared" si="1"/>
        <v>0</v>
      </c>
      <c r="L17" s="26"/>
      <c r="M17" s="28"/>
      <c r="N17" s="56"/>
      <c r="O17" s="55"/>
      <c r="P17" s="27"/>
    </row>
    <row r="18" spans="1:16" ht="16.8" x14ac:dyDescent="0.25">
      <c r="A18" s="116">
        <v>2</v>
      </c>
      <c r="B18" s="117" t="s">
        <v>0</v>
      </c>
      <c r="C18" s="118"/>
      <c r="D18" s="119"/>
      <c r="E18" s="120"/>
      <c r="F18" s="120"/>
      <c r="G18" s="120"/>
      <c r="H18" s="120"/>
      <c r="I18" s="121"/>
      <c r="J18" s="122"/>
      <c r="K18" s="122"/>
      <c r="L18" s="123">
        <f>SUM(K4:K17)</f>
        <v>360000</v>
      </c>
      <c r="M18" s="124"/>
      <c r="N18" s="125"/>
      <c r="O18" s="126"/>
      <c r="P18" s="127"/>
    </row>
    <row r="19" spans="1:16" ht="16.8" x14ac:dyDescent="0.25">
      <c r="A19" s="31">
        <v>1</v>
      </c>
      <c r="B19" s="69" t="s">
        <v>89</v>
      </c>
      <c r="C19" s="25"/>
      <c r="D19" s="93">
        <v>40250</v>
      </c>
      <c r="E19" s="33" t="str">
        <f>HYPERLINK(اضافات!N19)</f>
        <v>10089</v>
      </c>
      <c r="F19" s="33" t="str">
        <f>HYPERLINK(اضافات!M19)</f>
        <v>0</v>
      </c>
      <c r="G19" s="33" t="str">
        <f>HYPERLINK(اضافات!F19)</f>
        <v>0</v>
      </c>
      <c r="H19" s="33" t="str">
        <f>HYPERLINK(اضافات!O19)</f>
        <v>0</v>
      </c>
      <c r="I19" s="91" t="str">
        <f>HYPERLINK(خصومات!L19)</f>
        <v>1979.5</v>
      </c>
      <c r="J19" s="24">
        <f t="shared" si="0"/>
        <v>50339</v>
      </c>
      <c r="K19" s="24">
        <f t="shared" si="1"/>
        <v>38270.5</v>
      </c>
      <c r="L19" s="26"/>
      <c r="M19" s="28"/>
      <c r="N19" s="56"/>
      <c r="O19" s="55"/>
      <c r="P19" s="27"/>
    </row>
    <row r="20" spans="1:16" ht="16.8" x14ac:dyDescent="0.25">
      <c r="A20" s="31">
        <v>2</v>
      </c>
      <c r="B20" s="69" t="s">
        <v>66</v>
      </c>
      <c r="C20" s="25"/>
      <c r="D20" s="93">
        <v>30000</v>
      </c>
      <c r="E20" s="33" t="str">
        <f>HYPERLINK(اضافات!N20)</f>
        <v>6568</v>
      </c>
      <c r="F20" s="33" t="str">
        <f>HYPERLINK(اضافات!M20)</f>
        <v>307</v>
      </c>
      <c r="G20" s="33" t="str">
        <f>HYPERLINK(اضافات!F20)</f>
        <v>0</v>
      </c>
      <c r="H20" s="33" t="str">
        <f>HYPERLINK(اضافات!O20)</f>
        <v>0</v>
      </c>
      <c r="I20" s="91" t="str">
        <f>HYPERLINK(خصومات!L20)</f>
        <v>300</v>
      </c>
      <c r="J20" s="24">
        <f t="shared" si="0"/>
        <v>36875</v>
      </c>
      <c r="K20" s="24">
        <f t="shared" si="1"/>
        <v>29700</v>
      </c>
      <c r="L20" s="26"/>
      <c r="M20" s="28"/>
      <c r="N20" s="56"/>
      <c r="O20" s="55"/>
      <c r="P20" s="27"/>
    </row>
    <row r="21" spans="1:16" ht="16.8" x14ac:dyDescent="0.25">
      <c r="A21" s="31">
        <v>3</v>
      </c>
      <c r="B21" s="69" t="s">
        <v>102</v>
      </c>
      <c r="C21" s="25"/>
      <c r="D21" s="93">
        <v>45000</v>
      </c>
      <c r="E21" s="33" t="str">
        <f>HYPERLINK(اضافات!N21)</f>
        <v>10471</v>
      </c>
      <c r="F21" s="33" t="str">
        <f>HYPERLINK(اضافات!M21)</f>
        <v>0</v>
      </c>
      <c r="G21" s="33" t="str">
        <f>HYPERLINK(اضافات!F21)</f>
        <v>0</v>
      </c>
      <c r="H21" s="33" t="str">
        <f>HYPERLINK(اضافات!O21)</f>
        <v>0</v>
      </c>
      <c r="I21" s="91" t="str">
        <f>HYPERLINK(خصومات!L21)</f>
        <v>50</v>
      </c>
      <c r="J21" s="24">
        <f t="shared" si="0"/>
        <v>55471</v>
      </c>
      <c r="K21" s="24">
        <f t="shared" si="1"/>
        <v>44950</v>
      </c>
      <c r="L21" s="26"/>
      <c r="M21" s="28"/>
      <c r="N21" s="56"/>
      <c r="O21" s="55"/>
      <c r="P21" s="27"/>
    </row>
    <row r="22" spans="1:16" ht="16.8" x14ac:dyDescent="0.25">
      <c r="A22" s="31">
        <v>4</v>
      </c>
      <c r="B22" s="69" t="s">
        <v>71</v>
      </c>
      <c r="C22" s="25"/>
      <c r="D22" s="93">
        <v>80000</v>
      </c>
      <c r="E22" s="33" t="str">
        <f>HYPERLINK(اضافات!N22)</f>
        <v>18498</v>
      </c>
      <c r="F22" s="33" t="str">
        <f>HYPERLINK(اضافات!M22)</f>
        <v>0</v>
      </c>
      <c r="G22" s="33" t="str">
        <f>HYPERLINK(اضافات!F22)</f>
        <v>0</v>
      </c>
      <c r="H22" s="33" t="str">
        <f>HYPERLINK(اضافات!O22)</f>
        <v>0</v>
      </c>
      <c r="I22" s="91" t="str">
        <f>HYPERLINK(خصومات!L22)</f>
        <v>1229.67</v>
      </c>
      <c r="J22" s="24">
        <f t="shared" si="0"/>
        <v>98498</v>
      </c>
      <c r="K22" s="24">
        <f t="shared" si="1"/>
        <v>78770.33</v>
      </c>
      <c r="L22" s="26"/>
      <c r="M22" s="28"/>
      <c r="N22" s="56"/>
      <c r="O22" s="55"/>
      <c r="P22" s="27"/>
    </row>
    <row r="23" spans="1:16" ht="16.8" x14ac:dyDescent="0.25">
      <c r="A23" s="31">
        <v>5</v>
      </c>
      <c r="B23" s="69" t="s">
        <v>67</v>
      </c>
      <c r="C23" s="25"/>
      <c r="D23" s="93">
        <v>42000</v>
      </c>
      <c r="E23" s="33" t="str">
        <f>HYPERLINK(اضافات!N23)</f>
        <v>15516</v>
      </c>
      <c r="F23" s="33" t="str">
        <f>HYPERLINK(اضافات!M23)</f>
        <v>0</v>
      </c>
      <c r="G23" s="33" t="str">
        <f>HYPERLINK(اضافات!F23)</f>
        <v>0</v>
      </c>
      <c r="H23" s="33" t="str">
        <f>HYPERLINK(اضافات!O23)</f>
        <v>0</v>
      </c>
      <c r="I23" s="91" t="str">
        <f>HYPERLINK(خصومات!L23)</f>
        <v>3696.67</v>
      </c>
      <c r="J23" s="24">
        <f t="shared" si="0"/>
        <v>57516</v>
      </c>
      <c r="K23" s="24">
        <f t="shared" si="1"/>
        <v>38303.33</v>
      </c>
      <c r="L23" s="26"/>
      <c r="M23" s="28"/>
      <c r="N23" s="56"/>
      <c r="O23" s="55"/>
      <c r="P23" s="27"/>
    </row>
    <row r="24" spans="1:16" ht="16.8" x14ac:dyDescent="0.25">
      <c r="A24" s="31">
        <v>6</v>
      </c>
      <c r="B24" s="69" t="s">
        <v>70</v>
      </c>
      <c r="C24" s="25"/>
      <c r="D24" s="93">
        <v>40000</v>
      </c>
      <c r="E24" s="33" t="str">
        <f>HYPERLINK(اضافات!N24)</f>
        <v>8915</v>
      </c>
      <c r="F24" s="33" t="str">
        <f>HYPERLINK(اضافات!M24)</f>
        <v>0</v>
      </c>
      <c r="G24" s="33" t="str">
        <f>HYPERLINK(اضافات!F24)</f>
        <v>0</v>
      </c>
      <c r="H24" s="33" t="str">
        <f>HYPERLINK(اضافات!O24)</f>
        <v>0</v>
      </c>
      <c r="I24" s="91" t="str">
        <f>HYPERLINK(خصومات!L24)</f>
        <v>0</v>
      </c>
      <c r="J24" s="24">
        <f t="shared" si="0"/>
        <v>48915</v>
      </c>
      <c r="K24" s="24">
        <f t="shared" si="1"/>
        <v>40000</v>
      </c>
      <c r="L24" s="26"/>
      <c r="M24" s="28"/>
      <c r="N24" s="56"/>
      <c r="O24" s="55"/>
      <c r="P24" s="27"/>
    </row>
    <row r="25" spans="1:16" ht="16.8" x14ac:dyDescent="0.25">
      <c r="A25" s="31">
        <v>7</v>
      </c>
      <c r="B25" s="69" t="s">
        <v>137</v>
      </c>
      <c r="C25" s="25"/>
      <c r="D25" s="93">
        <v>77000</v>
      </c>
      <c r="E25" s="33" t="str">
        <f>HYPERLINK(اضافات!N25)</f>
        <v>9166</v>
      </c>
      <c r="F25" s="33" t="str">
        <f>HYPERLINK(اضافات!M25)</f>
        <v>0</v>
      </c>
      <c r="G25" s="33" t="str">
        <f>HYPERLINK(اضافات!F25)</f>
        <v>0</v>
      </c>
      <c r="H25" s="33" t="str">
        <f>HYPERLINK(اضافات!O25)</f>
        <v>0</v>
      </c>
      <c r="I25" s="91" t="str">
        <f>HYPERLINK(خصومات!L25)</f>
        <v>0</v>
      </c>
      <c r="J25" s="24">
        <f t="shared" si="0"/>
        <v>86166</v>
      </c>
      <c r="K25" s="24">
        <f t="shared" si="1"/>
        <v>77000</v>
      </c>
      <c r="L25" s="26"/>
      <c r="M25" s="28"/>
      <c r="N25" s="56"/>
      <c r="O25" s="55"/>
      <c r="P25" s="27"/>
    </row>
    <row r="26" spans="1:16" ht="16.8" x14ac:dyDescent="0.25">
      <c r="A26" s="31">
        <v>8</v>
      </c>
      <c r="B26" s="69" t="s">
        <v>68</v>
      </c>
      <c r="C26" s="25"/>
      <c r="D26" s="93">
        <v>30000</v>
      </c>
      <c r="E26" s="33" t="str">
        <f>HYPERLINK(اضافات!N26)</f>
        <v>7155</v>
      </c>
      <c r="F26" s="33" t="str">
        <f>HYPERLINK(اضافات!M26)</f>
        <v>307</v>
      </c>
      <c r="G26" s="33" t="str">
        <f>HYPERLINK(اضافات!F26)</f>
        <v>0</v>
      </c>
      <c r="H26" s="33" t="str">
        <f>HYPERLINK(اضافات!O26)</f>
        <v>0</v>
      </c>
      <c r="I26" s="91" t="str">
        <f>HYPERLINK(خصومات!L26)</f>
        <v>615</v>
      </c>
      <c r="J26" s="24">
        <f t="shared" si="0"/>
        <v>37462</v>
      </c>
      <c r="K26" s="24">
        <f t="shared" si="1"/>
        <v>29385</v>
      </c>
      <c r="L26" s="26"/>
      <c r="M26" s="28"/>
      <c r="N26" s="56"/>
      <c r="O26" s="55"/>
      <c r="P26" s="27"/>
    </row>
    <row r="27" spans="1:16" ht="16.8" x14ac:dyDescent="0.25">
      <c r="A27" s="31"/>
      <c r="B27" s="69" t="s">
        <v>93</v>
      </c>
      <c r="C27" s="25"/>
      <c r="D27" s="93">
        <v>0</v>
      </c>
      <c r="E27" s="33" t="str">
        <f>HYPERLINK(اضافات!N27)</f>
        <v>0</v>
      </c>
      <c r="F27" s="33" t="str">
        <f>HYPERLINK(اضافات!M27)</f>
        <v>0</v>
      </c>
      <c r="G27" s="33" t="str">
        <f>HYPERLINK(اضافات!F27)</f>
        <v>0</v>
      </c>
      <c r="H27" s="33" t="str">
        <f>HYPERLINK(اضافات!O27)</f>
        <v>0</v>
      </c>
      <c r="I27" s="91" t="str">
        <f>HYPERLINK(خصومات!L27)</f>
        <v>0</v>
      </c>
      <c r="J27" s="24">
        <f t="shared" si="0"/>
        <v>0</v>
      </c>
      <c r="K27" s="24">
        <f t="shared" si="1"/>
        <v>0</v>
      </c>
      <c r="L27" s="26"/>
      <c r="M27" s="28"/>
      <c r="N27" s="56"/>
      <c r="O27" s="55"/>
      <c r="P27" s="27"/>
    </row>
    <row r="28" spans="1:16" ht="16.8" x14ac:dyDescent="0.25">
      <c r="A28" s="31"/>
      <c r="B28" s="69" t="s">
        <v>93</v>
      </c>
      <c r="C28" s="25"/>
      <c r="D28" s="93">
        <v>0</v>
      </c>
      <c r="E28" s="33" t="str">
        <f>HYPERLINK(اضافات!N28)</f>
        <v>0</v>
      </c>
      <c r="F28" s="33" t="str">
        <f>HYPERLINK(اضافات!M28)</f>
        <v>0</v>
      </c>
      <c r="G28" s="33" t="str">
        <f>HYPERLINK(اضافات!F28)</f>
        <v>0</v>
      </c>
      <c r="H28" s="33" t="str">
        <f>HYPERLINK(اضافات!O28)</f>
        <v>0</v>
      </c>
      <c r="I28" s="91" t="str">
        <f>HYPERLINK(خصومات!L28)</f>
        <v>0</v>
      </c>
      <c r="J28" s="24">
        <f t="shared" si="0"/>
        <v>0</v>
      </c>
      <c r="K28" s="24">
        <f t="shared" si="1"/>
        <v>0</v>
      </c>
      <c r="L28" s="26"/>
      <c r="M28" s="28"/>
      <c r="N28" s="56"/>
      <c r="O28" s="55"/>
      <c r="P28" s="27"/>
    </row>
    <row r="29" spans="1:16" ht="16.8" x14ac:dyDescent="0.25">
      <c r="A29" s="31"/>
      <c r="B29" s="69" t="s">
        <v>93</v>
      </c>
      <c r="C29" s="25"/>
      <c r="D29" s="93">
        <v>0</v>
      </c>
      <c r="E29" s="33" t="str">
        <f>HYPERLINK(اضافات!N29)</f>
        <v>0</v>
      </c>
      <c r="F29" s="33" t="str">
        <f>HYPERLINK(اضافات!M29)</f>
        <v>0</v>
      </c>
      <c r="G29" s="33" t="str">
        <f>HYPERLINK(اضافات!F29)</f>
        <v>0</v>
      </c>
      <c r="H29" s="33" t="str">
        <f>HYPERLINK(اضافات!O29)</f>
        <v>0</v>
      </c>
      <c r="I29" s="91" t="str">
        <f>HYPERLINK(خصومات!L29)</f>
        <v>0</v>
      </c>
      <c r="J29" s="24">
        <f t="shared" si="0"/>
        <v>0</v>
      </c>
      <c r="K29" s="24">
        <f t="shared" si="1"/>
        <v>0</v>
      </c>
      <c r="L29" s="26"/>
      <c r="M29" s="28"/>
      <c r="N29" s="56"/>
      <c r="O29" s="55"/>
      <c r="P29" s="27"/>
    </row>
    <row r="30" spans="1:16" s="79" customFormat="1" ht="16.8" x14ac:dyDescent="0.25">
      <c r="A30" s="31"/>
      <c r="B30" s="69" t="s">
        <v>93</v>
      </c>
      <c r="C30" s="78"/>
      <c r="D30" s="93">
        <v>0</v>
      </c>
      <c r="E30" s="33" t="str">
        <f>HYPERLINK(اضافات!N30)</f>
        <v>0</v>
      </c>
      <c r="F30" s="33" t="str">
        <f>HYPERLINK(اضافات!M30)</f>
        <v>0</v>
      </c>
      <c r="G30" s="33" t="str">
        <f>HYPERLINK(اضافات!F30)</f>
        <v>0</v>
      </c>
      <c r="H30" s="33" t="str">
        <f>HYPERLINK(اضافات!O30)</f>
        <v>0</v>
      </c>
      <c r="I30" s="91" t="str">
        <f>HYPERLINK(خصومات!L30)</f>
        <v>0</v>
      </c>
      <c r="J30" s="24">
        <f t="shared" si="0"/>
        <v>0</v>
      </c>
      <c r="K30" s="24">
        <f t="shared" si="1"/>
        <v>0</v>
      </c>
      <c r="L30" s="78"/>
      <c r="M30" s="28"/>
      <c r="N30" s="56"/>
      <c r="O30" s="55"/>
      <c r="P30" s="27"/>
    </row>
    <row r="31" spans="1:16" ht="16.8" x14ac:dyDescent="0.25">
      <c r="A31" s="31"/>
      <c r="B31" s="69" t="s">
        <v>93</v>
      </c>
      <c r="C31" s="25"/>
      <c r="D31" s="93">
        <v>0</v>
      </c>
      <c r="E31" s="33" t="str">
        <f>HYPERLINK(اضافات!N31)</f>
        <v>0</v>
      </c>
      <c r="F31" s="33" t="str">
        <f>HYPERLINK(اضافات!M31)</f>
        <v>0</v>
      </c>
      <c r="G31" s="33" t="str">
        <f>HYPERLINK(اضافات!F31)</f>
        <v>0</v>
      </c>
      <c r="H31" s="33" t="str">
        <f>HYPERLINK(اضافات!O31)</f>
        <v>0</v>
      </c>
      <c r="I31" s="91" t="str">
        <f>HYPERLINK(خصومات!L31)</f>
        <v>0</v>
      </c>
      <c r="J31" s="24">
        <f t="shared" si="0"/>
        <v>0</v>
      </c>
      <c r="K31" s="24">
        <f t="shared" si="1"/>
        <v>0</v>
      </c>
      <c r="L31" s="26"/>
      <c r="M31" s="28"/>
      <c r="N31" s="56"/>
      <c r="O31" s="55"/>
      <c r="P31" s="27"/>
    </row>
    <row r="32" spans="1:16" ht="16.8" x14ac:dyDescent="0.25">
      <c r="A32" s="31"/>
      <c r="B32" s="69" t="s">
        <v>93</v>
      </c>
      <c r="C32" s="25"/>
      <c r="D32" s="93">
        <v>0</v>
      </c>
      <c r="E32" s="33" t="str">
        <f>HYPERLINK(اضافات!N32)</f>
        <v>0</v>
      </c>
      <c r="F32" s="33" t="str">
        <f>HYPERLINK(اضافات!M32)</f>
        <v>0</v>
      </c>
      <c r="G32" s="33" t="str">
        <f>HYPERLINK(اضافات!F32)</f>
        <v>0</v>
      </c>
      <c r="H32" s="33" t="str">
        <f>HYPERLINK(اضافات!O32)</f>
        <v>0</v>
      </c>
      <c r="I32" s="91" t="str">
        <f>HYPERLINK(خصومات!L32)</f>
        <v>0</v>
      </c>
      <c r="J32" s="24">
        <f t="shared" si="0"/>
        <v>0</v>
      </c>
      <c r="K32" s="24">
        <f t="shared" si="1"/>
        <v>0</v>
      </c>
      <c r="L32" s="26"/>
      <c r="M32" s="28"/>
      <c r="N32" s="56"/>
      <c r="O32" s="55"/>
      <c r="P32" s="27"/>
    </row>
    <row r="33" spans="1:16" s="53" customFormat="1" ht="16.8" x14ac:dyDescent="0.25">
      <c r="A33" s="31">
        <v>9</v>
      </c>
      <c r="B33" s="69" t="s">
        <v>94</v>
      </c>
      <c r="C33" s="30"/>
      <c r="D33" s="93">
        <v>35000</v>
      </c>
      <c r="E33" s="33" t="str">
        <f>HYPERLINK(اضافات!N33)</f>
        <v>7963</v>
      </c>
      <c r="F33" s="33" t="str">
        <f>HYPERLINK(اضافات!M33)</f>
        <v>0</v>
      </c>
      <c r="G33" s="33" t="str">
        <f>HYPERLINK(اضافات!F33)</f>
        <v>0</v>
      </c>
      <c r="H33" s="33" t="str">
        <f>HYPERLINK(اضافات!O33)</f>
        <v>0</v>
      </c>
      <c r="I33" s="91" t="str">
        <f>HYPERLINK(خصومات!L33)</f>
        <v>50</v>
      </c>
      <c r="J33" s="24">
        <f t="shared" si="0"/>
        <v>42963</v>
      </c>
      <c r="K33" s="24">
        <f t="shared" si="1"/>
        <v>34950</v>
      </c>
      <c r="L33" s="32"/>
      <c r="M33" s="28"/>
      <c r="N33" s="56"/>
      <c r="O33" s="55"/>
      <c r="P33" s="27"/>
    </row>
    <row r="34" spans="1:16" s="53" customFormat="1" ht="16.8" x14ac:dyDescent="0.25">
      <c r="A34" s="31">
        <v>10</v>
      </c>
      <c r="B34" s="69" t="s">
        <v>69</v>
      </c>
      <c r="C34" s="30"/>
      <c r="D34" s="93">
        <v>12600</v>
      </c>
      <c r="E34" s="33" t="str">
        <f>HYPERLINK(اضافات!N34)</f>
        <v>2731</v>
      </c>
      <c r="F34" s="33" t="str">
        <f>HYPERLINK(اضافات!M34)</f>
        <v>200</v>
      </c>
      <c r="G34" s="33" t="str">
        <f>HYPERLINK(اضافات!F34)</f>
        <v>0</v>
      </c>
      <c r="H34" s="33" t="str">
        <f>HYPERLINK(اضافات!O34)</f>
        <v>0</v>
      </c>
      <c r="I34" s="91" t="str">
        <f>HYPERLINK(خصومات!L34)</f>
        <v>50</v>
      </c>
      <c r="J34" s="24">
        <f t="shared" si="0"/>
        <v>15531</v>
      </c>
      <c r="K34" s="24">
        <f t="shared" si="1"/>
        <v>12550</v>
      </c>
      <c r="L34" s="32"/>
      <c r="M34" s="28"/>
      <c r="N34" s="56"/>
      <c r="O34" s="55"/>
      <c r="P34" s="27"/>
    </row>
    <row r="35" spans="1:16" s="53" customFormat="1" ht="16.8" x14ac:dyDescent="0.25">
      <c r="A35" s="31">
        <v>11</v>
      </c>
      <c r="B35" s="69" t="s">
        <v>138</v>
      </c>
      <c r="C35" s="30"/>
      <c r="D35" s="93">
        <v>8000</v>
      </c>
      <c r="E35" s="33" t="str">
        <f>HYPERLINK(اضافات!N35)</f>
        <v>896</v>
      </c>
      <c r="F35" s="33" t="str">
        <f>HYPERLINK(اضافات!M35)</f>
        <v>0</v>
      </c>
      <c r="G35" s="33" t="str">
        <f>HYPERLINK(اضافات!F35)</f>
        <v>0</v>
      </c>
      <c r="H35" s="33" t="str">
        <f>HYPERLINK(اضافات!O35)</f>
        <v>0</v>
      </c>
      <c r="I35" s="91" t="str">
        <f>HYPERLINK(خصومات!L35)</f>
        <v>0</v>
      </c>
      <c r="J35" s="24">
        <f t="shared" si="0"/>
        <v>8896</v>
      </c>
      <c r="K35" s="24">
        <f t="shared" si="1"/>
        <v>8000</v>
      </c>
      <c r="L35" s="32"/>
      <c r="M35" s="28"/>
      <c r="N35" s="56"/>
      <c r="O35" s="55"/>
      <c r="P35" s="27"/>
    </row>
    <row r="36" spans="1:16" s="53" customFormat="1" ht="16.8" x14ac:dyDescent="0.25">
      <c r="A36" s="31">
        <v>12</v>
      </c>
      <c r="B36" s="69" t="s">
        <v>149</v>
      </c>
      <c r="C36" s="30"/>
      <c r="D36" s="93">
        <v>35000</v>
      </c>
      <c r="E36" s="33" t="str">
        <f>HYPERLINK(اضافات!N36)</f>
        <v>0</v>
      </c>
      <c r="F36" s="33" t="str">
        <f>HYPERLINK(اضافات!M36)</f>
        <v>0</v>
      </c>
      <c r="G36" s="33" t="str">
        <f>HYPERLINK(اضافات!F36)</f>
        <v>0</v>
      </c>
      <c r="H36" s="33" t="str">
        <f>HYPERLINK(اضافات!O36)</f>
        <v>0</v>
      </c>
      <c r="I36" s="91" t="str">
        <f>HYPERLINK(خصومات!L36)</f>
        <v>16333</v>
      </c>
      <c r="J36" s="24">
        <f t="shared" si="0"/>
        <v>35000</v>
      </c>
      <c r="K36" s="24">
        <f t="shared" si="1"/>
        <v>18667</v>
      </c>
      <c r="L36" s="32"/>
      <c r="M36" s="28"/>
      <c r="N36" s="56"/>
      <c r="O36" s="55"/>
      <c r="P36" s="27"/>
    </row>
    <row r="37" spans="1:16" s="53" customFormat="1" ht="16.8" x14ac:dyDescent="0.25">
      <c r="A37" s="31"/>
      <c r="B37" s="69" t="s">
        <v>93</v>
      </c>
      <c r="C37" s="30"/>
      <c r="D37" s="93">
        <v>0</v>
      </c>
      <c r="E37" s="33" t="str">
        <f>HYPERLINK(اضافات!N37)</f>
        <v>0</v>
      </c>
      <c r="F37" s="33" t="str">
        <f>HYPERLINK(اضافات!M37)</f>
        <v>0</v>
      </c>
      <c r="G37" s="33" t="str">
        <f>HYPERLINK(اضافات!F37)</f>
        <v>0</v>
      </c>
      <c r="H37" s="33" t="str">
        <f>HYPERLINK(اضافات!O37)</f>
        <v>0</v>
      </c>
      <c r="I37" s="91" t="str">
        <f>HYPERLINK(خصومات!L37)</f>
        <v>0</v>
      </c>
      <c r="J37" s="24">
        <f t="shared" si="0"/>
        <v>0</v>
      </c>
      <c r="K37" s="24">
        <f t="shared" si="1"/>
        <v>0</v>
      </c>
      <c r="L37" s="32"/>
      <c r="M37" s="28"/>
      <c r="N37" s="56"/>
      <c r="O37" s="55"/>
      <c r="P37" s="27"/>
    </row>
    <row r="38" spans="1:16" s="53" customFormat="1" ht="16.8" x14ac:dyDescent="0.25">
      <c r="A38" s="31"/>
      <c r="B38" s="69" t="s">
        <v>93</v>
      </c>
      <c r="C38" s="30"/>
      <c r="D38" s="93">
        <v>0</v>
      </c>
      <c r="E38" s="33" t="str">
        <f>HYPERLINK(اضافات!N38)</f>
        <v>0</v>
      </c>
      <c r="F38" s="33" t="str">
        <f>HYPERLINK(اضافات!M38)</f>
        <v>0</v>
      </c>
      <c r="G38" s="33" t="str">
        <f>HYPERLINK(اضافات!F38)</f>
        <v>0</v>
      </c>
      <c r="H38" s="33" t="str">
        <f>HYPERLINK(اضافات!O38)</f>
        <v>0</v>
      </c>
      <c r="I38" s="91" t="str">
        <f>HYPERLINK(خصومات!L38)</f>
        <v>0</v>
      </c>
      <c r="J38" s="24">
        <f t="shared" si="0"/>
        <v>0</v>
      </c>
      <c r="K38" s="24">
        <f t="shared" si="1"/>
        <v>0</v>
      </c>
      <c r="L38" s="32"/>
      <c r="M38" s="28"/>
      <c r="N38" s="56"/>
      <c r="O38" s="55"/>
      <c r="P38" s="27"/>
    </row>
    <row r="39" spans="1:16" s="53" customFormat="1" ht="16.8" x14ac:dyDescent="0.25">
      <c r="A39" s="31"/>
      <c r="B39" s="69" t="s">
        <v>93</v>
      </c>
      <c r="C39" s="30"/>
      <c r="D39" s="93">
        <v>0</v>
      </c>
      <c r="E39" s="33" t="str">
        <f>HYPERLINK(اضافات!N39)</f>
        <v>0</v>
      </c>
      <c r="F39" s="33" t="str">
        <f>HYPERLINK(اضافات!M39)</f>
        <v>0</v>
      </c>
      <c r="G39" s="33" t="str">
        <f>HYPERLINK(اضافات!F39)</f>
        <v>0</v>
      </c>
      <c r="H39" s="33" t="str">
        <f>HYPERLINK(اضافات!O39)</f>
        <v>0</v>
      </c>
      <c r="I39" s="91" t="str">
        <f>HYPERLINK(خصومات!L39)</f>
        <v>0</v>
      </c>
      <c r="J39" s="24">
        <f t="shared" si="0"/>
        <v>0</v>
      </c>
      <c r="K39" s="24">
        <f t="shared" si="1"/>
        <v>0</v>
      </c>
      <c r="L39" s="32"/>
      <c r="M39" s="28"/>
      <c r="N39" s="56"/>
      <c r="O39" s="55"/>
      <c r="P39" s="27"/>
    </row>
    <row r="40" spans="1:16" s="53" customFormat="1" ht="16.8" x14ac:dyDescent="0.25">
      <c r="A40" s="31"/>
      <c r="B40" s="69" t="s">
        <v>93</v>
      </c>
      <c r="C40" s="30"/>
      <c r="D40" s="93">
        <v>0</v>
      </c>
      <c r="E40" s="33" t="str">
        <f>HYPERLINK(اضافات!N40)</f>
        <v>0</v>
      </c>
      <c r="F40" s="33" t="str">
        <f>HYPERLINK(اضافات!M40)</f>
        <v>0</v>
      </c>
      <c r="G40" s="33" t="str">
        <f>HYPERLINK(اضافات!F40)</f>
        <v>0</v>
      </c>
      <c r="H40" s="33" t="str">
        <f>HYPERLINK(اضافات!O40)</f>
        <v>0</v>
      </c>
      <c r="I40" s="91" t="str">
        <f>HYPERLINK(خصومات!L40)</f>
        <v>0</v>
      </c>
      <c r="J40" s="24">
        <f t="shared" si="0"/>
        <v>0</v>
      </c>
      <c r="K40" s="24">
        <f t="shared" si="1"/>
        <v>0</v>
      </c>
      <c r="L40" s="32"/>
      <c r="M40" s="28"/>
      <c r="N40" s="56"/>
      <c r="O40" s="55"/>
      <c r="P40" s="27"/>
    </row>
    <row r="41" spans="1:16" s="53" customFormat="1" ht="16.8" x14ac:dyDescent="0.25">
      <c r="A41" s="31"/>
      <c r="B41" s="69" t="s">
        <v>93</v>
      </c>
      <c r="C41" s="30"/>
      <c r="D41" s="93">
        <v>0</v>
      </c>
      <c r="E41" s="33" t="str">
        <f>HYPERLINK(اضافات!N41)</f>
        <v>0</v>
      </c>
      <c r="F41" s="33" t="str">
        <f>HYPERLINK(اضافات!M41)</f>
        <v>0</v>
      </c>
      <c r="G41" s="33" t="str">
        <f>HYPERLINK(اضافات!F41)</f>
        <v>0</v>
      </c>
      <c r="H41" s="33" t="str">
        <f>HYPERLINK(اضافات!O41)</f>
        <v>0</v>
      </c>
      <c r="I41" s="91" t="str">
        <f>HYPERLINK(خصومات!L41)</f>
        <v>0</v>
      </c>
      <c r="J41" s="24">
        <f t="shared" si="0"/>
        <v>0</v>
      </c>
      <c r="K41" s="24">
        <f t="shared" si="1"/>
        <v>0</v>
      </c>
      <c r="L41" s="32"/>
      <c r="M41" s="28"/>
      <c r="N41" s="56"/>
      <c r="O41" s="55"/>
      <c r="P41" s="27"/>
    </row>
    <row r="42" spans="1:16" s="53" customFormat="1" ht="16.8" x14ac:dyDescent="0.25">
      <c r="A42" s="31"/>
      <c r="B42" s="69" t="s">
        <v>93</v>
      </c>
      <c r="C42" s="30"/>
      <c r="D42" s="93">
        <v>0</v>
      </c>
      <c r="E42" s="33" t="str">
        <f>HYPERLINK(اضافات!N42)</f>
        <v>0</v>
      </c>
      <c r="F42" s="33" t="str">
        <f>HYPERLINK(اضافات!M42)</f>
        <v>0</v>
      </c>
      <c r="G42" s="33" t="str">
        <f>HYPERLINK(اضافات!F42)</f>
        <v>0</v>
      </c>
      <c r="H42" s="33" t="str">
        <f>HYPERLINK(اضافات!O42)</f>
        <v>0</v>
      </c>
      <c r="I42" s="91" t="str">
        <f>HYPERLINK(خصومات!L42)</f>
        <v>0</v>
      </c>
      <c r="J42" s="24">
        <f t="shared" si="0"/>
        <v>0</v>
      </c>
      <c r="K42" s="24">
        <f t="shared" si="1"/>
        <v>0</v>
      </c>
      <c r="L42" s="32"/>
      <c r="M42" s="28"/>
      <c r="N42" s="56"/>
      <c r="O42" s="55"/>
      <c r="P42" s="27"/>
    </row>
    <row r="43" spans="1:16" s="53" customFormat="1" ht="16.8" x14ac:dyDescent="0.25">
      <c r="A43" s="31"/>
      <c r="B43" s="69" t="s">
        <v>93</v>
      </c>
      <c r="C43" s="30"/>
      <c r="D43" s="93">
        <v>0</v>
      </c>
      <c r="E43" s="33" t="str">
        <f>HYPERLINK(اضافات!N43)</f>
        <v>0</v>
      </c>
      <c r="F43" s="33" t="str">
        <f>HYPERLINK(اضافات!M43)</f>
        <v>0</v>
      </c>
      <c r="G43" s="33" t="str">
        <f>HYPERLINK(اضافات!F43)</f>
        <v>0</v>
      </c>
      <c r="H43" s="33" t="str">
        <f>HYPERLINK(اضافات!O43)</f>
        <v>0</v>
      </c>
      <c r="I43" s="91" t="str">
        <f>HYPERLINK(خصومات!L43)</f>
        <v>0</v>
      </c>
      <c r="J43" s="24">
        <f t="shared" si="0"/>
        <v>0</v>
      </c>
      <c r="K43" s="24">
        <f t="shared" si="1"/>
        <v>0</v>
      </c>
      <c r="L43" s="32"/>
      <c r="M43" s="28"/>
      <c r="N43" s="56"/>
      <c r="O43" s="55"/>
      <c r="P43" s="27"/>
    </row>
    <row r="44" spans="1:16" s="53" customFormat="1" ht="16.8" x14ac:dyDescent="0.25">
      <c r="A44" s="31"/>
      <c r="B44" s="69" t="s">
        <v>93</v>
      </c>
      <c r="C44" s="30"/>
      <c r="D44" s="93">
        <v>0</v>
      </c>
      <c r="E44" s="33" t="str">
        <f>HYPERLINK(اضافات!N44)</f>
        <v>0</v>
      </c>
      <c r="F44" s="33" t="str">
        <f>HYPERLINK(اضافات!M44)</f>
        <v>0</v>
      </c>
      <c r="G44" s="33" t="str">
        <f>HYPERLINK(اضافات!F44)</f>
        <v>0</v>
      </c>
      <c r="H44" s="33" t="str">
        <f>HYPERLINK(اضافات!O44)</f>
        <v>0</v>
      </c>
      <c r="I44" s="91" t="str">
        <f>HYPERLINK(خصومات!L44)</f>
        <v>0</v>
      </c>
      <c r="J44" s="24">
        <f t="shared" si="0"/>
        <v>0</v>
      </c>
      <c r="K44" s="24">
        <f t="shared" si="1"/>
        <v>0</v>
      </c>
      <c r="L44" s="32"/>
      <c r="M44" s="28"/>
      <c r="N44" s="56"/>
      <c r="O44" s="55"/>
      <c r="P44" s="27"/>
    </row>
    <row r="45" spans="1:16" s="53" customFormat="1" ht="16.8" x14ac:dyDescent="0.25">
      <c r="A45" s="31">
        <v>13</v>
      </c>
      <c r="B45" s="69" t="s">
        <v>136</v>
      </c>
      <c r="C45" s="30"/>
      <c r="D45" s="93">
        <v>7500</v>
      </c>
      <c r="E45" s="33" t="str">
        <f>HYPERLINK(اضافات!N45)</f>
        <v>1000</v>
      </c>
      <c r="F45" s="33" t="str">
        <f>HYPERLINK(اضافات!M45)</f>
        <v>0</v>
      </c>
      <c r="G45" s="33" t="str">
        <f>HYPERLINK(اضافات!F45)</f>
        <v>0</v>
      </c>
      <c r="H45" s="33" t="str">
        <f>HYPERLINK(اضافات!O45)</f>
        <v>0</v>
      </c>
      <c r="I45" s="91" t="str">
        <f>HYPERLINK(خصومات!L45)</f>
        <v>0</v>
      </c>
      <c r="J45" s="24">
        <f t="shared" si="0"/>
        <v>8500</v>
      </c>
      <c r="K45" s="24">
        <f t="shared" si="1"/>
        <v>7500</v>
      </c>
      <c r="L45" s="32"/>
      <c r="M45" s="28"/>
      <c r="N45" s="56"/>
      <c r="O45" s="55"/>
      <c r="P45" s="27"/>
    </row>
    <row r="46" spans="1:16" s="53" customFormat="1" ht="16.8" x14ac:dyDescent="0.25">
      <c r="A46" s="31">
        <v>14</v>
      </c>
      <c r="B46" s="69" t="s">
        <v>139</v>
      </c>
      <c r="C46" s="30"/>
      <c r="D46" s="93">
        <v>7000</v>
      </c>
      <c r="E46" s="33" t="str">
        <f>HYPERLINK(اضافات!N46)</f>
        <v>668</v>
      </c>
      <c r="F46" s="33" t="str">
        <f>HYPERLINK(اضافات!M46)</f>
        <v>0</v>
      </c>
      <c r="G46" s="33" t="str">
        <f>HYPERLINK(اضافات!F46)</f>
        <v>0</v>
      </c>
      <c r="H46" s="33" t="str">
        <f>HYPERLINK(اضافات!O46)</f>
        <v>0</v>
      </c>
      <c r="I46" s="91" t="str">
        <f>HYPERLINK(خصومات!L46)</f>
        <v>1750</v>
      </c>
      <c r="J46" s="24">
        <f t="shared" si="0"/>
        <v>7668</v>
      </c>
      <c r="K46" s="24">
        <f t="shared" si="1"/>
        <v>5250</v>
      </c>
      <c r="L46" s="32"/>
      <c r="M46" s="28"/>
      <c r="N46" s="56"/>
      <c r="O46" s="55"/>
      <c r="P46" s="27"/>
    </row>
    <row r="47" spans="1:16" s="53" customFormat="1" ht="16.8" x14ac:dyDescent="0.25">
      <c r="A47" s="31">
        <v>15</v>
      </c>
      <c r="B47" s="69" t="s">
        <v>144</v>
      </c>
      <c r="C47" s="30"/>
      <c r="D47" s="93">
        <v>7000</v>
      </c>
      <c r="E47" s="33" t="str">
        <f>HYPERLINK(اضافات!N47)</f>
        <v>0</v>
      </c>
      <c r="F47" s="33" t="str">
        <f>HYPERLINK(اضافات!M47)</f>
        <v>0</v>
      </c>
      <c r="G47" s="33" t="str">
        <f>HYPERLINK(اضافات!F47)</f>
        <v>0</v>
      </c>
      <c r="H47" s="33" t="str">
        <f>HYPERLINK(اضافات!O47)</f>
        <v>0</v>
      </c>
      <c r="I47" s="91" t="str">
        <f>HYPERLINK(خصومات!L47)</f>
        <v>0</v>
      </c>
      <c r="J47" s="24">
        <f t="shared" si="0"/>
        <v>7000</v>
      </c>
      <c r="K47" s="24">
        <f t="shared" si="1"/>
        <v>7000</v>
      </c>
      <c r="L47" s="32"/>
      <c r="M47" s="28"/>
      <c r="N47" s="56"/>
      <c r="O47" s="55"/>
      <c r="P47" s="27"/>
    </row>
    <row r="48" spans="1:16" s="53" customFormat="1" x14ac:dyDescent="0.25">
      <c r="A48" s="31">
        <v>16</v>
      </c>
      <c r="B48" s="153" t="s">
        <v>145</v>
      </c>
      <c r="C48" s="30"/>
      <c r="D48" s="93">
        <v>7000</v>
      </c>
      <c r="E48" s="33" t="str">
        <f>HYPERLINK(اضافات!N48)</f>
        <v>0</v>
      </c>
      <c r="F48" s="33" t="str">
        <f>HYPERLINK(اضافات!M48)</f>
        <v>0</v>
      </c>
      <c r="G48" s="33" t="str">
        <f>HYPERLINK(اضافات!F48)</f>
        <v>0</v>
      </c>
      <c r="H48" s="33" t="str">
        <f>HYPERLINK(اضافات!O48)</f>
        <v>0</v>
      </c>
      <c r="I48" s="91" t="str">
        <f>HYPERLINK(خصومات!L48)</f>
        <v>0</v>
      </c>
      <c r="J48" s="24">
        <f t="shared" si="0"/>
        <v>7000</v>
      </c>
      <c r="K48" s="24">
        <f t="shared" si="1"/>
        <v>7000</v>
      </c>
      <c r="L48" s="32"/>
      <c r="M48" s="28"/>
      <c r="N48" s="56"/>
      <c r="O48" s="55"/>
      <c r="P48" s="27"/>
    </row>
    <row r="49" spans="1:16" s="53" customFormat="1" ht="16.8" x14ac:dyDescent="0.25">
      <c r="A49" s="31"/>
      <c r="B49" s="69" t="s">
        <v>93</v>
      </c>
      <c r="C49" s="30"/>
      <c r="D49" s="93">
        <v>0</v>
      </c>
      <c r="E49" s="33" t="str">
        <f>HYPERLINK(اضافات!N49)</f>
        <v>0</v>
      </c>
      <c r="F49" s="33" t="str">
        <f>HYPERLINK(اضافات!M49)</f>
        <v>0</v>
      </c>
      <c r="G49" s="33" t="str">
        <f>HYPERLINK(اضافات!F49)</f>
        <v>0</v>
      </c>
      <c r="H49" s="33" t="str">
        <f>HYPERLINK(اضافات!O49)</f>
        <v>0</v>
      </c>
      <c r="I49" s="91" t="str">
        <f>HYPERLINK(خصومات!L49)</f>
        <v>0</v>
      </c>
      <c r="J49" s="24">
        <f t="shared" si="0"/>
        <v>0</v>
      </c>
      <c r="K49" s="24">
        <f t="shared" si="1"/>
        <v>0</v>
      </c>
      <c r="L49" s="32"/>
      <c r="M49" s="28"/>
      <c r="N49" s="56"/>
      <c r="O49" s="55"/>
      <c r="P49" s="27"/>
    </row>
    <row r="50" spans="1:16" s="53" customFormat="1" ht="16.8" x14ac:dyDescent="0.25">
      <c r="A50" s="31"/>
      <c r="B50" s="69" t="s">
        <v>93</v>
      </c>
      <c r="C50" s="30"/>
      <c r="D50" s="93">
        <v>0</v>
      </c>
      <c r="E50" s="33" t="str">
        <f>HYPERLINK(اضافات!N50)</f>
        <v>0</v>
      </c>
      <c r="F50" s="33" t="str">
        <f>HYPERLINK(اضافات!M50)</f>
        <v>0</v>
      </c>
      <c r="G50" s="33" t="str">
        <f>HYPERLINK(اضافات!F50)</f>
        <v>0</v>
      </c>
      <c r="H50" s="33" t="str">
        <f>HYPERLINK(اضافات!O50)</f>
        <v>0</v>
      </c>
      <c r="I50" s="91" t="str">
        <f>HYPERLINK(خصومات!L50)</f>
        <v>0</v>
      </c>
      <c r="J50" s="24">
        <f t="shared" si="0"/>
        <v>0</v>
      </c>
      <c r="K50" s="24">
        <f t="shared" si="1"/>
        <v>0</v>
      </c>
      <c r="L50" s="32"/>
      <c r="M50" s="28"/>
      <c r="N50" s="56"/>
      <c r="O50" s="55"/>
      <c r="P50" s="27"/>
    </row>
    <row r="51" spans="1:16" s="53" customFormat="1" ht="16.8" x14ac:dyDescent="0.25">
      <c r="A51" s="31"/>
      <c r="B51" s="69" t="s">
        <v>93</v>
      </c>
      <c r="C51" s="30"/>
      <c r="D51" s="93">
        <v>0</v>
      </c>
      <c r="E51" s="33" t="str">
        <f>HYPERLINK(اضافات!N51)</f>
        <v>0</v>
      </c>
      <c r="F51" s="33" t="str">
        <f>HYPERLINK(اضافات!M51)</f>
        <v>0</v>
      </c>
      <c r="G51" s="33" t="str">
        <f>HYPERLINK(اضافات!F51)</f>
        <v>0</v>
      </c>
      <c r="H51" s="33" t="str">
        <f>HYPERLINK(اضافات!O51)</f>
        <v>0</v>
      </c>
      <c r="I51" s="91" t="str">
        <f>HYPERLINK(خصومات!L51)</f>
        <v>0</v>
      </c>
      <c r="J51" s="24">
        <f t="shared" si="0"/>
        <v>0</v>
      </c>
      <c r="K51" s="24">
        <f t="shared" si="1"/>
        <v>0</v>
      </c>
      <c r="L51" s="32"/>
      <c r="M51" s="28"/>
      <c r="N51" s="56"/>
      <c r="O51" s="55"/>
      <c r="P51" s="27"/>
    </row>
    <row r="52" spans="1:16" s="53" customFormat="1" ht="16.8" x14ac:dyDescent="0.25">
      <c r="A52" s="31"/>
      <c r="B52" s="69" t="s">
        <v>93</v>
      </c>
      <c r="C52" s="30"/>
      <c r="D52" s="93">
        <v>0</v>
      </c>
      <c r="E52" s="33" t="str">
        <f>HYPERLINK(اضافات!N52)</f>
        <v>0</v>
      </c>
      <c r="F52" s="33" t="str">
        <f>HYPERLINK(اضافات!M52)</f>
        <v>0</v>
      </c>
      <c r="G52" s="33" t="str">
        <f>HYPERLINK(اضافات!F52)</f>
        <v>0</v>
      </c>
      <c r="H52" s="33" t="str">
        <f>HYPERLINK(اضافات!O52)</f>
        <v>0</v>
      </c>
      <c r="I52" s="91" t="str">
        <f>HYPERLINK(خصومات!L52)</f>
        <v>0</v>
      </c>
      <c r="J52" s="24">
        <f t="shared" si="0"/>
        <v>0</v>
      </c>
      <c r="K52" s="24">
        <f t="shared" si="1"/>
        <v>0</v>
      </c>
      <c r="L52" s="32"/>
      <c r="M52" s="28"/>
      <c r="N52" s="56"/>
      <c r="O52" s="55"/>
      <c r="P52" s="27"/>
    </row>
    <row r="53" spans="1:16" s="53" customFormat="1" ht="16.8" x14ac:dyDescent="0.25">
      <c r="A53" s="31"/>
      <c r="B53" s="69" t="s">
        <v>93</v>
      </c>
      <c r="C53" s="30"/>
      <c r="D53" s="93">
        <v>0</v>
      </c>
      <c r="E53" s="33" t="str">
        <f>HYPERLINK(اضافات!N53)</f>
        <v>0</v>
      </c>
      <c r="F53" s="33" t="str">
        <f>HYPERLINK(اضافات!M53)</f>
        <v>0</v>
      </c>
      <c r="G53" s="33" t="str">
        <f>HYPERLINK(اضافات!F53)</f>
        <v>0</v>
      </c>
      <c r="H53" s="33" t="str">
        <f>HYPERLINK(اضافات!O53)</f>
        <v>0</v>
      </c>
      <c r="I53" s="91" t="str">
        <f>HYPERLINK(خصومات!L53)</f>
        <v>0</v>
      </c>
      <c r="J53" s="24">
        <f t="shared" si="0"/>
        <v>0</v>
      </c>
      <c r="K53" s="24">
        <f t="shared" si="1"/>
        <v>0</v>
      </c>
      <c r="L53" s="32"/>
      <c r="M53" s="28"/>
      <c r="N53" s="56"/>
      <c r="O53" s="55"/>
      <c r="P53" s="27"/>
    </row>
    <row r="54" spans="1:16" s="53" customFormat="1" ht="16.8" x14ac:dyDescent="0.25">
      <c r="A54" s="31"/>
      <c r="B54" s="69" t="s">
        <v>93</v>
      </c>
      <c r="C54" s="30"/>
      <c r="D54" s="93">
        <v>0</v>
      </c>
      <c r="E54" s="33" t="str">
        <f>HYPERLINK(اضافات!N54)</f>
        <v>0</v>
      </c>
      <c r="F54" s="33" t="str">
        <f>HYPERLINK(اضافات!M54)</f>
        <v>0</v>
      </c>
      <c r="G54" s="33" t="str">
        <f>HYPERLINK(اضافات!F54)</f>
        <v>0</v>
      </c>
      <c r="H54" s="33" t="str">
        <f>HYPERLINK(اضافات!O54)</f>
        <v>0</v>
      </c>
      <c r="I54" s="91" t="str">
        <f>HYPERLINK(خصومات!L54)</f>
        <v>0</v>
      </c>
      <c r="J54" s="24">
        <f t="shared" si="0"/>
        <v>0</v>
      </c>
      <c r="K54" s="24">
        <f t="shared" si="1"/>
        <v>0</v>
      </c>
      <c r="L54" s="32"/>
      <c r="M54" s="28"/>
      <c r="N54" s="56"/>
      <c r="O54" s="55"/>
      <c r="P54" s="27"/>
    </row>
    <row r="55" spans="1:16" s="53" customFormat="1" ht="16.8" x14ac:dyDescent="0.25">
      <c r="A55" s="31"/>
      <c r="B55" s="69" t="s">
        <v>93</v>
      </c>
      <c r="C55" s="30"/>
      <c r="D55" s="93">
        <v>0</v>
      </c>
      <c r="E55" s="33" t="str">
        <f>HYPERLINK(اضافات!N55)</f>
        <v>0</v>
      </c>
      <c r="F55" s="33" t="str">
        <f>HYPERLINK(اضافات!M55)</f>
        <v>0</v>
      </c>
      <c r="G55" s="33" t="str">
        <f>HYPERLINK(اضافات!F55)</f>
        <v>0</v>
      </c>
      <c r="H55" s="33" t="str">
        <f>HYPERLINK(اضافات!O55)</f>
        <v>0</v>
      </c>
      <c r="I55" s="91" t="str">
        <f>HYPERLINK(خصومات!L55)</f>
        <v>0</v>
      </c>
      <c r="J55" s="24">
        <f t="shared" si="0"/>
        <v>0</v>
      </c>
      <c r="K55" s="24">
        <f t="shared" si="1"/>
        <v>0</v>
      </c>
      <c r="L55" s="32"/>
      <c r="M55" s="28"/>
      <c r="N55" s="56"/>
      <c r="O55" s="55"/>
      <c r="P55" s="27"/>
    </row>
    <row r="56" spans="1:16" ht="16.8" x14ac:dyDescent="0.25">
      <c r="A56" s="116">
        <v>16</v>
      </c>
      <c r="B56" s="117" t="s">
        <v>90</v>
      </c>
      <c r="C56" s="118"/>
      <c r="D56" s="119"/>
      <c r="E56" s="120"/>
      <c r="F56" s="120"/>
      <c r="G56" s="120"/>
      <c r="H56" s="120"/>
      <c r="I56" s="121"/>
      <c r="J56" s="122"/>
      <c r="K56" s="122"/>
      <c r="L56" s="123">
        <f>SUM(K19:K55)</f>
        <v>477296.16000000003</v>
      </c>
      <c r="M56" s="124"/>
      <c r="N56" s="125"/>
      <c r="O56" s="126"/>
      <c r="P56" s="127"/>
    </row>
    <row r="57" spans="1:16" ht="16.8" x14ac:dyDescent="0.25">
      <c r="A57" s="31">
        <v>1</v>
      </c>
      <c r="B57" s="69" t="s">
        <v>74</v>
      </c>
      <c r="C57" s="25"/>
      <c r="D57" s="93">
        <v>85000</v>
      </c>
      <c r="E57" s="33" t="str">
        <f>HYPERLINK(اضافات!N57)</f>
        <v>24969.5</v>
      </c>
      <c r="F57" s="33" t="str">
        <f>HYPERLINK(اضافات!M57)</f>
        <v>1900</v>
      </c>
      <c r="G57" s="33" t="str">
        <f>HYPERLINK(اضافات!F57)</f>
        <v>0</v>
      </c>
      <c r="H57" s="33" t="str">
        <f>HYPERLINK(اضافات!O57)</f>
        <v>0</v>
      </c>
      <c r="I57" s="91" t="str">
        <f>HYPERLINK(خصومات!L57)</f>
        <v>0</v>
      </c>
      <c r="J57" s="24">
        <f t="shared" si="0"/>
        <v>111869.5</v>
      </c>
      <c r="K57" s="24">
        <f t="shared" si="1"/>
        <v>85000</v>
      </c>
      <c r="L57" s="26"/>
      <c r="M57" s="28"/>
      <c r="N57" s="56"/>
      <c r="O57" s="55"/>
      <c r="P57" s="27"/>
    </row>
    <row r="58" spans="1:16" ht="16.8" x14ac:dyDescent="0.25">
      <c r="A58" s="31"/>
      <c r="B58" s="69" t="s">
        <v>107</v>
      </c>
      <c r="C58" s="25"/>
      <c r="D58" s="93">
        <v>0</v>
      </c>
      <c r="E58" s="33" t="str">
        <f>HYPERLINK(اضافات!N58)</f>
        <v>0</v>
      </c>
      <c r="F58" s="33" t="str">
        <f>HYPERLINK(اضافات!M58)</f>
        <v>0</v>
      </c>
      <c r="G58" s="33" t="str">
        <f>HYPERLINK(اضافات!F58)</f>
        <v>0</v>
      </c>
      <c r="H58" s="33" t="str">
        <f>HYPERLINK(اضافات!O58)</f>
        <v>0</v>
      </c>
      <c r="I58" s="91" t="str">
        <f>HYPERLINK(خصومات!L58)</f>
        <v>0</v>
      </c>
      <c r="J58" s="24">
        <f t="shared" si="0"/>
        <v>0</v>
      </c>
      <c r="K58" s="24">
        <f t="shared" si="1"/>
        <v>0</v>
      </c>
      <c r="L58" s="26"/>
      <c r="M58" s="28"/>
      <c r="N58" s="56"/>
      <c r="O58" s="55"/>
      <c r="P58" s="27"/>
    </row>
    <row r="59" spans="1:16" ht="16.8" x14ac:dyDescent="0.25">
      <c r="A59" s="31"/>
      <c r="B59" s="69" t="s">
        <v>107</v>
      </c>
      <c r="C59" s="25"/>
      <c r="D59" s="93">
        <v>0</v>
      </c>
      <c r="E59" s="33" t="str">
        <f>HYPERLINK(اضافات!N59)</f>
        <v>0</v>
      </c>
      <c r="F59" s="33" t="str">
        <f>HYPERLINK(اضافات!M59)</f>
        <v>0</v>
      </c>
      <c r="G59" s="33" t="str">
        <f>HYPERLINK(اضافات!F59)</f>
        <v>0</v>
      </c>
      <c r="H59" s="33" t="str">
        <f>HYPERLINK(اضافات!O59)</f>
        <v>0</v>
      </c>
      <c r="I59" s="91" t="str">
        <f>HYPERLINK(خصومات!L59)</f>
        <v>0</v>
      </c>
      <c r="J59" s="24">
        <f t="shared" si="0"/>
        <v>0</v>
      </c>
      <c r="K59" s="24">
        <f t="shared" si="1"/>
        <v>0</v>
      </c>
      <c r="L59" s="26"/>
      <c r="M59" s="28"/>
      <c r="N59" s="56"/>
      <c r="O59" s="55"/>
      <c r="P59" s="27"/>
    </row>
    <row r="60" spans="1:16" ht="16.8" x14ac:dyDescent="0.25">
      <c r="A60" s="31"/>
      <c r="B60" s="69" t="s">
        <v>107</v>
      </c>
      <c r="C60" s="25"/>
      <c r="D60" s="93">
        <v>0</v>
      </c>
      <c r="E60" s="33" t="str">
        <f>HYPERLINK(اضافات!N60)</f>
        <v>0</v>
      </c>
      <c r="F60" s="33" t="str">
        <f>HYPERLINK(اضافات!M60)</f>
        <v>0</v>
      </c>
      <c r="G60" s="33" t="str">
        <f>HYPERLINK(اضافات!F60)</f>
        <v>0</v>
      </c>
      <c r="H60" s="33" t="str">
        <f>HYPERLINK(اضافات!O60)</f>
        <v>0</v>
      </c>
      <c r="I60" s="91" t="str">
        <f>HYPERLINK(خصومات!L60)</f>
        <v>0</v>
      </c>
      <c r="J60" s="24">
        <f t="shared" si="0"/>
        <v>0</v>
      </c>
      <c r="K60" s="24">
        <f t="shared" si="1"/>
        <v>0</v>
      </c>
      <c r="L60" s="26"/>
      <c r="M60" s="28"/>
      <c r="N60" s="56"/>
      <c r="O60" s="55"/>
      <c r="P60" s="27"/>
    </row>
    <row r="61" spans="1:16" ht="16.8" x14ac:dyDescent="0.25">
      <c r="A61" s="31"/>
      <c r="B61" s="69" t="s">
        <v>107</v>
      </c>
      <c r="C61" s="25"/>
      <c r="D61" s="93">
        <v>0</v>
      </c>
      <c r="E61" s="33" t="str">
        <f>HYPERLINK(اضافات!N61)</f>
        <v>0</v>
      </c>
      <c r="F61" s="33" t="str">
        <f>HYPERLINK(اضافات!M61)</f>
        <v>0</v>
      </c>
      <c r="G61" s="33" t="str">
        <f>HYPERLINK(اضافات!F61)</f>
        <v>0</v>
      </c>
      <c r="H61" s="33" t="str">
        <f>HYPERLINK(اضافات!O61)</f>
        <v>0</v>
      </c>
      <c r="I61" s="91" t="str">
        <f>HYPERLINK(خصومات!L61)</f>
        <v>0</v>
      </c>
      <c r="J61" s="24">
        <f t="shared" si="0"/>
        <v>0</v>
      </c>
      <c r="K61" s="24">
        <f t="shared" si="1"/>
        <v>0</v>
      </c>
      <c r="L61" s="26"/>
      <c r="M61" s="28"/>
      <c r="N61" s="56"/>
      <c r="O61" s="55"/>
      <c r="P61" s="27"/>
    </row>
    <row r="62" spans="1:16" customFormat="1" ht="16.8" x14ac:dyDescent="0.25">
      <c r="A62" s="83">
        <v>2</v>
      </c>
      <c r="B62" s="69" t="s">
        <v>73</v>
      </c>
      <c r="C62" s="3"/>
      <c r="D62" s="93">
        <v>30375</v>
      </c>
      <c r="E62" s="84" t="str">
        <f>HYPERLINK(اضافات!N62)</f>
        <v>9429.5</v>
      </c>
      <c r="F62" s="84" t="str">
        <f>HYPERLINK(اضافات!M62)</f>
        <v>1550</v>
      </c>
      <c r="G62" s="84" t="str">
        <f>HYPERLINK(اضافات!F62)</f>
        <v>0</v>
      </c>
      <c r="H62" s="84" t="str">
        <f>HYPERLINK(اضافات!O62)</f>
        <v>0</v>
      </c>
      <c r="I62" s="91" t="str">
        <f>HYPERLINK(خصومات!L62)</f>
        <v>551.75</v>
      </c>
      <c r="J62" s="24">
        <f t="shared" si="0"/>
        <v>41354.5</v>
      </c>
      <c r="K62" s="24">
        <f t="shared" si="1"/>
        <v>29823.25</v>
      </c>
      <c r="L62" s="85"/>
      <c r="M62" s="10"/>
      <c r="N62" s="86"/>
      <c r="O62" s="87"/>
      <c r="P62" s="4"/>
    </row>
    <row r="63" spans="1:16" ht="16.8" x14ac:dyDescent="0.25">
      <c r="A63" s="31">
        <v>3</v>
      </c>
      <c r="B63" s="69" t="s">
        <v>81</v>
      </c>
      <c r="C63" s="25"/>
      <c r="D63" s="93">
        <v>30000</v>
      </c>
      <c r="E63" s="33" t="str">
        <f>HYPERLINK(اضافات!N63)</f>
        <v>8689.5</v>
      </c>
      <c r="F63" s="33" t="str">
        <f>HYPERLINK(اضافات!M63)</f>
        <v>1400</v>
      </c>
      <c r="G63" s="33" t="str">
        <f>HYPERLINK(اضافات!F63)</f>
        <v>0</v>
      </c>
      <c r="H63" s="33" t="str">
        <f>HYPERLINK(اضافات!O63)</f>
        <v>0</v>
      </c>
      <c r="I63" s="91" t="str">
        <f>HYPERLINK(خصومات!L63)</f>
        <v>995.5</v>
      </c>
      <c r="J63" s="24">
        <f t="shared" si="0"/>
        <v>40089.5</v>
      </c>
      <c r="K63" s="24">
        <f t="shared" si="1"/>
        <v>29004.5</v>
      </c>
      <c r="L63" s="26"/>
      <c r="M63" s="28"/>
      <c r="N63" s="56"/>
      <c r="O63" s="55"/>
      <c r="P63" s="27"/>
    </row>
    <row r="64" spans="1:16" ht="16.8" x14ac:dyDescent="0.25">
      <c r="A64" s="31">
        <v>4</v>
      </c>
      <c r="B64" s="69" t="s">
        <v>85</v>
      </c>
      <c r="C64" s="25"/>
      <c r="D64" s="93">
        <v>22400</v>
      </c>
      <c r="E64" s="33" t="str">
        <f>HYPERLINK(اضافات!N64)</f>
        <v>7681.5</v>
      </c>
      <c r="F64" s="33" t="str">
        <f>HYPERLINK(اضافات!M64)</f>
        <v>1400</v>
      </c>
      <c r="G64" s="33" t="str">
        <f>HYPERLINK(اضافات!F64)</f>
        <v>0</v>
      </c>
      <c r="H64" s="33" t="str">
        <f>HYPERLINK(اضافات!O64)</f>
        <v>0</v>
      </c>
      <c r="I64" s="91" t="str">
        <f>HYPERLINK(خصومات!L64)</f>
        <v>0</v>
      </c>
      <c r="J64" s="24">
        <f t="shared" si="0"/>
        <v>31481.5</v>
      </c>
      <c r="K64" s="24">
        <f t="shared" si="1"/>
        <v>22400</v>
      </c>
      <c r="L64" s="26"/>
      <c r="M64" s="28"/>
      <c r="N64" s="56"/>
      <c r="O64" s="55"/>
      <c r="P64" s="27"/>
    </row>
    <row r="65" spans="1:16" ht="16.8" x14ac:dyDescent="0.25">
      <c r="A65" s="31"/>
      <c r="B65" s="69" t="s">
        <v>106</v>
      </c>
      <c r="C65" s="25"/>
      <c r="D65" s="93">
        <v>0</v>
      </c>
      <c r="E65" s="33" t="str">
        <f>HYPERLINK(اضافات!N65)</f>
        <v>0</v>
      </c>
      <c r="F65" s="33" t="str">
        <f>HYPERLINK(اضافات!M65)</f>
        <v>0</v>
      </c>
      <c r="G65" s="33" t="str">
        <f>HYPERLINK(اضافات!F65)</f>
        <v>0</v>
      </c>
      <c r="H65" s="33" t="str">
        <f>HYPERLINK(اضافات!O65)</f>
        <v>0</v>
      </c>
      <c r="I65" s="91" t="str">
        <f>HYPERLINK(خصومات!L65)</f>
        <v>0</v>
      </c>
      <c r="J65" s="24">
        <f t="shared" si="0"/>
        <v>0</v>
      </c>
      <c r="K65" s="24">
        <f t="shared" si="1"/>
        <v>0</v>
      </c>
      <c r="L65" s="26"/>
      <c r="M65" s="28"/>
      <c r="N65" s="56"/>
      <c r="O65" s="55"/>
      <c r="P65" s="27"/>
    </row>
    <row r="66" spans="1:16" ht="16.8" x14ac:dyDescent="0.25">
      <c r="A66" s="31"/>
      <c r="B66" s="69" t="s">
        <v>106</v>
      </c>
      <c r="C66" s="25"/>
      <c r="D66" s="93">
        <v>0</v>
      </c>
      <c r="E66" s="33" t="str">
        <f>HYPERLINK(اضافات!N66)</f>
        <v>0</v>
      </c>
      <c r="F66" s="33" t="str">
        <f>HYPERLINK(اضافات!M66)</f>
        <v>0</v>
      </c>
      <c r="G66" s="33" t="str">
        <f>HYPERLINK(اضافات!F66)</f>
        <v>0</v>
      </c>
      <c r="H66" s="33" t="str">
        <f>HYPERLINK(اضافات!O66)</f>
        <v>0</v>
      </c>
      <c r="I66" s="91" t="str">
        <f>HYPERLINK(خصومات!L66)</f>
        <v>0</v>
      </c>
      <c r="J66" s="24">
        <f t="shared" si="0"/>
        <v>0</v>
      </c>
      <c r="K66" s="24">
        <f t="shared" si="1"/>
        <v>0</v>
      </c>
      <c r="L66" s="26"/>
      <c r="M66" s="28"/>
      <c r="N66" s="56"/>
      <c r="O66" s="55"/>
      <c r="P66" s="27"/>
    </row>
    <row r="67" spans="1:16" ht="16.8" x14ac:dyDescent="0.25">
      <c r="A67" s="31"/>
      <c r="B67" s="69" t="s">
        <v>106</v>
      </c>
      <c r="C67" s="25"/>
      <c r="D67" s="93">
        <v>0</v>
      </c>
      <c r="E67" s="33" t="str">
        <f>HYPERLINK(اضافات!N67)</f>
        <v>0</v>
      </c>
      <c r="F67" s="33" t="str">
        <f>HYPERLINK(اضافات!M67)</f>
        <v>0</v>
      </c>
      <c r="G67" s="33" t="str">
        <f>HYPERLINK(اضافات!F67)</f>
        <v>0</v>
      </c>
      <c r="H67" s="33" t="str">
        <f>HYPERLINK(اضافات!O67)</f>
        <v>0</v>
      </c>
      <c r="I67" s="91" t="str">
        <f>HYPERLINK(خصومات!L67)</f>
        <v>0</v>
      </c>
      <c r="J67" s="24">
        <f t="shared" si="0"/>
        <v>0</v>
      </c>
      <c r="K67" s="24">
        <f t="shared" si="1"/>
        <v>0</v>
      </c>
      <c r="L67" s="26"/>
      <c r="M67" s="28"/>
      <c r="N67" s="56"/>
      <c r="O67" s="55"/>
      <c r="P67" s="27"/>
    </row>
    <row r="68" spans="1:16" s="50" customFormat="1" ht="16.8" x14ac:dyDescent="0.25">
      <c r="A68" s="31">
        <v>0</v>
      </c>
      <c r="B68" s="69" t="s">
        <v>146</v>
      </c>
      <c r="C68" s="25"/>
      <c r="D68" s="93">
        <v>0</v>
      </c>
      <c r="E68" s="33" t="str">
        <f>HYPERLINK(اضافات!N68)</f>
        <v>0</v>
      </c>
      <c r="F68" s="33" t="str">
        <f>HYPERLINK(اضافات!M68)</f>
        <v>0</v>
      </c>
      <c r="G68" s="33" t="str">
        <f>HYPERLINK(اضافات!F68)</f>
        <v>0</v>
      </c>
      <c r="H68" s="33" t="str">
        <f>HYPERLINK(اضافات!O68)</f>
        <v>0</v>
      </c>
      <c r="I68" s="91" t="str">
        <f>HYPERLINK(خصومات!L68)</f>
        <v>0</v>
      </c>
      <c r="J68" s="24">
        <f t="shared" si="0"/>
        <v>0</v>
      </c>
      <c r="K68" s="24">
        <f t="shared" si="1"/>
        <v>0</v>
      </c>
      <c r="L68" s="26"/>
      <c r="M68" s="28"/>
      <c r="N68" s="56"/>
      <c r="O68" s="55"/>
      <c r="P68" s="27"/>
    </row>
    <row r="69" spans="1:16" s="50" customFormat="1" ht="16.8" x14ac:dyDescent="0.25">
      <c r="A69" s="31">
        <v>5</v>
      </c>
      <c r="B69" s="69" t="s">
        <v>103</v>
      </c>
      <c r="C69" s="25"/>
      <c r="D69" s="93">
        <v>32000</v>
      </c>
      <c r="E69" s="33" t="str">
        <f>HYPERLINK(اضافات!N69)</f>
        <v>10268.5</v>
      </c>
      <c r="F69" s="33" t="str">
        <f>HYPERLINK(اضافات!M69)</f>
        <v>1673</v>
      </c>
      <c r="G69" s="33" t="str">
        <f>HYPERLINK(اضافات!F69)</f>
        <v>0</v>
      </c>
      <c r="H69" s="33" t="str">
        <f>HYPERLINK(اضافات!O69)</f>
        <v>0</v>
      </c>
      <c r="I69" s="91" t="str">
        <f>HYPERLINK(خصومات!L69)</f>
        <v>0</v>
      </c>
      <c r="J69" s="24">
        <f t="shared" ref="J69:J117" si="2">SUM(D69,VALUE(E69),VALUE(F69),VALUE(G69))</f>
        <v>43941.5</v>
      </c>
      <c r="K69" s="24">
        <f t="shared" ref="K69:K100" si="3">VALUE(D69)+VALUE(G69)+VALUE(H69)-VALUE(I69)</f>
        <v>32000</v>
      </c>
      <c r="L69" s="26"/>
      <c r="M69" s="28"/>
      <c r="N69" s="56"/>
      <c r="O69" s="55"/>
      <c r="P69" s="27"/>
    </row>
    <row r="70" spans="1:16" s="50" customFormat="1" ht="16.8" x14ac:dyDescent="0.25">
      <c r="A70" s="31">
        <v>6</v>
      </c>
      <c r="B70" s="69" t="s">
        <v>147</v>
      </c>
      <c r="C70" s="25"/>
      <c r="D70" s="93">
        <v>11000</v>
      </c>
      <c r="E70" s="33" t="str">
        <f>HYPERLINK(اضافات!N70)</f>
        <v>4531</v>
      </c>
      <c r="F70" s="33" t="str">
        <f>HYPERLINK(اضافات!M70)</f>
        <v>1400</v>
      </c>
      <c r="G70" s="33" t="str">
        <f>HYPERLINK(اضافات!F70)</f>
        <v>0</v>
      </c>
      <c r="H70" s="33" t="str">
        <f>HYPERLINK(اضافات!O70)</f>
        <v>0</v>
      </c>
      <c r="I70" s="91" t="str">
        <f>HYPERLINK(خصومات!L70)</f>
        <v>367</v>
      </c>
      <c r="J70" s="24">
        <f t="shared" si="2"/>
        <v>16931</v>
      </c>
      <c r="K70" s="24">
        <f t="shared" si="3"/>
        <v>10633</v>
      </c>
      <c r="L70" s="26"/>
      <c r="M70" s="28"/>
      <c r="N70" s="56"/>
      <c r="O70" s="55"/>
      <c r="P70" s="27"/>
    </row>
    <row r="71" spans="1:16" s="50" customFormat="1" ht="16.8" x14ac:dyDescent="0.25">
      <c r="A71" s="31">
        <v>7</v>
      </c>
      <c r="B71" s="69" t="s">
        <v>108</v>
      </c>
      <c r="C71" s="25"/>
      <c r="D71" s="93">
        <v>12000</v>
      </c>
      <c r="E71" s="33" t="str">
        <f>HYPERLINK(اضافات!N71)</f>
        <v>4607</v>
      </c>
      <c r="F71" s="33" t="str">
        <f>HYPERLINK(اضافات!M71)</f>
        <v>1550</v>
      </c>
      <c r="G71" s="33" t="str">
        <f>HYPERLINK(اضافات!F71)</f>
        <v>0</v>
      </c>
      <c r="H71" s="33" t="str">
        <f>HYPERLINK(اضافات!O71)</f>
        <v>0</v>
      </c>
      <c r="I71" s="91" t="str">
        <f>HYPERLINK(خصومات!L71)</f>
        <v>551.75</v>
      </c>
      <c r="J71" s="24">
        <f t="shared" si="2"/>
        <v>18157</v>
      </c>
      <c r="K71" s="24">
        <f t="shared" si="3"/>
        <v>11448.25</v>
      </c>
      <c r="L71" s="26"/>
      <c r="M71" s="28"/>
      <c r="N71" s="56"/>
      <c r="O71" s="55"/>
      <c r="P71" s="27"/>
    </row>
    <row r="72" spans="1:16" s="50" customFormat="1" ht="16.8" x14ac:dyDescent="0.25">
      <c r="A72" s="31">
        <v>8</v>
      </c>
      <c r="B72" s="69" t="s">
        <v>83</v>
      </c>
      <c r="C72" s="25"/>
      <c r="D72" s="93">
        <v>18600</v>
      </c>
      <c r="E72" s="33" t="str">
        <f>HYPERLINK(اضافات!N72)</f>
        <v>3331</v>
      </c>
      <c r="F72" s="33" t="str">
        <f>HYPERLINK(اضافات!M72)</f>
        <v>1400</v>
      </c>
      <c r="G72" s="33" t="str">
        <f>HYPERLINK(اضافات!F72)</f>
        <v>0</v>
      </c>
      <c r="H72" s="33" t="str">
        <f>HYPERLINK(اضافات!O72)</f>
        <v>0</v>
      </c>
      <c r="I72" s="91" t="str">
        <f>HYPERLINK(خصومات!L72)</f>
        <v>0</v>
      </c>
      <c r="J72" s="24">
        <f t="shared" si="2"/>
        <v>23331</v>
      </c>
      <c r="K72" s="24">
        <f t="shared" si="3"/>
        <v>18600</v>
      </c>
      <c r="L72" s="26"/>
      <c r="M72" s="28"/>
      <c r="N72" s="56"/>
      <c r="O72" s="55"/>
      <c r="P72" s="27"/>
    </row>
    <row r="73" spans="1:16" s="50" customFormat="1" ht="16.8" x14ac:dyDescent="0.25">
      <c r="A73" s="31">
        <v>9</v>
      </c>
      <c r="B73" s="69" t="s">
        <v>80</v>
      </c>
      <c r="C73" s="25"/>
      <c r="D73" s="93">
        <v>18600</v>
      </c>
      <c r="E73" s="33" t="str">
        <f>HYPERLINK(اضافات!N73)</f>
        <v>7721.5</v>
      </c>
      <c r="F73" s="33" t="str">
        <f>HYPERLINK(اضافات!M73)</f>
        <v>1450</v>
      </c>
      <c r="G73" s="33" t="str">
        <f>HYPERLINK(اضافات!F73)</f>
        <v>0</v>
      </c>
      <c r="H73" s="33" t="str">
        <f>HYPERLINK(اضافات!O73)</f>
        <v>0</v>
      </c>
      <c r="I73" s="91" t="str">
        <f>HYPERLINK(خصومات!L73)</f>
        <v>964.75</v>
      </c>
      <c r="J73" s="24">
        <f t="shared" si="2"/>
        <v>27771.5</v>
      </c>
      <c r="K73" s="24">
        <f t="shared" si="3"/>
        <v>17635.25</v>
      </c>
      <c r="L73" s="26"/>
      <c r="M73" s="28"/>
      <c r="N73" s="56"/>
      <c r="O73" s="55"/>
      <c r="P73" s="27"/>
    </row>
    <row r="74" spans="1:16" s="50" customFormat="1" ht="16.8" x14ac:dyDescent="0.25">
      <c r="A74" s="31">
        <v>10</v>
      </c>
      <c r="B74" s="69" t="s">
        <v>140</v>
      </c>
      <c r="C74" s="25"/>
      <c r="D74" s="93">
        <v>11500</v>
      </c>
      <c r="E74" s="33" t="str">
        <f>HYPERLINK(اضافات!N74)</f>
        <v>4393</v>
      </c>
      <c r="F74" s="33" t="str">
        <f>HYPERLINK(اضافات!M74)</f>
        <v>1550</v>
      </c>
      <c r="G74" s="33" t="str">
        <f>HYPERLINK(اضافات!F74)</f>
        <v>0</v>
      </c>
      <c r="H74" s="33" t="str">
        <f>HYPERLINK(اضافات!O74)</f>
        <v>0</v>
      </c>
      <c r="I74" s="91" t="str">
        <f>HYPERLINK(خصومات!L74)</f>
        <v>0</v>
      </c>
      <c r="J74" s="24">
        <f t="shared" si="2"/>
        <v>17443</v>
      </c>
      <c r="K74" s="24">
        <f t="shared" si="3"/>
        <v>11500</v>
      </c>
      <c r="L74" s="26"/>
      <c r="M74" s="28"/>
      <c r="N74" s="56"/>
      <c r="O74" s="55"/>
      <c r="P74" s="27"/>
    </row>
    <row r="75" spans="1:16" s="50" customFormat="1" ht="16.8" x14ac:dyDescent="0.25">
      <c r="A75" s="31">
        <v>11</v>
      </c>
      <c r="B75" s="69" t="s">
        <v>77</v>
      </c>
      <c r="C75" s="25"/>
      <c r="D75" s="93">
        <v>12000</v>
      </c>
      <c r="E75" s="33" t="str">
        <f>HYPERLINK(اضافات!N75)</f>
        <v>5148</v>
      </c>
      <c r="F75" s="33" t="str">
        <f>HYPERLINK(اضافات!M75)</f>
        <v>1400</v>
      </c>
      <c r="G75" s="33" t="str">
        <f>HYPERLINK(اضافات!F75)</f>
        <v>0</v>
      </c>
      <c r="H75" s="33" t="str">
        <f>HYPERLINK(اضافات!O75)</f>
        <v>0</v>
      </c>
      <c r="I75" s="91" t="str">
        <f>HYPERLINK(خصومات!L75)</f>
        <v>15</v>
      </c>
      <c r="J75" s="24">
        <f t="shared" si="2"/>
        <v>18548</v>
      </c>
      <c r="K75" s="24">
        <f t="shared" si="3"/>
        <v>11985</v>
      </c>
      <c r="L75" s="26"/>
      <c r="M75" s="28"/>
      <c r="N75" s="56"/>
      <c r="O75" s="55"/>
      <c r="P75" s="27"/>
    </row>
    <row r="76" spans="1:16" s="50" customFormat="1" ht="16.8" x14ac:dyDescent="0.25">
      <c r="A76" s="31">
        <v>12</v>
      </c>
      <c r="B76" s="69" t="s">
        <v>82</v>
      </c>
      <c r="C76" s="25"/>
      <c r="D76" s="93">
        <v>11284</v>
      </c>
      <c r="E76" s="33" t="str">
        <f>HYPERLINK(اضافات!N76)</f>
        <v>4640</v>
      </c>
      <c r="F76" s="33" t="str">
        <f>HYPERLINK(اضافات!M76)</f>
        <v>1400</v>
      </c>
      <c r="G76" s="33" t="str">
        <f>HYPERLINK(اضافات!F76)</f>
        <v>0</v>
      </c>
      <c r="H76" s="33" t="str">
        <f>HYPERLINK(اضافات!O76)</f>
        <v>0</v>
      </c>
      <c r="I76" s="91" t="str">
        <f>HYPERLINK(خصومات!L76)</f>
        <v>22</v>
      </c>
      <c r="J76" s="24">
        <f t="shared" si="2"/>
        <v>17324</v>
      </c>
      <c r="K76" s="24">
        <f t="shared" si="3"/>
        <v>11262</v>
      </c>
      <c r="L76" s="26"/>
      <c r="M76" s="28"/>
      <c r="N76" s="56"/>
      <c r="O76" s="55"/>
      <c r="P76" s="27"/>
    </row>
    <row r="77" spans="1:16" s="54" customFormat="1" ht="16.8" x14ac:dyDescent="0.25">
      <c r="A77" s="31">
        <v>13</v>
      </c>
      <c r="B77" s="69" t="s">
        <v>75</v>
      </c>
      <c r="C77" s="25"/>
      <c r="D77" s="93">
        <v>11160</v>
      </c>
      <c r="E77" s="33" t="str">
        <f>HYPERLINK(اضافات!N77)</f>
        <v>4591</v>
      </c>
      <c r="F77" s="33" t="str">
        <f>HYPERLINK(اضافات!M77)</f>
        <v>1750</v>
      </c>
      <c r="G77" s="33" t="str">
        <f>HYPERLINK(اضافات!F77)</f>
        <v>0</v>
      </c>
      <c r="H77" s="33" t="str">
        <f>HYPERLINK(اضافات!O77)</f>
        <v>0</v>
      </c>
      <c r="I77" s="91" t="str">
        <f>HYPERLINK(خصومات!L77)</f>
        <v>0</v>
      </c>
      <c r="J77" s="24">
        <f t="shared" si="2"/>
        <v>17501</v>
      </c>
      <c r="K77" s="24">
        <f t="shared" si="3"/>
        <v>11160</v>
      </c>
      <c r="L77" s="26"/>
      <c r="M77" s="28"/>
      <c r="N77" s="56"/>
      <c r="O77" s="55"/>
      <c r="P77" s="27"/>
    </row>
    <row r="78" spans="1:16" s="54" customFormat="1" ht="16.8" x14ac:dyDescent="0.25">
      <c r="A78" s="31">
        <v>14</v>
      </c>
      <c r="B78" s="69" t="s">
        <v>78</v>
      </c>
      <c r="C78" s="25"/>
      <c r="D78" s="93">
        <v>10000</v>
      </c>
      <c r="E78" s="33" t="str">
        <f>HYPERLINK(اضافات!N78)</f>
        <v>4022</v>
      </c>
      <c r="F78" s="33" t="str">
        <f>HYPERLINK(اضافات!M78)</f>
        <v>1400</v>
      </c>
      <c r="G78" s="33" t="str">
        <f>HYPERLINK(اضافات!F78)</f>
        <v>0</v>
      </c>
      <c r="H78" s="33" t="str">
        <f>HYPERLINK(اضافات!O78)</f>
        <v>0</v>
      </c>
      <c r="I78" s="91" t="str">
        <f>HYPERLINK(خصومات!L78)</f>
        <v>0</v>
      </c>
      <c r="J78" s="24">
        <f t="shared" si="2"/>
        <v>15422</v>
      </c>
      <c r="K78" s="24">
        <f t="shared" si="3"/>
        <v>10000</v>
      </c>
      <c r="L78" s="26"/>
      <c r="M78" s="28"/>
      <c r="N78" s="56"/>
      <c r="O78" s="55"/>
      <c r="P78" s="27"/>
    </row>
    <row r="79" spans="1:16" s="54" customFormat="1" ht="16.8" x14ac:dyDescent="0.25">
      <c r="A79" s="31">
        <v>15</v>
      </c>
      <c r="B79" s="69" t="s">
        <v>79</v>
      </c>
      <c r="C79" s="25"/>
      <c r="D79" s="93">
        <v>9000</v>
      </c>
      <c r="E79" s="33" t="str">
        <f>HYPERLINK(اضافات!N79)</f>
        <v>4012</v>
      </c>
      <c r="F79" s="33" t="str">
        <f>HYPERLINK(اضافات!M79)</f>
        <v>1700</v>
      </c>
      <c r="G79" s="33" t="str">
        <f>HYPERLINK(اضافات!F79)</f>
        <v>0</v>
      </c>
      <c r="H79" s="33" t="str">
        <f>HYPERLINK(اضافات!O79)</f>
        <v>0</v>
      </c>
      <c r="I79" s="91" t="str">
        <f>HYPERLINK(خصومات!L79)</f>
        <v>300</v>
      </c>
      <c r="J79" s="24">
        <f t="shared" si="2"/>
        <v>14712</v>
      </c>
      <c r="K79" s="24">
        <f t="shared" si="3"/>
        <v>8700</v>
      </c>
      <c r="L79" s="26"/>
      <c r="M79" s="28"/>
      <c r="N79" s="56"/>
      <c r="O79" s="55"/>
      <c r="P79" s="27"/>
    </row>
    <row r="80" spans="1:16" s="54" customFormat="1" ht="16.8" x14ac:dyDescent="0.25">
      <c r="A80" s="31">
        <v>16</v>
      </c>
      <c r="B80" s="69" t="s">
        <v>86</v>
      </c>
      <c r="C80" s="25"/>
      <c r="D80" s="93">
        <v>8750</v>
      </c>
      <c r="E80" s="33" t="str">
        <f>HYPERLINK(اضافات!N80)</f>
        <v>3288</v>
      </c>
      <c r="F80" s="33" t="str">
        <f>HYPERLINK(اضافات!M80)</f>
        <v>1550</v>
      </c>
      <c r="G80" s="33" t="str">
        <f>HYPERLINK(اضافات!F80)</f>
        <v>0</v>
      </c>
      <c r="H80" s="33" t="str">
        <f>HYPERLINK(اضافات!O80)</f>
        <v>0</v>
      </c>
      <c r="I80" s="91" t="str">
        <f>HYPERLINK(خصومات!L80)</f>
        <v>0</v>
      </c>
      <c r="J80" s="24">
        <f t="shared" si="2"/>
        <v>13588</v>
      </c>
      <c r="K80" s="24">
        <f t="shared" si="3"/>
        <v>8750</v>
      </c>
      <c r="L80" s="26"/>
      <c r="M80" s="28"/>
      <c r="N80" s="56"/>
      <c r="O80" s="55"/>
      <c r="P80" s="27"/>
    </row>
    <row r="81" spans="1:16" s="54" customFormat="1" ht="16.8" x14ac:dyDescent="0.25">
      <c r="A81" s="31">
        <v>17</v>
      </c>
      <c r="B81" s="69" t="s">
        <v>76</v>
      </c>
      <c r="C81" s="25"/>
      <c r="D81" s="93">
        <v>26000</v>
      </c>
      <c r="E81" s="33" t="str">
        <f>HYPERLINK(اضافات!N81)</f>
        <v>0</v>
      </c>
      <c r="F81" s="33" t="str">
        <f>HYPERLINK(اضافات!M81)</f>
        <v>500</v>
      </c>
      <c r="G81" s="33" t="str">
        <f>HYPERLINK(اضافات!F81)</f>
        <v>0</v>
      </c>
      <c r="H81" s="33" t="str">
        <f>HYPERLINK(اضافات!O81)</f>
        <v>0</v>
      </c>
      <c r="I81" s="91" t="str">
        <f>HYPERLINK(خصومات!L81)</f>
        <v>601</v>
      </c>
      <c r="J81" s="24">
        <f t="shared" si="2"/>
        <v>26500</v>
      </c>
      <c r="K81" s="24">
        <f t="shared" si="3"/>
        <v>25399</v>
      </c>
      <c r="L81" s="26"/>
      <c r="M81" s="28"/>
      <c r="N81" s="56"/>
      <c r="O81" s="55"/>
      <c r="P81" s="27"/>
    </row>
    <row r="82" spans="1:16" s="54" customFormat="1" ht="16.8" x14ac:dyDescent="0.25">
      <c r="A82" s="31">
        <v>18</v>
      </c>
      <c r="B82" s="69" t="s">
        <v>87</v>
      </c>
      <c r="C82" s="25"/>
      <c r="D82" s="93">
        <v>12600</v>
      </c>
      <c r="E82" s="33" t="str">
        <f>HYPERLINK(اضافات!N82)</f>
        <v>5108</v>
      </c>
      <c r="F82" s="33" t="str">
        <f>HYPERLINK(اضافات!M82)</f>
        <v>1450</v>
      </c>
      <c r="G82" s="33" t="str">
        <f>HYPERLINK(اضافات!F82)</f>
        <v>0</v>
      </c>
      <c r="H82" s="33" t="str">
        <f>HYPERLINK(اضافات!O82)</f>
        <v>0</v>
      </c>
      <c r="I82" s="91" t="str">
        <f>HYPERLINK(خصومات!L82)</f>
        <v>0</v>
      </c>
      <c r="J82" s="24">
        <f t="shared" si="2"/>
        <v>19158</v>
      </c>
      <c r="K82" s="24">
        <f t="shared" si="3"/>
        <v>12600</v>
      </c>
      <c r="L82" s="26"/>
      <c r="M82" s="28"/>
      <c r="N82" s="56"/>
      <c r="O82" s="55"/>
      <c r="P82" s="27"/>
    </row>
    <row r="83" spans="1:16" s="54" customFormat="1" ht="16.8" x14ac:dyDescent="0.25">
      <c r="A83" s="31">
        <v>19</v>
      </c>
      <c r="B83" s="69" t="s">
        <v>141</v>
      </c>
      <c r="C83" s="25"/>
      <c r="D83" s="93">
        <v>6500</v>
      </c>
      <c r="E83" s="33" t="str">
        <f>HYPERLINK(اضافات!N83)</f>
        <v>2337.5</v>
      </c>
      <c r="F83" s="33" t="str">
        <f>HYPERLINK(اضافات!M83)</f>
        <v>1400</v>
      </c>
      <c r="G83" s="33" t="str">
        <f>HYPERLINK(اضافات!F83)</f>
        <v>0</v>
      </c>
      <c r="H83" s="33" t="str">
        <f>HYPERLINK(اضافات!O83)</f>
        <v>0</v>
      </c>
      <c r="I83" s="91" t="str">
        <f>HYPERLINK(خصومات!L83)</f>
        <v>0</v>
      </c>
      <c r="J83" s="24">
        <f t="shared" si="2"/>
        <v>10237.5</v>
      </c>
      <c r="K83" s="24">
        <f t="shared" si="3"/>
        <v>6500</v>
      </c>
      <c r="L83" s="26"/>
      <c r="M83" s="28"/>
      <c r="N83" s="56"/>
      <c r="O83" s="55"/>
      <c r="P83" s="27"/>
    </row>
    <row r="84" spans="1:16" s="54" customFormat="1" ht="16.8" x14ac:dyDescent="0.25">
      <c r="A84" s="31">
        <v>20</v>
      </c>
      <c r="B84" s="69" t="s">
        <v>148</v>
      </c>
      <c r="C84" s="25"/>
      <c r="D84" s="93">
        <v>7000</v>
      </c>
      <c r="E84" s="33" t="str">
        <f>HYPERLINK(اضافات!N84)</f>
        <v>0</v>
      </c>
      <c r="F84" s="33" t="str">
        <f>HYPERLINK(اضافات!M84)</f>
        <v>0</v>
      </c>
      <c r="G84" s="33" t="str">
        <f>HYPERLINK(اضافات!F84)</f>
        <v>0</v>
      </c>
      <c r="H84" s="33" t="str">
        <f>HYPERLINK(اضافات!O84)</f>
        <v>0</v>
      </c>
      <c r="I84" s="91" t="str">
        <f>HYPERLINK(خصومات!L84)</f>
        <v>3500</v>
      </c>
      <c r="J84" s="24">
        <f t="shared" si="2"/>
        <v>7000</v>
      </c>
      <c r="K84" s="24">
        <f t="shared" si="3"/>
        <v>3500</v>
      </c>
      <c r="L84" s="26"/>
      <c r="M84" s="28"/>
      <c r="N84" s="56"/>
      <c r="O84" s="55"/>
      <c r="P84" s="27"/>
    </row>
    <row r="85" spans="1:16" s="54" customFormat="1" ht="16.8" x14ac:dyDescent="0.25">
      <c r="A85" s="31"/>
      <c r="B85" s="69" t="s">
        <v>93</v>
      </c>
      <c r="C85" s="25"/>
      <c r="D85" s="93">
        <v>0</v>
      </c>
      <c r="E85" s="33" t="str">
        <f>HYPERLINK(اضافات!N85)</f>
        <v>0</v>
      </c>
      <c r="F85" s="33" t="str">
        <f>HYPERLINK(اضافات!M85)</f>
        <v>0</v>
      </c>
      <c r="G85" s="33" t="str">
        <f>HYPERLINK(اضافات!F85)</f>
        <v>0</v>
      </c>
      <c r="H85" s="33" t="str">
        <f>HYPERLINK(اضافات!O85)</f>
        <v>0</v>
      </c>
      <c r="I85" s="91" t="str">
        <f>HYPERLINK(خصومات!L85)</f>
        <v>0</v>
      </c>
      <c r="J85" s="24">
        <f t="shared" si="2"/>
        <v>0</v>
      </c>
      <c r="K85" s="24">
        <f t="shared" si="3"/>
        <v>0</v>
      </c>
      <c r="L85" s="26"/>
      <c r="M85" s="28"/>
      <c r="N85" s="56"/>
      <c r="O85" s="55"/>
      <c r="P85" s="27"/>
    </row>
    <row r="86" spans="1:16" s="54" customFormat="1" ht="16.8" x14ac:dyDescent="0.25">
      <c r="A86" s="31"/>
      <c r="B86" s="69" t="s">
        <v>93</v>
      </c>
      <c r="C86" s="25"/>
      <c r="D86" s="93">
        <v>0</v>
      </c>
      <c r="E86" s="33" t="str">
        <f>HYPERLINK(اضافات!N86)</f>
        <v>0</v>
      </c>
      <c r="F86" s="33" t="str">
        <f>HYPERLINK(اضافات!M86)</f>
        <v>0</v>
      </c>
      <c r="G86" s="33" t="str">
        <f>HYPERLINK(اضافات!F86)</f>
        <v>0</v>
      </c>
      <c r="H86" s="33" t="str">
        <f>HYPERLINK(اضافات!O86)</f>
        <v>0</v>
      </c>
      <c r="I86" s="91" t="str">
        <f>HYPERLINK(خصومات!L86)</f>
        <v>0</v>
      </c>
      <c r="J86" s="24">
        <f t="shared" si="2"/>
        <v>0</v>
      </c>
      <c r="K86" s="24">
        <f t="shared" si="3"/>
        <v>0</v>
      </c>
      <c r="L86" s="26"/>
      <c r="M86" s="28"/>
      <c r="N86" s="56"/>
      <c r="O86" s="55"/>
      <c r="P86" s="27"/>
    </row>
    <row r="87" spans="1:16" s="54" customFormat="1" ht="16.8" x14ac:dyDescent="0.25">
      <c r="A87" s="31"/>
      <c r="B87" s="69" t="s">
        <v>93</v>
      </c>
      <c r="C87" s="25"/>
      <c r="D87" s="93">
        <v>0</v>
      </c>
      <c r="E87" s="33" t="str">
        <f>HYPERLINK(اضافات!N87)</f>
        <v>0</v>
      </c>
      <c r="F87" s="33" t="str">
        <f>HYPERLINK(اضافات!M87)</f>
        <v>0</v>
      </c>
      <c r="G87" s="33" t="str">
        <f>HYPERLINK(اضافات!F87)</f>
        <v>0</v>
      </c>
      <c r="H87" s="33" t="str">
        <f>HYPERLINK(اضافات!O87)</f>
        <v>0</v>
      </c>
      <c r="I87" s="91" t="str">
        <f>HYPERLINK(خصومات!L87)</f>
        <v>0</v>
      </c>
      <c r="J87" s="24">
        <f t="shared" si="2"/>
        <v>0</v>
      </c>
      <c r="K87" s="24">
        <f t="shared" si="3"/>
        <v>0</v>
      </c>
      <c r="L87" s="26"/>
      <c r="M87" s="28"/>
      <c r="N87" s="56"/>
      <c r="O87" s="55"/>
      <c r="P87" s="27"/>
    </row>
    <row r="88" spans="1:16" s="54" customFormat="1" ht="16.8" x14ac:dyDescent="0.25">
      <c r="A88" s="31"/>
      <c r="B88" s="69" t="s">
        <v>93</v>
      </c>
      <c r="C88" s="25"/>
      <c r="D88" s="93">
        <v>0</v>
      </c>
      <c r="E88" s="33" t="str">
        <f>HYPERLINK(اضافات!N88)</f>
        <v>0</v>
      </c>
      <c r="F88" s="33" t="str">
        <f>HYPERLINK(اضافات!M88)</f>
        <v>0</v>
      </c>
      <c r="G88" s="33" t="str">
        <f>HYPERLINK(اضافات!F88)</f>
        <v>0</v>
      </c>
      <c r="H88" s="33" t="str">
        <f>HYPERLINK(اضافات!O88)</f>
        <v>0</v>
      </c>
      <c r="I88" s="91" t="str">
        <f>HYPERLINK(خصومات!L88)</f>
        <v>0</v>
      </c>
      <c r="J88" s="24">
        <f t="shared" si="2"/>
        <v>0</v>
      </c>
      <c r="K88" s="24">
        <f t="shared" si="3"/>
        <v>0</v>
      </c>
      <c r="L88" s="26"/>
      <c r="M88" s="28"/>
      <c r="N88" s="56"/>
      <c r="O88" s="55"/>
      <c r="P88" s="27"/>
    </row>
    <row r="89" spans="1:16" s="54" customFormat="1" ht="16.8" x14ac:dyDescent="0.25">
      <c r="A89" s="31"/>
      <c r="B89" s="69" t="s">
        <v>93</v>
      </c>
      <c r="C89" s="25"/>
      <c r="D89" s="93">
        <v>0</v>
      </c>
      <c r="E89" s="33" t="str">
        <f>HYPERLINK(اضافات!N89)</f>
        <v>0</v>
      </c>
      <c r="F89" s="33" t="str">
        <f>HYPERLINK(اضافات!M89)</f>
        <v>0</v>
      </c>
      <c r="G89" s="33" t="str">
        <f>HYPERLINK(اضافات!F89)</f>
        <v>0</v>
      </c>
      <c r="H89" s="33" t="str">
        <f>HYPERLINK(اضافات!O89)</f>
        <v>0</v>
      </c>
      <c r="I89" s="91" t="str">
        <f>HYPERLINK(خصومات!L89)</f>
        <v>0</v>
      </c>
      <c r="J89" s="24">
        <f t="shared" si="2"/>
        <v>0</v>
      </c>
      <c r="K89" s="24">
        <f t="shared" si="3"/>
        <v>0</v>
      </c>
      <c r="L89" s="26"/>
      <c r="M89" s="28"/>
      <c r="N89" s="56"/>
      <c r="O89" s="55"/>
      <c r="P89" s="27"/>
    </row>
    <row r="90" spans="1:16" s="54" customFormat="1" ht="16.8" x14ac:dyDescent="0.25">
      <c r="A90" s="31"/>
      <c r="B90" s="69" t="s">
        <v>93</v>
      </c>
      <c r="C90" s="25"/>
      <c r="D90" s="93">
        <v>0</v>
      </c>
      <c r="E90" s="33" t="str">
        <f>HYPERLINK(اضافات!N90)</f>
        <v>0</v>
      </c>
      <c r="F90" s="33" t="str">
        <f>HYPERLINK(اضافات!M90)</f>
        <v>0</v>
      </c>
      <c r="G90" s="33" t="str">
        <f>HYPERLINK(اضافات!F90)</f>
        <v>0</v>
      </c>
      <c r="H90" s="33" t="str">
        <f>HYPERLINK(اضافات!O90)</f>
        <v>0</v>
      </c>
      <c r="I90" s="91" t="str">
        <f>HYPERLINK(خصومات!L90)</f>
        <v>0</v>
      </c>
      <c r="J90" s="24">
        <f t="shared" si="2"/>
        <v>0</v>
      </c>
      <c r="K90" s="24">
        <f t="shared" si="3"/>
        <v>0</v>
      </c>
      <c r="L90" s="26"/>
      <c r="M90" s="28"/>
      <c r="N90" s="56"/>
      <c r="O90" s="55"/>
      <c r="P90" s="27"/>
    </row>
    <row r="91" spans="1:16" s="54" customFormat="1" ht="16.8" x14ac:dyDescent="0.25">
      <c r="A91" s="31"/>
      <c r="B91" s="69" t="s">
        <v>93</v>
      </c>
      <c r="C91" s="25"/>
      <c r="D91" s="93">
        <v>0</v>
      </c>
      <c r="E91" s="33" t="str">
        <f>HYPERLINK(اضافات!N91)</f>
        <v>0</v>
      </c>
      <c r="F91" s="33" t="str">
        <f>HYPERLINK(اضافات!M91)</f>
        <v>0</v>
      </c>
      <c r="G91" s="33" t="str">
        <f>HYPERLINK(اضافات!F91)</f>
        <v>0</v>
      </c>
      <c r="H91" s="33" t="str">
        <f>HYPERLINK(اضافات!O91)</f>
        <v>0</v>
      </c>
      <c r="I91" s="91" t="str">
        <f>HYPERLINK(خصومات!L91)</f>
        <v>0</v>
      </c>
      <c r="J91" s="24">
        <f t="shared" si="2"/>
        <v>0</v>
      </c>
      <c r="K91" s="24">
        <f t="shared" si="3"/>
        <v>0</v>
      </c>
      <c r="L91" s="26"/>
      <c r="M91" s="28"/>
      <c r="N91" s="56"/>
      <c r="O91" s="55"/>
      <c r="P91" s="27"/>
    </row>
    <row r="92" spans="1:16" s="54" customFormat="1" ht="16.8" x14ac:dyDescent="0.25">
      <c r="A92" s="31"/>
      <c r="B92" s="69" t="s">
        <v>93</v>
      </c>
      <c r="C92" s="25"/>
      <c r="D92" s="93">
        <v>0</v>
      </c>
      <c r="E92" s="33" t="str">
        <f>HYPERLINK(اضافات!N92)</f>
        <v>0</v>
      </c>
      <c r="F92" s="33" t="str">
        <f>HYPERLINK(اضافات!M92)</f>
        <v>0</v>
      </c>
      <c r="G92" s="33" t="str">
        <f>HYPERLINK(اضافات!F92)</f>
        <v>0</v>
      </c>
      <c r="H92" s="33" t="str">
        <f>HYPERLINK(اضافات!O92)</f>
        <v>0</v>
      </c>
      <c r="I92" s="91" t="str">
        <f>HYPERLINK(خصومات!L92)</f>
        <v>0</v>
      </c>
      <c r="J92" s="24">
        <f t="shared" si="2"/>
        <v>0</v>
      </c>
      <c r="K92" s="24">
        <f t="shared" si="3"/>
        <v>0</v>
      </c>
      <c r="L92" s="26"/>
      <c r="M92" s="28"/>
      <c r="N92" s="56"/>
      <c r="O92" s="55"/>
      <c r="P92" s="27"/>
    </row>
    <row r="93" spans="1:16" s="54" customFormat="1" ht="16.8" x14ac:dyDescent="0.25">
      <c r="A93" s="31"/>
      <c r="B93" s="69" t="s">
        <v>93</v>
      </c>
      <c r="C93" s="25"/>
      <c r="D93" s="93">
        <v>0</v>
      </c>
      <c r="E93" s="33" t="str">
        <f>HYPERLINK(اضافات!N93)</f>
        <v>0</v>
      </c>
      <c r="F93" s="33" t="str">
        <f>HYPERLINK(اضافات!M93)</f>
        <v>0</v>
      </c>
      <c r="G93" s="33" t="str">
        <f>HYPERLINK(اضافات!F93)</f>
        <v>0</v>
      </c>
      <c r="H93" s="33" t="str">
        <f>HYPERLINK(اضافات!O93)</f>
        <v>0</v>
      </c>
      <c r="I93" s="91" t="str">
        <f>HYPERLINK(خصومات!L93)</f>
        <v>0</v>
      </c>
      <c r="J93" s="24">
        <f t="shared" si="2"/>
        <v>0</v>
      </c>
      <c r="K93" s="24">
        <f t="shared" si="3"/>
        <v>0</v>
      </c>
      <c r="L93" s="26"/>
      <c r="M93" s="28"/>
      <c r="N93" s="56"/>
      <c r="O93" s="55"/>
      <c r="P93" s="27"/>
    </row>
    <row r="94" spans="1:16" s="54" customFormat="1" ht="16.8" x14ac:dyDescent="0.25">
      <c r="A94" s="31"/>
      <c r="B94" s="69" t="s">
        <v>93</v>
      </c>
      <c r="C94" s="25"/>
      <c r="D94" s="93">
        <v>0</v>
      </c>
      <c r="E94" s="33" t="str">
        <f>HYPERLINK(اضافات!N94)</f>
        <v>0</v>
      </c>
      <c r="F94" s="33" t="str">
        <f>HYPERLINK(اضافات!M94)</f>
        <v>0</v>
      </c>
      <c r="G94" s="33" t="str">
        <f>HYPERLINK(اضافات!F94)</f>
        <v>0</v>
      </c>
      <c r="H94" s="33" t="str">
        <f>HYPERLINK(اضافات!O94)</f>
        <v>0</v>
      </c>
      <c r="I94" s="91" t="str">
        <f>HYPERLINK(خصومات!L94)</f>
        <v>0</v>
      </c>
      <c r="J94" s="24">
        <f t="shared" si="2"/>
        <v>0</v>
      </c>
      <c r="K94" s="24">
        <f t="shared" si="3"/>
        <v>0</v>
      </c>
      <c r="L94" s="26"/>
      <c r="M94" s="28"/>
      <c r="N94" s="56"/>
      <c r="O94" s="55"/>
      <c r="P94" s="27"/>
    </row>
    <row r="95" spans="1:16" s="54" customFormat="1" ht="16.8" x14ac:dyDescent="0.25">
      <c r="A95" s="31"/>
      <c r="B95" s="69" t="s">
        <v>93</v>
      </c>
      <c r="C95" s="25"/>
      <c r="D95" s="93">
        <v>0</v>
      </c>
      <c r="E95" s="33" t="str">
        <f>HYPERLINK(اضافات!N95)</f>
        <v>0</v>
      </c>
      <c r="F95" s="33" t="str">
        <f>HYPERLINK(اضافات!M95)</f>
        <v>0</v>
      </c>
      <c r="G95" s="33" t="str">
        <f>HYPERLINK(اضافات!F95)</f>
        <v>0</v>
      </c>
      <c r="H95" s="33" t="str">
        <f>HYPERLINK(اضافات!O95)</f>
        <v>0</v>
      </c>
      <c r="I95" s="91" t="str">
        <f>HYPERLINK(خصومات!L95)</f>
        <v>0</v>
      </c>
      <c r="J95" s="24">
        <f t="shared" si="2"/>
        <v>0</v>
      </c>
      <c r="K95" s="24">
        <f t="shared" si="3"/>
        <v>0</v>
      </c>
      <c r="L95" s="26"/>
      <c r="M95" s="28"/>
      <c r="N95" s="56"/>
      <c r="O95" s="55"/>
      <c r="P95" s="27"/>
    </row>
    <row r="96" spans="1:16" s="54" customFormat="1" ht="16.8" x14ac:dyDescent="0.25">
      <c r="A96" s="31"/>
      <c r="B96" s="69" t="s">
        <v>93</v>
      </c>
      <c r="C96" s="25"/>
      <c r="D96" s="93">
        <v>0</v>
      </c>
      <c r="E96" s="33" t="str">
        <f>HYPERLINK(اضافات!N96)</f>
        <v>0</v>
      </c>
      <c r="F96" s="33" t="str">
        <f>HYPERLINK(اضافات!M96)</f>
        <v>0</v>
      </c>
      <c r="G96" s="33" t="str">
        <f>HYPERLINK(اضافات!F96)</f>
        <v>0</v>
      </c>
      <c r="H96" s="33" t="str">
        <f>HYPERLINK(اضافات!O96)</f>
        <v>0</v>
      </c>
      <c r="I96" s="91" t="str">
        <f>HYPERLINK(خصومات!L96)</f>
        <v>0</v>
      </c>
      <c r="J96" s="24">
        <f t="shared" si="2"/>
        <v>0</v>
      </c>
      <c r="K96" s="24">
        <f t="shared" si="3"/>
        <v>0</v>
      </c>
      <c r="L96" s="26"/>
      <c r="M96" s="28"/>
      <c r="N96" s="56"/>
      <c r="O96" s="55"/>
      <c r="P96" s="27"/>
    </row>
    <row r="97" spans="1:16" s="54" customFormat="1" ht="16.8" x14ac:dyDescent="0.25">
      <c r="A97" s="31"/>
      <c r="B97" s="69" t="s">
        <v>93</v>
      </c>
      <c r="C97" s="25"/>
      <c r="D97" s="93">
        <v>0</v>
      </c>
      <c r="E97" s="33" t="str">
        <f>HYPERLINK(اضافات!N97)</f>
        <v>0</v>
      </c>
      <c r="F97" s="33" t="str">
        <f>HYPERLINK(اضافات!M97)</f>
        <v>0</v>
      </c>
      <c r="G97" s="33" t="str">
        <f>HYPERLINK(اضافات!F97)</f>
        <v>0</v>
      </c>
      <c r="H97" s="33" t="str">
        <f>HYPERLINK(اضافات!O97)</f>
        <v>0</v>
      </c>
      <c r="I97" s="91" t="str">
        <f>HYPERLINK(خصومات!L97)</f>
        <v>0</v>
      </c>
      <c r="J97" s="24">
        <f t="shared" si="2"/>
        <v>0</v>
      </c>
      <c r="K97" s="24">
        <f t="shared" si="3"/>
        <v>0</v>
      </c>
      <c r="L97" s="26"/>
      <c r="M97" s="28"/>
      <c r="N97" s="56"/>
      <c r="O97" s="55"/>
      <c r="P97" s="27"/>
    </row>
    <row r="98" spans="1:16" s="54" customFormat="1" ht="16.8" x14ac:dyDescent="0.25">
      <c r="A98" s="31"/>
      <c r="B98" s="69" t="s">
        <v>93</v>
      </c>
      <c r="C98" s="25"/>
      <c r="D98" s="93">
        <v>0</v>
      </c>
      <c r="E98" s="33" t="str">
        <f>HYPERLINK(اضافات!N98)</f>
        <v>0</v>
      </c>
      <c r="F98" s="33" t="str">
        <f>HYPERLINK(اضافات!M98)</f>
        <v>0</v>
      </c>
      <c r="G98" s="33" t="str">
        <f>HYPERLINK(اضافات!F98)</f>
        <v>0</v>
      </c>
      <c r="H98" s="33" t="str">
        <f>HYPERLINK(اضافات!O98)</f>
        <v>0</v>
      </c>
      <c r="I98" s="91" t="str">
        <f>HYPERLINK(خصومات!L98)</f>
        <v>0</v>
      </c>
      <c r="J98" s="24">
        <f t="shared" si="2"/>
        <v>0</v>
      </c>
      <c r="K98" s="24">
        <f t="shared" si="3"/>
        <v>0</v>
      </c>
      <c r="L98" s="26"/>
      <c r="M98" s="28"/>
      <c r="N98" s="56"/>
      <c r="O98" s="55"/>
      <c r="P98" s="27"/>
    </row>
    <row r="99" spans="1:16" s="54" customFormat="1" ht="16.8" x14ac:dyDescent="0.25">
      <c r="A99" s="31"/>
      <c r="B99" s="69" t="s">
        <v>93</v>
      </c>
      <c r="C99" s="25"/>
      <c r="D99" s="93">
        <v>0</v>
      </c>
      <c r="E99" s="33" t="str">
        <f>HYPERLINK(اضافات!N99)</f>
        <v>0</v>
      </c>
      <c r="F99" s="33" t="str">
        <f>HYPERLINK(اضافات!M99)</f>
        <v>0</v>
      </c>
      <c r="G99" s="33" t="str">
        <f>HYPERLINK(اضافات!F99)</f>
        <v>0</v>
      </c>
      <c r="H99" s="33" t="str">
        <f>HYPERLINK(اضافات!O99)</f>
        <v>0</v>
      </c>
      <c r="I99" s="91" t="str">
        <f>HYPERLINK(خصومات!L99)</f>
        <v>0</v>
      </c>
      <c r="J99" s="24">
        <f t="shared" si="2"/>
        <v>0</v>
      </c>
      <c r="K99" s="24">
        <f t="shared" si="3"/>
        <v>0</v>
      </c>
      <c r="L99" s="26"/>
      <c r="M99" s="28"/>
      <c r="N99" s="56"/>
      <c r="O99" s="55"/>
      <c r="P99" s="27"/>
    </row>
    <row r="100" spans="1:16" s="54" customFormat="1" ht="16.8" x14ac:dyDescent="0.25">
      <c r="A100" s="31"/>
      <c r="B100" s="69" t="s">
        <v>93</v>
      </c>
      <c r="C100" s="25"/>
      <c r="D100" s="93">
        <v>0</v>
      </c>
      <c r="E100" s="33" t="str">
        <f>HYPERLINK(اضافات!N100)</f>
        <v>0</v>
      </c>
      <c r="F100" s="33" t="str">
        <f>HYPERLINK(اضافات!M100)</f>
        <v>0</v>
      </c>
      <c r="G100" s="33" t="str">
        <f>HYPERLINK(اضافات!F100)</f>
        <v>0</v>
      </c>
      <c r="H100" s="33" t="str">
        <f>HYPERLINK(اضافات!O100)</f>
        <v>0</v>
      </c>
      <c r="I100" s="91" t="str">
        <f>HYPERLINK(خصومات!L100)</f>
        <v>0</v>
      </c>
      <c r="J100" s="24">
        <f t="shared" si="2"/>
        <v>0</v>
      </c>
      <c r="K100" s="24">
        <f t="shared" si="3"/>
        <v>0</v>
      </c>
      <c r="L100" s="26"/>
      <c r="M100" s="28"/>
      <c r="N100" s="56"/>
      <c r="O100" s="55"/>
      <c r="P100" s="27"/>
    </row>
    <row r="101" spans="1:16" ht="16.8" x14ac:dyDescent="0.25">
      <c r="A101" s="116">
        <v>20</v>
      </c>
      <c r="B101" s="128" t="s">
        <v>1</v>
      </c>
      <c r="C101" s="118"/>
      <c r="D101" s="129"/>
      <c r="E101" s="129"/>
      <c r="F101" s="129"/>
      <c r="G101" s="129"/>
      <c r="H101" s="129"/>
      <c r="I101" s="129"/>
      <c r="J101" s="129"/>
      <c r="K101" s="129"/>
      <c r="L101" s="123">
        <f>SUM(K57:K100)</f>
        <v>377900.25</v>
      </c>
      <c r="M101" s="129"/>
      <c r="N101" s="129"/>
      <c r="O101" s="130"/>
      <c r="P101" s="131"/>
    </row>
    <row r="102" spans="1:16" s="54" customFormat="1" ht="16.8" x14ac:dyDescent="0.25">
      <c r="A102" s="31">
        <v>1</v>
      </c>
      <c r="B102" s="69" t="s">
        <v>96</v>
      </c>
      <c r="C102" s="25"/>
      <c r="D102" s="93">
        <v>45000</v>
      </c>
      <c r="E102" s="33" t="str">
        <f>HYPERLINK(اضافات!N102)</f>
        <v>0</v>
      </c>
      <c r="F102" s="33" t="str">
        <f>HYPERLINK(اضافات!M102)</f>
        <v>0</v>
      </c>
      <c r="G102" s="33" t="str">
        <f>HYPERLINK(اضافات!F102)</f>
        <v>0</v>
      </c>
      <c r="H102" s="33" t="str">
        <f>HYPERLINK(اضافات!O102)</f>
        <v>0</v>
      </c>
      <c r="I102" s="91" t="str">
        <f>HYPERLINK(خصومات!L102)</f>
        <v>0</v>
      </c>
      <c r="J102" s="24">
        <f t="shared" si="2"/>
        <v>45000</v>
      </c>
      <c r="K102" s="24">
        <f t="shared" ref="K102:K117" si="4">VALUE(D102)+VALUE(G102)+VALUE(H102)-VALUE(I102)</f>
        <v>45000</v>
      </c>
      <c r="L102" s="26"/>
      <c r="M102" s="28"/>
      <c r="N102" s="56"/>
      <c r="O102" s="55"/>
      <c r="P102" s="27"/>
    </row>
    <row r="103" spans="1:16" s="54" customFormat="1" ht="16.8" x14ac:dyDescent="0.25">
      <c r="A103" s="31">
        <v>2</v>
      </c>
      <c r="B103" s="69" t="s">
        <v>97</v>
      </c>
      <c r="C103" s="25"/>
      <c r="D103" s="93">
        <v>30000</v>
      </c>
      <c r="E103" s="33" t="str">
        <f>HYPERLINK(اضافات!N103)</f>
        <v>0</v>
      </c>
      <c r="F103" s="33" t="str">
        <f>HYPERLINK(اضافات!M103)</f>
        <v>0</v>
      </c>
      <c r="G103" s="33" t="str">
        <f>HYPERLINK(اضافات!F103)</f>
        <v>0</v>
      </c>
      <c r="H103" s="33" t="str">
        <f>HYPERLINK(اضافات!O103)</f>
        <v>0</v>
      </c>
      <c r="I103" s="91" t="str">
        <f>HYPERLINK(خصومات!L103)</f>
        <v>0</v>
      </c>
      <c r="J103" s="24">
        <f t="shared" si="2"/>
        <v>30000</v>
      </c>
      <c r="K103" s="24">
        <f t="shared" si="4"/>
        <v>30000</v>
      </c>
      <c r="L103" s="26"/>
      <c r="M103" s="28"/>
      <c r="N103" s="56"/>
      <c r="O103" s="55"/>
      <c r="P103" s="27"/>
    </row>
    <row r="104" spans="1:16" s="54" customFormat="1" ht="16.8" x14ac:dyDescent="0.25">
      <c r="A104" s="31">
        <v>3</v>
      </c>
      <c r="B104" s="69" t="s">
        <v>98</v>
      </c>
      <c r="C104" s="25"/>
      <c r="D104" s="93">
        <v>35000</v>
      </c>
      <c r="E104" s="33" t="str">
        <f>HYPERLINK(اضافات!N104)</f>
        <v>0</v>
      </c>
      <c r="F104" s="33" t="str">
        <f>HYPERLINK(اضافات!M104)</f>
        <v>0</v>
      </c>
      <c r="G104" s="33" t="str">
        <f>HYPERLINK(اضافات!F104)</f>
        <v>0</v>
      </c>
      <c r="H104" s="33" t="str">
        <f>HYPERLINK(اضافات!O104)</f>
        <v>0</v>
      </c>
      <c r="I104" s="91" t="str">
        <f>HYPERLINK(خصومات!L104)</f>
        <v>0</v>
      </c>
      <c r="J104" s="24">
        <f t="shared" si="2"/>
        <v>35000</v>
      </c>
      <c r="K104" s="24">
        <f t="shared" si="4"/>
        <v>35000</v>
      </c>
      <c r="L104" s="26"/>
      <c r="M104" s="28"/>
      <c r="N104" s="56"/>
      <c r="O104" s="55"/>
      <c r="P104" s="27"/>
    </row>
    <row r="105" spans="1:16" s="54" customFormat="1" ht="16.8" x14ac:dyDescent="0.25">
      <c r="A105" s="31">
        <v>4</v>
      </c>
      <c r="B105" s="69" t="s">
        <v>99</v>
      </c>
      <c r="C105" s="25"/>
      <c r="D105" s="93">
        <v>20000</v>
      </c>
      <c r="E105" s="33" t="str">
        <f>HYPERLINK(اضافات!N105)</f>
        <v>0</v>
      </c>
      <c r="F105" s="33" t="str">
        <f>HYPERLINK(اضافات!M105)</f>
        <v>0</v>
      </c>
      <c r="G105" s="33" t="str">
        <f>HYPERLINK(اضافات!F105)</f>
        <v>0</v>
      </c>
      <c r="H105" s="33" t="str">
        <f>HYPERLINK(اضافات!O105)</f>
        <v>0</v>
      </c>
      <c r="I105" s="91" t="str">
        <f>HYPERLINK(خصومات!L105)</f>
        <v>0</v>
      </c>
      <c r="J105" s="24">
        <f t="shared" si="2"/>
        <v>20000</v>
      </c>
      <c r="K105" s="24">
        <f t="shared" si="4"/>
        <v>20000</v>
      </c>
      <c r="L105" s="26"/>
      <c r="M105" s="28"/>
      <c r="N105" s="56"/>
      <c r="O105" s="55"/>
      <c r="P105" s="27"/>
    </row>
    <row r="106" spans="1:16" s="54" customFormat="1" ht="16.8" x14ac:dyDescent="0.25">
      <c r="A106" s="31"/>
      <c r="B106" s="69" t="s">
        <v>93</v>
      </c>
      <c r="C106" s="25"/>
      <c r="D106" s="93">
        <v>0</v>
      </c>
      <c r="E106" s="33" t="str">
        <f>HYPERLINK(اضافات!N106)</f>
        <v>0</v>
      </c>
      <c r="F106" s="33" t="str">
        <f>HYPERLINK(اضافات!M106)</f>
        <v>0</v>
      </c>
      <c r="G106" s="33" t="str">
        <f>HYPERLINK(اضافات!F106)</f>
        <v>0</v>
      </c>
      <c r="H106" s="33" t="str">
        <f>HYPERLINK(اضافات!O106)</f>
        <v>0</v>
      </c>
      <c r="I106" s="91" t="str">
        <f>HYPERLINK(خصومات!L106)</f>
        <v>0</v>
      </c>
      <c r="J106" s="24">
        <f t="shared" si="2"/>
        <v>0</v>
      </c>
      <c r="K106" s="24">
        <f t="shared" si="4"/>
        <v>0</v>
      </c>
      <c r="L106" s="26"/>
      <c r="M106" s="28"/>
      <c r="N106" s="56"/>
      <c r="O106" s="55"/>
      <c r="P106" s="27"/>
    </row>
    <row r="107" spans="1:16" s="54" customFormat="1" ht="16.8" x14ac:dyDescent="0.25">
      <c r="A107" s="31"/>
      <c r="B107" s="69" t="s">
        <v>93</v>
      </c>
      <c r="C107" s="25"/>
      <c r="D107" s="93">
        <v>0</v>
      </c>
      <c r="E107" s="33" t="str">
        <f>HYPERLINK(اضافات!N107)</f>
        <v>0</v>
      </c>
      <c r="F107" s="33" t="str">
        <f>HYPERLINK(اضافات!M107)</f>
        <v>0</v>
      </c>
      <c r="G107" s="33" t="str">
        <f>HYPERLINK(اضافات!F107)</f>
        <v>0</v>
      </c>
      <c r="H107" s="33" t="str">
        <f>HYPERLINK(اضافات!O107)</f>
        <v>0</v>
      </c>
      <c r="I107" s="91" t="str">
        <f>HYPERLINK(خصومات!L107)</f>
        <v>0</v>
      </c>
      <c r="J107" s="24">
        <f t="shared" si="2"/>
        <v>0</v>
      </c>
      <c r="K107" s="24">
        <f t="shared" si="4"/>
        <v>0</v>
      </c>
      <c r="L107" s="26"/>
      <c r="M107" s="28"/>
      <c r="N107" s="56"/>
      <c r="O107" s="55"/>
      <c r="P107" s="27"/>
    </row>
    <row r="108" spans="1:16" s="54" customFormat="1" ht="16.8" x14ac:dyDescent="0.25">
      <c r="A108" s="31"/>
      <c r="B108" s="69" t="s">
        <v>93</v>
      </c>
      <c r="C108" s="25"/>
      <c r="D108" s="93">
        <v>0</v>
      </c>
      <c r="E108" s="33" t="str">
        <f>HYPERLINK(اضافات!N108)</f>
        <v>0</v>
      </c>
      <c r="F108" s="33" t="str">
        <f>HYPERLINK(اضافات!M108)</f>
        <v>0</v>
      </c>
      <c r="G108" s="33" t="str">
        <f>HYPERLINK(اضافات!F108)</f>
        <v>0</v>
      </c>
      <c r="H108" s="33" t="str">
        <f>HYPERLINK(اضافات!O108)</f>
        <v>0</v>
      </c>
      <c r="I108" s="91" t="str">
        <f>HYPERLINK(خصومات!L108)</f>
        <v>0</v>
      </c>
      <c r="J108" s="24">
        <f t="shared" si="2"/>
        <v>0</v>
      </c>
      <c r="K108" s="24">
        <f t="shared" si="4"/>
        <v>0</v>
      </c>
      <c r="L108" s="26"/>
      <c r="M108" s="28"/>
      <c r="N108" s="56"/>
      <c r="O108" s="55"/>
      <c r="P108" s="27"/>
    </row>
    <row r="109" spans="1:16" s="54" customFormat="1" ht="16.8" x14ac:dyDescent="0.25">
      <c r="A109" s="31"/>
      <c r="B109" s="69" t="s">
        <v>93</v>
      </c>
      <c r="C109" s="25"/>
      <c r="D109" s="93">
        <v>0</v>
      </c>
      <c r="E109" s="33" t="str">
        <f>HYPERLINK(اضافات!N109)</f>
        <v>0</v>
      </c>
      <c r="F109" s="33" t="str">
        <f>HYPERLINK(اضافات!M109)</f>
        <v>0</v>
      </c>
      <c r="G109" s="33" t="str">
        <f>HYPERLINK(اضافات!F109)</f>
        <v>0</v>
      </c>
      <c r="H109" s="33" t="str">
        <f>HYPERLINK(اضافات!O109)</f>
        <v>0</v>
      </c>
      <c r="I109" s="91" t="str">
        <f>HYPERLINK(خصومات!L109)</f>
        <v>0</v>
      </c>
      <c r="J109" s="24">
        <f t="shared" si="2"/>
        <v>0</v>
      </c>
      <c r="K109" s="24">
        <f t="shared" si="4"/>
        <v>0</v>
      </c>
      <c r="L109" s="26"/>
      <c r="M109" s="28"/>
      <c r="N109" s="56"/>
      <c r="O109" s="55"/>
      <c r="P109" s="27"/>
    </row>
    <row r="110" spans="1:16" s="54" customFormat="1" ht="16.8" x14ac:dyDescent="0.25">
      <c r="A110" s="31"/>
      <c r="B110" s="69" t="s">
        <v>93</v>
      </c>
      <c r="C110" s="25"/>
      <c r="D110" s="93">
        <v>0</v>
      </c>
      <c r="E110" s="33" t="str">
        <f>HYPERLINK(اضافات!N110)</f>
        <v>0</v>
      </c>
      <c r="F110" s="33" t="str">
        <f>HYPERLINK(اضافات!M110)</f>
        <v>0</v>
      </c>
      <c r="G110" s="33" t="str">
        <f>HYPERLINK(اضافات!F110)</f>
        <v>0</v>
      </c>
      <c r="H110" s="33" t="str">
        <f>HYPERLINK(اضافات!O110)</f>
        <v>0</v>
      </c>
      <c r="I110" s="91" t="str">
        <f>HYPERLINK(خصومات!L110)</f>
        <v>0</v>
      </c>
      <c r="J110" s="24">
        <f t="shared" si="2"/>
        <v>0</v>
      </c>
      <c r="K110" s="24">
        <f t="shared" si="4"/>
        <v>0</v>
      </c>
      <c r="L110" s="26"/>
      <c r="M110" s="28"/>
      <c r="N110" s="56"/>
      <c r="O110" s="55"/>
      <c r="P110" s="27"/>
    </row>
    <row r="111" spans="1:16" s="54" customFormat="1" ht="16.8" x14ac:dyDescent="0.25">
      <c r="A111" s="31"/>
      <c r="B111" s="69" t="s">
        <v>93</v>
      </c>
      <c r="C111" s="25"/>
      <c r="D111" s="93">
        <v>0</v>
      </c>
      <c r="E111" s="33" t="str">
        <f>HYPERLINK(اضافات!N111)</f>
        <v>0</v>
      </c>
      <c r="F111" s="33" t="str">
        <f>HYPERLINK(اضافات!M111)</f>
        <v>0</v>
      </c>
      <c r="G111" s="33" t="str">
        <f>HYPERLINK(اضافات!F111)</f>
        <v>0</v>
      </c>
      <c r="H111" s="33" t="str">
        <f>HYPERLINK(اضافات!O111)</f>
        <v>0</v>
      </c>
      <c r="I111" s="91" t="str">
        <f>HYPERLINK(خصومات!L111)</f>
        <v>0</v>
      </c>
      <c r="J111" s="24">
        <f t="shared" si="2"/>
        <v>0</v>
      </c>
      <c r="K111" s="24">
        <f t="shared" si="4"/>
        <v>0</v>
      </c>
      <c r="L111" s="26"/>
      <c r="M111" s="28"/>
      <c r="N111" s="56"/>
      <c r="O111" s="55"/>
      <c r="P111" s="27"/>
    </row>
    <row r="112" spans="1:16" s="54" customFormat="1" ht="16.8" x14ac:dyDescent="0.25">
      <c r="A112" s="31"/>
      <c r="B112" s="69" t="s">
        <v>93</v>
      </c>
      <c r="C112" s="25"/>
      <c r="D112" s="93">
        <v>0</v>
      </c>
      <c r="E112" s="33" t="str">
        <f>HYPERLINK(اضافات!N112)</f>
        <v>0</v>
      </c>
      <c r="F112" s="33" t="str">
        <f>HYPERLINK(اضافات!M112)</f>
        <v>0</v>
      </c>
      <c r="G112" s="33" t="str">
        <f>HYPERLINK(اضافات!F112)</f>
        <v>0</v>
      </c>
      <c r="H112" s="33" t="str">
        <f>HYPERLINK(اضافات!O112)</f>
        <v>0</v>
      </c>
      <c r="I112" s="91" t="str">
        <f>HYPERLINK(خصومات!L112)</f>
        <v>0</v>
      </c>
      <c r="J112" s="24">
        <f t="shared" si="2"/>
        <v>0</v>
      </c>
      <c r="K112" s="24">
        <f t="shared" si="4"/>
        <v>0</v>
      </c>
      <c r="L112" s="26"/>
      <c r="M112" s="28"/>
      <c r="N112" s="56"/>
      <c r="O112" s="55"/>
      <c r="P112" s="27"/>
    </row>
    <row r="113" spans="1:16" s="54" customFormat="1" ht="16.8" x14ac:dyDescent="0.25">
      <c r="A113" s="31"/>
      <c r="B113" s="69" t="s">
        <v>93</v>
      </c>
      <c r="C113" s="25"/>
      <c r="D113" s="93">
        <v>0</v>
      </c>
      <c r="E113" s="33" t="str">
        <f>HYPERLINK(اضافات!N113)</f>
        <v>0</v>
      </c>
      <c r="F113" s="33" t="str">
        <f>HYPERLINK(اضافات!M113)</f>
        <v>0</v>
      </c>
      <c r="G113" s="33" t="str">
        <f>HYPERLINK(اضافات!F113)</f>
        <v>0</v>
      </c>
      <c r="H113" s="33" t="str">
        <f>HYPERLINK(اضافات!O113)</f>
        <v>0</v>
      </c>
      <c r="I113" s="91" t="str">
        <f>HYPERLINK(خصومات!L113)</f>
        <v>0</v>
      </c>
      <c r="J113" s="24">
        <f t="shared" si="2"/>
        <v>0</v>
      </c>
      <c r="K113" s="24">
        <f t="shared" si="4"/>
        <v>0</v>
      </c>
      <c r="L113" s="26"/>
      <c r="M113" s="28"/>
      <c r="N113" s="56"/>
      <c r="O113" s="55"/>
      <c r="P113" s="27"/>
    </row>
    <row r="114" spans="1:16" s="54" customFormat="1" ht="16.8" x14ac:dyDescent="0.25">
      <c r="A114" s="31"/>
      <c r="B114" s="69" t="s">
        <v>93</v>
      </c>
      <c r="C114" s="25"/>
      <c r="D114" s="93">
        <v>0</v>
      </c>
      <c r="E114" s="33" t="str">
        <f>HYPERLINK(اضافات!N114)</f>
        <v>0</v>
      </c>
      <c r="F114" s="33" t="str">
        <f>HYPERLINK(اضافات!M114)</f>
        <v>0</v>
      </c>
      <c r="G114" s="33" t="str">
        <f>HYPERLINK(اضافات!F114)</f>
        <v>0</v>
      </c>
      <c r="H114" s="33" t="str">
        <f>HYPERLINK(اضافات!O114)</f>
        <v>0</v>
      </c>
      <c r="I114" s="91" t="str">
        <f>HYPERLINK(خصومات!L114)</f>
        <v>0</v>
      </c>
      <c r="J114" s="24">
        <f t="shared" si="2"/>
        <v>0</v>
      </c>
      <c r="K114" s="24">
        <f t="shared" si="4"/>
        <v>0</v>
      </c>
      <c r="L114" s="26"/>
      <c r="M114" s="28"/>
      <c r="N114" s="56"/>
      <c r="O114" s="55"/>
      <c r="P114" s="27"/>
    </row>
    <row r="115" spans="1:16" s="54" customFormat="1" ht="16.8" x14ac:dyDescent="0.25">
      <c r="A115" s="31"/>
      <c r="B115" s="69" t="s">
        <v>93</v>
      </c>
      <c r="C115" s="25"/>
      <c r="D115" s="93">
        <v>0</v>
      </c>
      <c r="E115" s="33" t="str">
        <f>HYPERLINK(اضافات!N115)</f>
        <v>0</v>
      </c>
      <c r="F115" s="33" t="str">
        <f>HYPERLINK(اضافات!M115)</f>
        <v>0</v>
      </c>
      <c r="G115" s="33" t="str">
        <f>HYPERLINK(اضافات!F115)</f>
        <v>0</v>
      </c>
      <c r="H115" s="33" t="str">
        <f>HYPERLINK(اضافات!O115)</f>
        <v>0</v>
      </c>
      <c r="I115" s="91" t="str">
        <f>HYPERLINK(خصومات!L115)</f>
        <v>0</v>
      </c>
      <c r="J115" s="24">
        <f t="shared" si="2"/>
        <v>0</v>
      </c>
      <c r="K115" s="24">
        <f t="shared" si="4"/>
        <v>0</v>
      </c>
      <c r="L115" s="26"/>
      <c r="M115" s="28"/>
      <c r="N115" s="56"/>
      <c r="O115" s="55"/>
      <c r="P115" s="27"/>
    </row>
    <row r="116" spans="1:16" s="54" customFormat="1" ht="16.8" x14ac:dyDescent="0.25">
      <c r="A116" s="31"/>
      <c r="B116" s="69" t="s">
        <v>93</v>
      </c>
      <c r="C116" s="25"/>
      <c r="D116" s="93">
        <v>0</v>
      </c>
      <c r="E116" s="33" t="str">
        <f>HYPERLINK(اضافات!N116)</f>
        <v>0</v>
      </c>
      <c r="F116" s="33" t="str">
        <f>HYPERLINK(اضافات!M116)</f>
        <v>0</v>
      </c>
      <c r="G116" s="33" t="str">
        <f>HYPERLINK(اضافات!F116)</f>
        <v>0</v>
      </c>
      <c r="H116" s="33" t="str">
        <f>HYPERLINK(اضافات!O116)</f>
        <v>0</v>
      </c>
      <c r="I116" s="91" t="str">
        <f>HYPERLINK(خصومات!L116)</f>
        <v>0</v>
      </c>
      <c r="J116" s="24">
        <f t="shared" si="2"/>
        <v>0</v>
      </c>
      <c r="K116" s="24">
        <f t="shared" si="4"/>
        <v>0</v>
      </c>
      <c r="L116" s="26"/>
      <c r="M116" s="28"/>
      <c r="N116" s="56"/>
      <c r="O116" s="55"/>
      <c r="P116" s="27"/>
    </row>
    <row r="117" spans="1:16" s="54" customFormat="1" ht="16.8" x14ac:dyDescent="0.25">
      <c r="A117" s="31"/>
      <c r="B117" s="69" t="s">
        <v>93</v>
      </c>
      <c r="C117" s="25"/>
      <c r="D117" s="93">
        <v>0</v>
      </c>
      <c r="E117" s="33" t="str">
        <f>HYPERLINK(اضافات!N117)</f>
        <v>0</v>
      </c>
      <c r="F117" s="33" t="str">
        <f>HYPERLINK(اضافات!M117)</f>
        <v>0</v>
      </c>
      <c r="G117" s="33" t="str">
        <f>HYPERLINK(اضافات!F117)</f>
        <v>0</v>
      </c>
      <c r="H117" s="33" t="str">
        <f>HYPERLINK(اضافات!O117)</f>
        <v>0</v>
      </c>
      <c r="I117" s="91" t="str">
        <f>HYPERLINK(خصومات!L117)</f>
        <v>0</v>
      </c>
      <c r="J117" s="24">
        <f t="shared" si="2"/>
        <v>0</v>
      </c>
      <c r="K117" s="24">
        <f t="shared" si="4"/>
        <v>0</v>
      </c>
      <c r="L117" s="26"/>
      <c r="M117" s="28"/>
      <c r="N117" s="56"/>
      <c r="O117" s="55"/>
      <c r="P117" s="27"/>
    </row>
    <row r="118" spans="1:16" ht="16.8" x14ac:dyDescent="0.25">
      <c r="A118" s="116">
        <v>4</v>
      </c>
      <c r="B118" s="128" t="s">
        <v>95</v>
      </c>
      <c r="C118" s="118"/>
      <c r="D118" s="129"/>
      <c r="E118" s="129"/>
      <c r="F118" s="129"/>
      <c r="G118" s="129"/>
      <c r="H118" s="129"/>
      <c r="I118" s="129"/>
      <c r="J118" s="129"/>
      <c r="K118" s="129"/>
      <c r="L118" s="123">
        <f>SUM(K102:K117)</f>
        <v>130000</v>
      </c>
      <c r="M118" s="129"/>
      <c r="N118" s="129"/>
      <c r="O118" s="130"/>
      <c r="P118" s="131"/>
    </row>
    <row r="119" spans="1:16" s="53" customFormat="1" ht="34.799999999999997" x14ac:dyDescent="0.3">
      <c r="A119" s="73"/>
      <c r="B119" s="74" t="s">
        <v>92</v>
      </c>
      <c r="C119" s="73"/>
      <c r="D119" s="73"/>
      <c r="E119" s="73"/>
      <c r="F119" s="73"/>
      <c r="G119" s="73"/>
      <c r="H119" s="73"/>
      <c r="I119" s="73"/>
      <c r="J119" s="76">
        <f>SUM(J5:J100)</f>
        <v>1570283.5</v>
      </c>
      <c r="K119" s="73"/>
      <c r="L119" s="73">
        <f>SUM(L5:L101)</f>
        <v>1215196.4100000001</v>
      </c>
      <c r="M119" s="73"/>
      <c r="N119" s="13"/>
      <c r="O119" s="21"/>
      <c r="P119" s="8"/>
    </row>
    <row r="120" spans="1:16" ht="34.799999999999997" x14ac:dyDescent="0.25">
      <c r="A120" s="73"/>
      <c r="B120" s="74" t="s">
        <v>132</v>
      </c>
      <c r="C120" s="73"/>
      <c r="D120" s="73"/>
      <c r="E120" s="73"/>
      <c r="F120" s="73"/>
      <c r="G120" s="73"/>
      <c r="H120" s="73"/>
      <c r="I120" s="73"/>
      <c r="J120" s="73"/>
      <c r="K120" s="73"/>
      <c r="L120" s="75">
        <f>SUM(L5:L118)</f>
        <v>1345196.4100000001</v>
      </c>
      <c r="M120" s="73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6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"/>
  <sheetViews>
    <sheetView rightToLeft="1" topLeftCell="A83" zoomScale="85" zoomScaleNormal="85" workbookViewId="0">
      <selection activeCell="C4" sqref="C4:L100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6.109375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63" t="s">
        <v>20</v>
      </c>
      <c r="B1" s="164"/>
    </row>
    <row r="2" spans="1:17" ht="66.599999999999994" thickBot="1" x14ac:dyDescent="0.3">
      <c r="A2" s="139" t="s">
        <v>5</v>
      </c>
      <c r="B2" s="140" t="s">
        <v>143</v>
      </c>
      <c r="C2" s="141" t="s">
        <v>37</v>
      </c>
      <c r="D2" s="141" t="s">
        <v>38</v>
      </c>
      <c r="E2" s="141" t="s">
        <v>39</v>
      </c>
      <c r="F2" s="141" t="s">
        <v>58</v>
      </c>
      <c r="G2" s="141" t="s">
        <v>60</v>
      </c>
      <c r="H2" s="141" t="s">
        <v>59</v>
      </c>
      <c r="I2" s="141" t="s">
        <v>40</v>
      </c>
      <c r="J2" s="141" t="s">
        <v>41</v>
      </c>
      <c r="K2" s="141" t="s">
        <v>42</v>
      </c>
      <c r="L2" s="141" t="s">
        <v>43</v>
      </c>
      <c r="M2" s="142" t="s">
        <v>44</v>
      </c>
      <c r="N2" s="142" t="s">
        <v>45</v>
      </c>
      <c r="O2" s="142" t="s">
        <v>46</v>
      </c>
      <c r="P2" s="142" t="s">
        <v>47</v>
      </c>
      <c r="Q2" s="150" t="s">
        <v>17</v>
      </c>
    </row>
    <row r="3" spans="1:17" ht="15.6" x14ac:dyDescent="0.3">
      <c r="A3" s="151"/>
      <c r="B3" s="151" t="s">
        <v>61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</row>
    <row r="4" spans="1:17" ht="15" x14ac:dyDescent="0.25">
      <c r="A4">
        <f>مرتبات!A4</f>
        <v>1</v>
      </c>
      <c r="B4" s="82" t="str">
        <f>مرتبات!B4</f>
        <v>د/ هاني سري الدين</v>
      </c>
      <c r="C4" s="95">
        <v>0</v>
      </c>
      <c r="D4" s="95">
        <v>0</v>
      </c>
      <c r="E4" s="95">
        <v>0</v>
      </c>
      <c r="F4" s="95">
        <v>0</v>
      </c>
      <c r="G4" s="95">
        <v>0</v>
      </c>
      <c r="H4" s="95">
        <v>0</v>
      </c>
      <c r="I4" s="95">
        <v>0</v>
      </c>
      <c r="J4" s="95">
        <v>0</v>
      </c>
      <c r="K4" s="95">
        <v>1270</v>
      </c>
      <c r="L4" s="95">
        <v>0</v>
      </c>
      <c r="M4" s="81">
        <f>SUM(C4:E4)+L4</f>
        <v>0</v>
      </c>
      <c r="N4" s="81">
        <f>SUM(I4:K4)</f>
        <v>1270</v>
      </c>
      <c r="O4" s="81">
        <f>SUM(G4:H4)</f>
        <v>0</v>
      </c>
      <c r="P4" s="81">
        <f>SUM(M4:O4)</f>
        <v>1270</v>
      </c>
      <c r="Q4" s="81"/>
    </row>
    <row r="5" spans="1:17" ht="15" x14ac:dyDescent="0.25">
      <c r="A5">
        <f>مرتبات!A5</f>
        <v>2</v>
      </c>
      <c r="B5" s="152" t="str">
        <f>مرتبات!B5</f>
        <v>ا / اميره شــريف</v>
      </c>
      <c r="C5" s="96">
        <v>385</v>
      </c>
      <c r="D5" s="96">
        <v>0</v>
      </c>
      <c r="E5" s="96">
        <v>0</v>
      </c>
      <c r="F5" s="96">
        <v>0</v>
      </c>
      <c r="G5" s="95">
        <v>0</v>
      </c>
      <c r="H5" s="96">
        <v>0</v>
      </c>
      <c r="I5" s="96">
        <v>0</v>
      </c>
      <c r="J5" s="96">
        <v>72966</v>
      </c>
      <c r="K5" s="96">
        <v>772</v>
      </c>
      <c r="L5" s="96">
        <v>0</v>
      </c>
      <c r="M5" s="80">
        <f t="shared" ref="M5:M68" si="0">SUM(C5:E5)+L5</f>
        <v>385</v>
      </c>
      <c r="N5" s="80">
        <f t="shared" ref="N5:N68" si="1">SUM(I5:K5)</f>
        <v>73738</v>
      </c>
      <c r="O5" s="80">
        <f t="shared" ref="O5:O68" si="2">SUM(G5:H5)</f>
        <v>0</v>
      </c>
      <c r="P5" s="80">
        <f t="shared" ref="P5:P68" si="3">SUM(M5:O5)</f>
        <v>74123</v>
      </c>
      <c r="Q5" s="80"/>
    </row>
    <row r="6" spans="1:17" ht="15" x14ac:dyDescent="0.25">
      <c r="A6">
        <f>مرتبات!A6</f>
        <v>0</v>
      </c>
      <c r="B6" s="82" t="str">
        <f>مرتبات!B6</f>
        <v>Spare</v>
      </c>
      <c r="C6" s="95">
        <v>0</v>
      </c>
      <c r="D6" s="95">
        <v>0</v>
      </c>
      <c r="E6" s="95">
        <v>0</v>
      </c>
      <c r="F6" s="95">
        <v>0</v>
      </c>
      <c r="G6" s="95">
        <v>0</v>
      </c>
      <c r="H6" s="95">
        <v>0</v>
      </c>
      <c r="I6" s="95">
        <v>0</v>
      </c>
      <c r="J6" s="95">
        <v>0</v>
      </c>
      <c r="K6" s="95">
        <v>0</v>
      </c>
      <c r="L6" s="95">
        <v>0</v>
      </c>
      <c r="M6" s="81">
        <f t="shared" si="0"/>
        <v>0</v>
      </c>
      <c r="N6" s="81">
        <f t="shared" si="1"/>
        <v>0</v>
      </c>
      <c r="O6" s="81">
        <f t="shared" si="2"/>
        <v>0</v>
      </c>
      <c r="P6" s="81">
        <f t="shared" si="3"/>
        <v>0</v>
      </c>
      <c r="Q6" s="81"/>
    </row>
    <row r="7" spans="1:17" ht="15" x14ac:dyDescent="0.25">
      <c r="A7">
        <f>مرتبات!A7</f>
        <v>0</v>
      </c>
      <c r="B7" s="152" t="str">
        <f>مرتبات!B7</f>
        <v>Spare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80">
        <f t="shared" si="0"/>
        <v>0</v>
      </c>
      <c r="N7" s="80">
        <f t="shared" si="1"/>
        <v>0</v>
      </c>
      <c r="O7" s="80">
        <f t="shared" si="2"/>
        <v>0</v>
      </c>
      <c r="P7" s="80">
        <f t="shared" si="3"/>
        <v>0</v>
      </c>
      <c r="Q7" s="80"/>
    </row>
    <row r="8" spans="1:17" ht="15" x14ac:dyDescent="0.25">
      <c r="A8">
        <f>مرتبات!A8</f>
        <v>0</v>
      </c>
      <c r="B8" s="82" t="str">
        <f>مرتبات!B8</f>
        <v>Spare</v>
      </c>
      <c r="C8" s="95">
        <v>0</v>
      </c>
      <c r="D8" s="95">
        <v>0</v>
      </c>
      <c r="E8" s="95">
        <v>0</v>
      </c>
      <c r="F8" s="95">
        <v>0</v>
      </c>
      <c r="G8" s="95">
        <v>0</v>
      </c>
      <c r="H8" s="95">
        <v>0</v>
      </c>
      <c r="I8" s="95">
        <v>0</v>
      </c>
      <c r="J8" s="95">
        <v>0</v>
      </c>
      <c r="K8" s="95">
        <v>0</v>
      </c>
      <c r="L8" s="95">
        <v>0</v>
      </c>
      <c r="M8" s="81">
        <f t="shared" si="0"/>
        <v>0</v>
      </c>
      <c r="N8" s="81">
        <f t="shared" si="1"/>
        <v>0</v>
      </c>
      <c r="O8" s="81">
        <f t="shared" si="2"/>
        <v>0</v>
      </c>
      <c r="P8" s="81">
        <f t="shared" si="3"/>
        <v>0</v>
      </c>
      <c r="Q8" s="81"/>
    </row>
    <row r="9" spans="1:17" ht="15" x14ac:dyDescent="0.25">
      <c r="A9">
        <f>مرتبات!A9</f>
        <v>0</v>
      </c>
      <c r="B9" s="152" t="str">
        <f>مرتبات!B9</f>
        <v>Spare</v>
      </c>
      <c r="C9" s="96">
        <v>0</v>
      </c>
      <c r="D9" s="96">
        <v>0</v>
      </c>
      <c r="E9" s="96">
        <v>0</v>
      </c>
      <c r="F9" s="96">
        <v>0</v>
      </c>
      <c r="G9" s="96">
        <v>0</v>
      </c>
      <c r="H9" s="96">
        <v>0</v>
      </c>
      <c r="I9" s="96">
        <v>0</v>
      </c>
      <c r="J9" s="96">
        <v>0</v>
      </c>
      <c r="K9" s="96">
        <v>0</v>
      </c>
      <c r="L9" s="96">
        <v>0</v>
      </c>
      <c r="M9" s="80">
        <f t="shared" si="0"/>
        <v>0</v>
      </c>
      <c r="N9" s="80">
        <f t="shared" si="1"/>
        <v>0</v>
      </c>
      <c r="O9" s="80">
        <f t="shared" si="2"/>
        <v>0</v>
      </c>
      <c r="P9" s="80">
        <f t="shared" si="3"/>
        <v>0</v>
      </c>
      <c r="Q9" s="80"/>
    </row>
    <row r="10" spans="1:17" ht="15" x14ac:dyDescent="0.25">
      <c r="A10">
        <f>مرتبات!A10</f>
        <v>0</v>
      </c>
      <c r="B10" s="82" t="str">
        <f>مرتبات!B10</f>
        <v>Spare</v>
      </c>
      <c r="C10" s="95">
        <v>0</v>
      </c>
      <c r="D10" s="95">
        <v>0</v>
      </c>
      <c r="E10" s="95">
        <v>0</v>
      </c>
      <c r="F10" s="95">
        <v>0</v>
      </c>
      <c r="G10" s="95">
        <v>0</v>
      </c>
      <c r="H10" s="95">
        <v>0</v>
      </c>
      <c r="I10" s="95">
        <v>0</v>
      </c>
      <c r="J10" s="95">
        <v>0</v>
      </c>
      <c r="K10" s="95">
        <v>0</v>
      </c>
      <c r="L10" s="95">
        <v>0</v>
      </c>
      <c r="M10" s="81">
        <f t="shared" si="0"/>
        <v>0</v>
      </c>
      <c r="N10" s="81">
        <f t="shared" si="1"/>
        <v>0</v>
      </c>
      <c r="O10" s="81">
        <f t="shared" si="2"/>
        <v>0</v>
      </c>
      <c r="P10" s="81">
        <f t="shared" si="3"/>
        <v>0</v>
      </c>
      <c r="Q10" s="81"/>
    </row>
    <row r="11" spans="1:17" ht="15" x14ac:dyDescent="0.25">
      <c r="A11">
        <f>مرتبات!A11</f>
        <v>0</v>
      </c>
      <c r="B11" s="152" t="str">
        <f>مرتبات!B11</f>
        <v>Spare</v>
      </c>
      <c r="C11" s="96">
        <v>0</v>
      </c>
      <c r="D11" s="96">
        <v>0</v>
      </c>
      <c r="E11" s="96">
        <v>0</v>
      </c>
      <c r="F11" s="96">
        <v>0</v>
      </c>
      <c r="G11" s="96">
        <v>0</v>
      </c>
      <c r="H11" s="96">
        <v>0</v>
      </c>
      <c r="I11" s="96">
        <v>0</v>
      </c>
      <c r="J11" s="96">
        <v>0</v>
      </c>
      <c r="K11" s="96">
        <v>0</v>
      </c>
      <c r="L11" s="96">
        <v>0</v>
      </c>
      <c r="M11" s="80">
        <f t="shared" si="0"/>
        <v>0</v>
      </c>
      <c r="N11" s="80">
        <f t="shared" si="1"/>
        <v>0</v>
      </c>
      <c r="O11" s="80">
        <f t="shared" si="2"/>
        <v>0</v>
      </c>
      <c r="P11" s="80">
        <f t="shared" si="3"/>
        <v>0</v>
      </c>
      <c r="Q11" s="80"/>
    </row>
    <row r="12" spans="1:17" ht="15" x14ac:dyDescent="0.25">
      <c r="A12">
        <f>مرتبات!A12</f>
        <v>0</v>
      </c>
      <c r="B12" s="82" t="str">
        <f>مرتبات!B12</f>
        <v>Spare</v>
      </c>
      <c r="C12" s="95">
        <v>0</v>
      </c>
      <c r="D12" s="95">
        <v>0</v>
      </c>
      <c r="E12" s="95">
        <v>0</v>
      </c>
      <c r="F12" s="95">
        <v>0</v>
      </c>
      <c r="G12" s="95">
        <v>0</v>
      </c>
      <c r="H12" s="95">
        <v>0</v>
      </c>
      <c r="I12" s="95">
        <v>0</v>
      </c>
      <c r="J12" s="95">
        <v>0</v>
      </c>
      <c r="K12" s="95">
        <v>0</v>
      </c>
      <c r="L12" s="95">
        <v>0</v>
      </c>
      <c r="M12" s="81">
        <f t="shared" si="0"/>
        <v>0</v>
      </c>
      <c r="N12" s="81">
        <f t="shared" si="1"/>
        <v>0</v>
      </c>
      <c r="O12" s="81">
        <f t="shared" si="2"/>
        <v>0</v>
      </c>
      <c r="P12" s="81">
        <f t="shared" si="3"/>
        <v>0</v>
      </c>
      <c r="Q12" s="81"/>
    </row>
    <row r="13" spans="1:17" ht="15" x14ac:dyDescent="0.25">
      <c r="A13">
        <f>مرتبات!A13</f>
        <v>0</v>
      </c>
      <c r="B13" s="152" t="str">
        <f>مرتبات!B13</f>
        <v>Spare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80">
        <f t="shared" si="0"/>
        <v>0</v>
      </c>
      <c r="N13" s="80">
        <f t="shared" si="1"/>
        <v>0</v>
      </c>
      <c r="O13" s="80">
        <f t="shared" si="2"/>
        <v>0</v>
      </c>
      <c r="P13" s="80">
        <f t="shared" si="3"/>
        <v>0</v>
      </c>
      <c r="Q13" s="80"/>
    </row>
    <row r="14" spans="1:17" ht="15" x14ac:dyDescent="0.25">
      <c r="A14">
        <f>مرتبات!A14</f>
        <v>0</v>
      </c>
      <c r="B14" s="82" t="str">
        <f>مرتبات!B14</f>
        <v>Spare</v>
      </c>
      <c r="C14" s="95">
        <v>0</v>
      </c>
      <c r="D14" s="95">
        <v>0</v>
      </c>
      <c r="E14" s="95">
        <v>0</v>
      </c>
      <c r="F14" s="95">
        <v>0</v>
      </c>
      <c r="G14" s="95">
        <v>0</v>
      </c>
      <c r="H14" s="95">
        <v>0</v>
      </c>
      <c r="I14" s="95">
        <v>0</v>
      </c>
      <c r="J14" s="95">
        <v>0</v>
      </c>
      <c r="K14" s="95">
        <v>0</v>
      </c>
      <c r="L14" s="95">
        <v>0</v>
      </c>
      <c r="M14" s="81">
        <f t="shared" si="0"/>
        <v>0</v>
      </c>
      <c r="N14" s="81">
        <f t="shared" si="1"/>
        <v>0</v>
      </c>
      <c r="O14" s="81">
        <f t="shared" si="2"/>
        <v>0</v>
      </c>
      <c r="P14" s="81">
        <f t="shared" si="3"/>
        <v>0</v>
      </c>
      <c r="Q14" s="81"/>
    </row>
    <row r="15" spans="1:17" ht="15" x14ac:dyDescent="0.25">
      <c r="A15">
        <f>مرتبات!A15</f>
        <v>0</v>
      </c>
      <c r="B15" s="152" t="str">
        <f>مرتبات!B15</f>
        <v>Spare</v>
      </c>
      <c r="C15" s="96">
        <v>0</v>
      </c>
      <c r="D15" s="96">
        <v>0</v>
      </c>
      <c r="E15" s="96">
        <v>0</v>
      </c>
      <c r="F15" s="96">
        <v>0</v>
      </c>
      <c r="G15" s="96">
        <v>0</v>
      </c>
      <c r="H15" s="96">
        <v>0</v>
      </c>
      <c r="I15" s="96">
        <v>0</v>
      </c>
      <c r="J15" s="96">
        <v>0</v>
      </c>
      <c r="K15" s="96">
        <v>0</v>
      </c>
      <c r="L15" s="96">
        <v>0</v>
      </c>
      <c r="M15" s="80">
        <f t="shared" si="0"/>
        <v>0</v>
      </c>
      <c r="N15" s="80">
        <f t="shared" si="1"/>
        <v>0</v>
      </c>
      <c r="O15" s="80">
        <f t="shared" si="2"/>
        <v>0</v>
      </c>
      <c r="P15" s="80">
        <f t="shared" si="3"/>
        <v>0</v>
      </c>
      <c r="Q15" s="80"/>
    </row>
    <row r="16" spans="1:17" ht="15" x14ac:dyDescent="0.25">
      <c r="A16">
        <f>مرتبات!A16</f>
        <v>0</v>
      </c>
      <c r="B16" s="82" t="str">
        <f>مرتبات!B16</f>
        <v>Spare</v>
      </c>
      <c r="C16" s="95">
        <v>0</v>
      </c>
      <c r="D16" s="95">
        <v>0</v>
      </c>
      <c r="E16" s="95">
        <v>0</v>
      </c>
      <c r="F16" s="95">
        <v>0</v>
      </c>
      <c r="G16" s="95">
        <v>0</v>
      </c>
      <c r="H16" s="95">
        <v>0</v>
      </c>
      <c r="I16" s="95">
        <v>0</v>
      </c>
      <c r="J16" s="95">
        <v>0</v>
      </c>
      <c r="K16" s="95">
        <v>0</v>
      </c>
      <c r="L16" s="95">
        <v>0</v>
      </c>
      <c r="M16" s="81">
        <f t="shared" si="0"/>
        <v>0</v>
      </c>
      <c r="N16" s="81">
        <f t="shared" si="1"/>
        <v>0</v>
      </c>
      <c r="O16" s="81">
        <f t="shared" si="2"/>
        <v>0</v>
      </c>
      <c r="P16" s="81">
        <f t="shared" si="3"/>
        <v>0</v>
      </c>
      <c r="Q16" s="81"/>
    </row>
    <row r="17" spans="1:17" ht="15" x14ac:dyDescent="0.25">
      <c r="A17">
        <f>مرتبات!A17</f>
        <v>0</v>
      </c>
      <c r="B17" s="152" t="str">
        <f>مرتبات!B17</f>
        <v>Spare</v>
      </c>
      <c r="C17" s="96">
        <v>0</v>
      </c>
      <c r="D17" s="96">
        <v>0</v>
      </c>
      <c r="E17" s="96">
        <v>0</v>
      </c>
      <c r="F17" s="96">
        <v>0</v>
      </c>
      <c r="G17" s="96">
        <v>0</v>
      </c>
      <c r="H17" s="96">
        <v>0</v>
      </c>
      <c r="I17" s="96">
        <v>0</v>
      </c>
      <c r="J17" s="96">
        <v>0</v>
      </c>
      <c r="K17" s="96">
        <v>0</v>
      </c>
      <c r="L17" s="96">
        <v>0</v>
      </c>
      <c r="M17" s="80">
        <f t="shared" si="0"/>
        <v>0</v>
      </c>
      <c r="N17" s="80">
        <f t="shared" si="1"/>
        <v>0</v>
      </c>
      <c r="O17" s="80">
        <f t="shared" si="2"/>
        <v>0</v>
      </c>
      <c r="P17" s="80">
        <f t="shared" si="3"/>
        <v>0</v>
      </c>
      <c r="Q17" s="80"/>
    </row>
    <row r="18" spans="1:17" ht="15.6" x14ac:dyDescent="0.3">
      <c r="A18">
        <f>مرتبات!A18</f>
        <v>2</v>
      </c>
      <c r="B18" s="151" t="s">
        <v>62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</row>
    <row r="19" spans="1:17" ht="15" x14ac:dyDescent="0.25">
      <c r="A19">
        <f>مرتبات!A19</f>
        <v>1</v>
      </c>
      <c r="B19" s="152" t="str">
        <f>مرتبات!B19</f>
        <v>أ/ناجى رمضان أمين محمد</v>
      </c>
      <c r="C19" s="96">
        <v>0</v>
      </c>
      <c r="D19" s="96">
        <v>0</v>
      </c>
      <c r="E19" s="96">
        <v>0</v>
      </c>
      <c r="F19" s="96">
        <v>0</v>
      </c>
      <c r="G19" s="96">
        <v>0</v>
      </c>
      <c r="H19" s="96">
        <v>0</v>
      </c>
      <c r="I19" s="96">
        <v>0</v>
      </c>
      <c r="J19" s="96">
        <v>9028</v>
      </c>
      <c r="K19" s="96">
        <v>1061</v>
      </c>
      <c r="L19" s="96">
        <v>0</v>
      </c>
      <c r="M19" s="80">
        <f t="shared" si="0"/>
        <v>0</v>
      </c>
      <c r="N19" s="80">
        <f t="shared" si="1"/>
        <v>10089</v>
      </c>
      <c r="O19" s="80">
        <f t="shared" si="2"/>
        <v>0</v>
      </c>
      <c r="P19" s="80">
        <f t="shared" si="3"/>
        <v>10089</v>
      </c>
      <c r="Q19" s="80"/>
    </row>
    <row r="20" spans="1:17" ht="15" x14ac:dyDescent="0.25">
      <c r="A20">
        <f>مرتبات!A20</f>
        <v>2</v>
      </c>
      <c r="B20" s="82" t="str">
        <f>مرتبات!B20</f>
        <v>أ/محمد عبد العزيز عبدالحافظ</v>
      </c>
      <c r="C20" s="95">
        <v>307</v>
      </c>
      <c r="D20" s="95">
        <v>0</v>
      </c>
      <c r="E20" s="95">
        <v>0</v>
      </c>
      <c r="F20" s="95">
        <v>0</v>
      </c>
      <c r="G20" s="95">
        <v>0</v>
      </c>
      <c r="H20" s="95">
        <v>0</v>
      </c>
      <c r="I20" s="95">
        <v>0</v>
      </c>
      <c r="J20" s="95">
        <v>5796</v>
      </c>
      <c r="K20" s="95">
        <v>772</v>
      </c>
      <c r="L20" s="95">
        <v>0</v>
      </c>
      <c r="M20" s="81">
        <f t="shared" si="0"/>
        <v>307</v>
      </c>
      <c r="N20" s="81">
        <f t="shared" si="1"/>
        <v>6568</v>
      </c>
      <c r="O20" s="81">
        <f t="shared" si="2"/>
        <v>0</v>
      </c>
      <c r="P20" s="81">
        <f t="shared" si="3"/>
        <v>6875</v>
      </c>
      <c r="Q20" s="81"/>
    </row>
    <row r="21" spans="1:17" ht="15" x14ac:dyDescent="0.25">
      <c r="A21">
        <f>مرتبات!A21</f>
        <v>3</v>
      </c>
      <c r="B21" s="152" t="str">
        <f>مرتبات!B21</f>
        <v>أ/ أحمد سعيد أحمد محمد علي</v>
      </c>
      <c r="C21" s="96">
        <v>0</v>
      </c>
      <c r="D21" s="96">
        <v>0</v>
      </c>
      <c r="E21" s="96">
        <v>0</v>
      </c>
      <c r="F21" s="96">
        <v>0</v>
      </c>
      <c r="G21" s="96">
        <v>0</v>
      </c>
      <c r="H21" s="96">
        <v>0</v>
      </c>
      <c r="I21" s="96">
        <v>0</v>
      </c>
      <c r="J21" s="96">
        <v>9699</v>
      </c>
      <c r="K21" s="96">
        <v>772</v>
      </c>
      <c r="L21" s="96">
        <v>0</v>
      </c>
      <c r="M21" s="80">
        <f t="shared" si="0"/>
        <v>0</v>
      </c>
      <c r="N21" s="80">
        <f t="shared" si="1"/>
        <v>10471</v>
      </c>
      <c r="O21" s="80">
        <f t="shared" si="2"/>
        <v>0</v>
      </c>
      <c r="P21" s="80">
        <f t="shared" si="3"/>
        <v>10471</v>
      </c>
      <c r="Q21" s="80"/>
    </row>
    <row r="22" spans="1:17" ht="15" x14ac:dyDescent="0.25">
      <c r="A22">
        <f>مرتبات!A22</f>
        <v>4</v>
      </c>
      <c r="B22" s="82" t="str">
        <f>مرتبات!B22</f>
        <v>أ/ إيهاب حمدى إبراهيم امام</v>
      </c>
      <c r="C22" s="95">
        <v>0</v>
      </c>
      <c r="D22" s="95">
        <v>0</v>
      </c>
      <c r="E22" s="95">
        <v>0</v>
      </c>
      <c r="F22" s="95">
        <v>0</v>
      </c>
      <c r="G22" s="95">
        <v>0</v>
      </c>
      <c r="H22" s="95">
        <v>0</v>
      </c>
      <c r="I22" s="95">
        <v>0</v>
      </c>
      <c r="J22" s="95">
        <v>17982</v>
      </c>
      <c r="K22" s="95">
        <v>516</v>
      </c>
      <c r="L22" s="95">
        <v>0</v>
      </c>
      <c r="M22" s="81">
        <f t="shared" si="0"/>
        <v>0</v>
      </c>
      <c r="N22" s="81">
        <f t="shared" si="1"/>
        <v>18498</v>
      </c>
      <c r="O22" s="81">
        <f t="shared" si="2"/>
        <v>0</v>
      </c>
      <c r="P22" s="81">
        <f t="shared" si="3"/>
        <v>18498</v>
      </c>
      <c r="Q22" s="81"/>
    </row>
    <row r="23" spans="1:17" ht="15" x14ac:dyDescent="0.25">
      <c r="A23">
        <f>مرتبات!A23</f>
        <v>5</v>
      </c>
      <c r="B23" s="152" t="str">
        <f>مرتبات!B23</f>
        <v>أ/منة الله البلتاجى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15000</v>
      </c>
      <c r="K23" s="96">
        <v>516</v>
      </c>
      <c r="L23" s="96">
        <v>0</v>
      </c>
      <c r="M23" s="80">
        <f t="shared" si="0"/>
        <v>0</v>
      </c>
      <c r="N23" s="80">
        <f t="shared" si="1"/>
        <v>15516</v>
      </c>
      <c r="O23" s="80">
        <f t="shared" si="2"/>
        <v>0</v>
      </c>
      <c r="P23" s="80">
        <f t="shared" si="3"/>
        <v>15516</v>
      </c>
      <c r="Q23" s="80"/>
    </row>
    <row r="24" spans="1:17" ht="15" x14ac:dyDescent="0.25">
      <c r="A24">
        <f>مرتبات!A24</f>
        <v>6</v>
      </c>
      <c r="B24" s="82" t="str">
        <f>مرتبات!B24</f>
        <v>أ/نهى عمرو محمد رضوان</v>
      </c>
      <c r="C24" s="95">
        <v>0</v>
      </c>
      <c r="D24" s="95">
        <v>0</v>
      </c>
      <c r="E24" s="95">
        <v>0</v>
      </c>
      <c r="F24" s="95">
        <v>0</v>
      </c>
      <c r="G24" s="95">
        <v>0</v>
      </c>
      <c r="H24" s="95">
        <v>0</v>
      </c>
      <c r="I24" s="95">
        <v>0</v>
      </c>
      <c r="J24" s="154">
        <v>8485</v>
      </c>
      <c r="K24" s="154">
        <v>430</v>
      </c>
      <c r="L24" s="95">
        <v>0</v>
      </c>
      <c r="M24" s="81">
        <f t="shared" si="0"/>
        <v>0</v>
      </c>
      <c r="N24" s="81">
        <f t="shared" si="1"/>
        <v>8915</v>
      </c>
      <c r="O24" s="81">
        <f t="shared" si="2"/>
        <v>0</v>
      </c>
      <c r="P24" s="81">
        <f t="shared" si="3"/>
        <v>8915</v>
      </c>
      <c r="Q24" s="81"/>
    </row>
    <row r="25" spans="1:17" ht="15" x14ac:dyDescent="0.25">
      <c r="A25">
        <f>مرتبات!A25</f>
        <v>7</v>
      </c>
      <c r="B25" s="152" t="str">
        <f>مرتبات!B25</f>
        <v>أ/فرح عبدالله محمود النحاس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8736</v>
      </c>
      <c r="K25" s="96">
        <v>430</v>
      </c>
      <c r="L25" s="96">
        <v>0</v>
      </c>
      <c r="M25" s="80">
        <f t="shared" si="0"/>
        <v>0</v>
      </c>
      <c r="N25" s="80">
        <f t="shared" si="1"/>
        <v>9166</v>
      </c>
      <c r="O25" s="80">
        <f t="shared" si="2"/>
        <v>0</v>
      </c>
      <c r="P25" s="80">
        <f t="shared" si="3"/>
        <v>9166</v>
      </c>
      <c r="Q25" s="80"/>
    </row>
    <row r="26" spans="1:17" ht="15" x14ac:dyDescent="0.25">
      <c r="A26">
        <f>مرتبات!A26</f>
        <v>8</v>
      </c>
      <c r="B26" s="82" t="str">
        <f>مرتبات!B26</f>
        <v>أ/محمد حمدى كامل</v>
      </c>
      <c r="C26" s="95">
        <v>307</v>
      </c>
      <c r="D26" s="95">
        <v>0</v>
      </c>
      <c r="E26" s="95">
        <v>0</v>
      </c>
      <c r="F26" s="95">
        <v>0</v>
      </c>
      <c r="G26" s="95">
        <v>0</v>
      </c>
      <c r="H26" s="95">
        <v>0</v>
      </c>
      <c r="I26" s="95">
        <v>0</v>
      </c>
      <c r="J26" s="95">
        <v>6639</v>
      </c>
      <c r="K26" s="95">
        <v>516</v>
      </c>
      <c r="L26" s="95">
        <v>0</v>
      </c>
      <c r="M26" s="81">
        <f t="shared" si="0"/>
        <v>307</v>
      </c>
      <c r="N26" s="81">
        <f t="shared" si="1"/>
        <v>7155</v>
      </c>
      <c r="O26" s="81">
        <f t="shared" si="2"/>
        <v>0</v>
      </c>
      <c r="P26" s="81">
        <f t="shared" si="3"/>
        <v>7462</v>
      </c>
      <c r="Q26" s="81"/>
    </row>
    <row r="27" spans="1:17" ht="15" x14ac:dyDescent="0.25">
      <c r="A27">
        <f>مرتبات!A27</f>
        <v>0</v>
      </c>
      <c r="B27" s="152" t="str">
        <f>مرتبات!B27</f>
        <v>Spare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80">
        <f t="shared" si="0"/>
        <v>0</v>
      </c>
      <c r="N27" s="80">
        <f t="shared" si="1"/>
        <v>0</v>
      </c>
      <c r="O27" s="80">
        <f t="shared" si="2"/>
        <v>0</v>
      </c>
      <c r="P27" s="80">
        <f t="shared" si="3"/>
        <v>0</v>
      </c>
      <c r="Q27" s="80"/>
    </row>
    <row r="28" spans="1:17" ht="15" x14ac:dyDescent="0.25">
      <c r="A28">
        <f>مرتبات!A28</f>
        <v>0</v>
      </c>
      <c r="B28" s="82" t="str">
        <f>مرتبات!B28</f>
        <v>Spare</v>
      </c>
      <c r="C28" s="95">
        <v>0</v>
      </c>
      <c r="D28" s="95">
        <v>0</v>
      </c>
      <c r="E28" s="95">
        <v>0</v>
      </c>
      <c r="F28" s="95">
        <v>0</v>
      </c>
      <c r="G28" s="95">
        <v>0</v>
      </c>
      <c r="H28" s="95">
        <v>0</v>
      </c>
      <c r="I28" s="95">
        <v>0</v>
      </c>
      <c r="J28" s="95">
        <v>0</v>
      </c>
      <c r="K28" s="95">
        <v>0</v>
      </c>
      <c r="L28" s="95">
        <v>0</v>
      </c>
      <c r="M28" s="81">
        <f t="shared" si="0"/>
        <v>0</v>
      </c>
      <c r="N28" s="81">
        <f t="shared" si="1"/>
        <v>0</v>
      </c>
      <c r="O28" s="81">
        <f t="shared" si="2"/>
        <v>0</v>
      </c>
      <c r="P28" s="81">
        <f t="shared" si="3"/>
        <v>0</v>
      </c>
      <c r="Q28" s="81"/>
    </row>
    <row r="29" spans="1:17" ht="15" x14ac:dyDescent="0.25">
      <c r="A29">
        <f>مرتبات!A29</f>
        <v>0</v>
      </c>
      <c r="B29" s="152" t="str">
        <f>مرتبات!B29</f>
        <v>Spare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80">
        <f t="shared" si="0"/>
        <v>0</v>
      </c>
      <c r="N29" s="80">
        <f t="shared" si="1"/>
        <v>0</v>
      </c>
      <c r="O29" s="80">
        <f t="shared" si="2"/>
        <v>0</v>
      </c>
      <c r="P29" s="80">
        <f t="shared" si="3"/>
        <v>0</v>
      </c>
      <c r="Q29" s="80"/>
    </row>
    <row r="30" spans="1:17" ht="15" x14ac:dyDescent="0.25">
      <c r="A30">
        <f>مرتبات!A30</f>
        <v>0</v>
      </c>
      <c r="B30" s="82" t="str">
        <f>مرتبات!B30</f>
        <v>Spare</v>
      </c>
      <c r="C30" s="95">
        <v>0</v>
      </c>
      <c r="D30" s="95">
        <v>0</v>
      </c>
      <c r="E30" s="95">
        <v>0</v>
      </c>
      <c r="F30" s="95">
        <v>0</v>
      </c>
      <c r="G30" s="95">
        <v>0</v>
      </c>
      <c r="H30" s="95">
        <v>0</v>
      </c>
      <c r="I30" s="95">
        <v>0</v>
      </c>
      <c r="J30" s="95">
        <v>0</v>
      </c>
      <c r="K30" s="95">
        <v>0</v>
      </c>
      <c r="L30" s="95">
        <v>0</v>
      </c>
      <c r="M30" s="81">
        <f t="shared" si="0"/>
        <v>0</v>
      </c>
      <c r="N30" s="81">
        <f t="shared" si="1"/>
        <v>0</v>
      </c>
      <c r="O30" s="81">
        <f t="shared" si="2"/>
        <v>0</v>
      </c>
      <c r="P30" s="81">
        <f t="shared" si="3"/>
        <v>0</v>
      </c>
      <c r="Q30" s="81"/>
    </row>
    <row r="31" spans="1:17" ht="15" x14ac:dyDescent="0.25">
      <c r="A31">
        <f>مرتبات!A31</f>
        <v>0</v>
      </c>
      <c r="B31" s="152" t="str">
        <f>مرتبات!B31</f>
        <v>Spare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80">
        <f t="shared" si="0"/>
        <v>0</v>
      </c>
      <c r="N31" s="80">
        <f t="shared" si="1"/>
        <v>0</v>
      </c>
      <c r="O31" s="80">
        <f t="shared" si="2"/>
        <v>0</v>
      </c>
      <c r="P31" s="80">
        <f t="shared" si="3"/>
        <v>0</v>
      </c>
      <c r="Q31" s="80"/>
    </row>
    <row r="32" spans="1:17" ht="15" x14ac:dyDescent="0.25">
      <c r="A32">
        <f>مرتبات!A32</f>
        <v>0</v>
      </c>
      <c r="B32" s="82" t="str">
        <f>مرتبات!B32</f>
        <v>Spare</v>
      </c>
      <c r="C32" s="95">
        <v>0</v>
      </c>
      <c r="D32" s="95">
        <v>0</v>
      </c>
      <c r="E32" s="95">
        <v>0</v>
      </c>
      <c r="F32" s="95">
        <v>0</v>
      </c>
      <c r="G32" s="95">
        <v>0</v>
      </c>
      <c r="H32" s="95">
        <v>0</v>
      </c>
      <c r="I32" s="95">
        <v>0</v>
      </c>
      <c r="J32" s="95">
        <v>0</v>
      </c>
      <c r="K32" s="95">
        <v>0</v>
      </c>
      <c r="L32" s="95">
        <v>0</v>
      </c>
      <c r="M32" s="81">
        <f t="shared" si="0"/>
        <v>0</v>
      </c>
      <c r="N32" s="81">
        <f t="shared" si="1"/>
        <v>0</v>
      </c>
      <c r="O32" s="81">
        <f t="shared" si="2"/>
        <v>0</v>
      </c>
      <c r="P32" s="81">
        <f t="shared" si="3"/>
        <v>0</v>
      </c>
      <c r="Q32" s="81"/>
    </row>
    <row r="33" spans="1:17" ht="15" x14ac:dyDescent="0.25">
      <c r="A33">
        <f>مرتبات!A33</f>
        <v>9</v>
      </c>
      <c r="B33" s="152" t="str">
        <f>مرتبات!B33</f>
        <v>أ/أحمد سيف الدين أبو بكر سري الدين</v>
      </c>
      <c r="C33" s="96">
        <v>0</v>
      </c>
      <c r="D33" s="96">
        <v>0</v>
      </c>
      <c r="E33" s="96">
        <v>0</v>
      </c>
      <c r="F33" s="96">
        <v>0</v>
      </c>
      <c r="G33" s="96">
        <v>0</v>
      </c>
      <c r="H33" s="96">
        <v>0</v>
      </c>
      <c r="I33" s="96">
        <v>3749</v>
      </c>
      <c r="J33" s="96">
        <v>3621</v>
      </c>
      <c r="K33" s="96">
        <v>593</v>
      </c>
      <c r="L33" s="96">
        <v>0</v>
      </c>
      <c r="M33" s="80">
        <f t="shared" si="0"/>
        <v>0</v>
      </c>
      <c r="N33" s="80">
        <f t="shared" si="1"/>
        <v>7963</v>
      </c>
      <c r="O33" s="80">
        <f t="shared" si="2"/>
        <v>0</v>
      </c>
      <c r="P33" s="80">
        <f t="shared" si="3"/>
        <v>7963</v>
      </c>
      <c r="Q33" s="80"/>
    </row>
    <row r="34" spans="1:17" ht="15" x14ac:dyDescent="0.25">
      <c r="A34">
        <f>مرتبات!A34</f>
        <v>10</v>
      </c>
      <c r="B34" s="82" t="str">
        <f>مرتبات!B34</f>
        <v>أ/هاني أحمد الدالي</v>
      </c>
      <c r="C34" s="95">
        <v>200</v>
      </c>
      <c r="D34" s="95">
        <v>0</v>
      </c>
      <c r="E34" s="95">
        <v>0</v>
      </c>
      <c r="F34" s="95">
        <v>0</v>
      </c>
      <c r="G34" s="95">
        <v>0</v>
      </c>
      <c r="H34" s="95">
        <v>0</v>
      </c>
      <c r="I34" s="95">
        <v>0</v>
      </c>
      <c r="J34" s="95">
        <v>2215</v>
      </c>
      <c r="K34" s="95">
        <v>516</v>
      </c>
      <c r="L34" s="95">
        <v>0</v>
      </c>
      <c r="M34" s="81">
        <f t="shared" si="0"/>
        <v>200</v>
      </c>
      <c r="N34" s="81">
        <f t="shared" si="1"/>
        <v>2731</v>
      </c>
      <c r="O34" s="81">
        <f t="shared" si="2"/>
        <v>0</v>
      </c>
      <c r="P34" s="81">
        <f t="shared" si="3"/>
        <v>2931</v>
      </c>
      <c r="Q34" s="81"/>
    </row>
    <row r="35" spans="1:17" ht="15" x14ac:dyDescent="0.25">
      <c r="A35">
        <f>مرتبات!A35</f>
        <v>11</v>
      </c>
      <c r="B35" s="152" t="str">
        <f>مرتبات!B35</f>
        <v>أ/ عبدالرحمن أحمد عبدالعزيز حسن</v>
      </c>
      <c r="C35" s="96">
        <v>0</v>
      </c>
      <c r="D35" s="96">
        <v>0</v>
      </c>
      <c r="E35" s="96">
        <v>0</v>
      </c>
      <c r="F35" s="96">
        <v>0</v>
      </c>
      <c r="G35" s="96">
        <v>0</v>
      </c>
      <c r="H35" s="96">
        <v>0</v>
      </c>
      <c r="I35" s="96">
        <v>0</v>
      </c>
      <c r="J35" s="96">
        <v>233</v>
      </c>
      <c r="K35" s="96">
        <v>663</v>
      </c>
      <c r="L35" s="96">
        <v>0</v>
      </c>
      <c r="M35" s="80">
        <f t="shared" si="0"/>
        <v>0</v>
      </c>
      <c r="N35" s="80">
        <f t="shared" si="1"/>
        <v>896</v>
      </c>
      <c r="O35" s="80">
        <f t="shared" si="2"/>
        <v>0</v>
      </c>
      <c r="P35" s="80">
        <f t="shared" si="3"/>
        <v>896</v>
      </c>
      <c r="Q35" s="80"/>
    </row>
    <row r="36" spans="1:17" ht="15" x14ac:dyDescent="0.25">
      <c r="A36">
        <f>مرتبات!A36</f>
        <v>12</v>
      </c>
      <c r="B36" s="82" t="str">
        <f>مرتبات!B36</f>
        <v>أ/ حسين شريف محمد منير عامر</v>
      </c>
      <c r="C36" s="95">
        <v>0</v>
      </c>
      <c r="D36" s="95">
        <v>0</v>
      </c>
      <c r="E36" s="95">
        <v>0</v>
      </c>
      <c r="F36" s="95">
        <v>0</v>
      </c>
      <c r="G36" s="95">
        <v>0</v>
      </c>
      <c r="H36" s="95">
        <v>0</v>
      </c>
      <c r="I36" s="95">
        <v>0</v>
      </c>
      <c r="J36" s="95">
        <v>0</v>
      </c>
      <c r="K36" s="95">
        <v>0</v>
      </c>
      <c r="L36" s="95">
        <v>0</v>
      </c>
      <c r="M36" s="81">
        <f t="shared" si="0"/>
        <v>0</v>
      </c>
      <c r="N36" s="81">
        <f t="shared" si="1"/>
        <v>0</v>
      </c>
      <c r="O36" s="81">
        <f t="shared" si="2"/>
        <v>0</v>
      </c>
      <c r="P36" s="81">
        <f t="shared" si="3"/>
        <v>0</v>
      </c>
      <c r="Q36" s="81"/>
    </row>
    <row r="37" spans="1:17" ht="15" x14ac:dyDescent="0.25">
      <c r="A37">
        <f>مرتبات!A37</f>
        <v>0</v>
      </c>
      <c r="B37" s="152" t="str">
        <f>مرتبات!B37</f>
        <v>Spare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80">
        <f t="shared" si="0"/>
        <v>0</v>
      </c>
      <c r="N37" s="80">
        <f t="shared" si="1"/>
        <v>0</v>
      </c>
      <c r="O37" s="80">
        <f t="shared" si="2"/>
        <v>0</v>
      </c>
      <c r="P37" s="80">
        <f t="shared" si="3"/>
        <v>0</v>
      </c>
      <c r="Q37" s="80"/>
    </row>
    <row r="38" spans="1:17" ht="15" x14ac:dyDescent="0.25">
      <c r="A38">
        <f>مرتبات!A38</f>
        <v>0</v>
      </c>
      <c r="B38" s="82" t="str">
        <f>مرتبات!B38</f>
        <v>Spare</v>
      </c>
      <c r="C38" s="95">
        <v>0</v>
      </c>
      <c r="D38" s="95">
        <v>0</v>
      </c>
      <c r="E38" s="95">
        <v>0</v>
      </c>
      <c r="F38" s="95">
        <v>0</v>
      </c>
      <c r="G38" s="95">
        <v>0</v>
      </c>
      <c r="H38" s="95">
        <v>0</v>
      </c>
      <c r="I38" s="95">
        <v>0</v>
      </c>
      <c r="J38" s="95">
        <v>0</v>
      </c>
      <c r="K38" s="95">
        <v>0</v>
      </c>
      <c r="L38" s="95">
        <v>0</v>
      </c>
      <c r="M38" s="81">
        <f t="shared" si="0"/>
        <v>0</v>
      </c>
      <c r="N38" s="81">
        <f t="shared" si="1"/>
        <v>0</v>
      </c>
      <c r="O38" s="81">
        <f t="shared" si="2"/>
        <v>0</v>
      </c>
      <c r="P38" s="81">
        <f t="shared" si="3"/>
        <v>0</v>
      </c>
      <c r="Q38" s="81"/>
    </row>
    <row r="39" spans="1:17" ht="15" x14ac:dyDescent="0.25">
      <c r="A39">
        <f>مرتبات!A39</f>
        <v>0</v>
      </c>
      <c r="B39" s="152" t="str">
        <f>مرتبات!B39</f>
        <v>Spare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80">
        <f t="shared" si="0"/>
        <v>0</v>
      </c>
      <c r="N39" s="80">
        <f t="shared" si="1"/>
        <v>0</v>
      </c>
      <c r="O39" s="80">
        <f t="shared" si="2"/>
        <v>0</v>
      </c>
      <c r="P39" s="80">
        <f t="shared" si="3"/>
        <v>0</v>
      </c>
      <c r="Q39" s="80"/>
    </row>
    <row r="40" spans="1:17" ht="15" x14ac:dyDescent="0.25">
      <c r="A40">
        <f>مرتبات!A40</f>
        <v>0</v>
      </c>
      <c r="B40" s="82" t="str">
        <f>مرتبات!B40</f>
        <v>Spare</v>
      </c>
      <c r="C40" s="95">
        <v>0</v>
      </c>
      <c r="D40" s="95">
        <v>0</v>
      </c>
      <c r="E40" s="95">
        <v>0</v>
      </c>
      <c r="F40" s="95">
        <v>0</v>
      </c>
      <c r="G40" s="95">
        <v>0</v>
      </c>
      <c r="H40" s="95">
        <v>0</v>
      </c>
      <c r="I40" s="95">
        <v>0</v>
      </c>
      <c r="J40" s="95">
        <v>0</v>
      </c>
      <c r="K40" s="95">
        <v>0</v>
      </c>
      <c r="L40" s="95">
        <v>0</v>
      </c>
      <c r="M40" s="81">
        <f t="shared" si="0"/>
        <v>0</v>
      </c>
      <c r="N40" s="81">
        <f t="shared" si="1"/>
        <v>0</v>
      </c>
      <c r="O40" s="81">
        <f t="shared" si="2"/>
        <v>0</v>
      </c>
      <c r="P40" s="81">
        <f t="shared" si="3"/>
        <v>0</v>
      </c>
      <c r="Q40" s="81"/>
    </row>
    <row r="41" spans="1:17" ht="15" x14ac:dyDescent="0.25">
      <c r="A41">
        <f>مرتبات!A41</f>
        <v>0</v>
      </c>
      <c r="B41" s="152" t="str">
        <f>مرتبات!B41</f>
        <v>Spare</v>
      </c>
      <c r="C41" s="96">
        <v>0</v>
      </c>
      <c r="D41" s="96">
        <v>0</v>
      </c>
      <c r="E41" s="96">
        <v>0</v>
      </c>
      <c r="F41" s="96">
        <v>0</v>
      </c>
      <c r="G41" s="96">
        <v>0</v>
      </c>
      <c r="H41" s="96">
        <v>0</v>
      </c>
      <c r="I41" s="96">
        <v>0</v>
      </c>
      <c r="J41" s="96">
        <v>0</v>
      </c>
      <c r="K41" s="96">
        <v>0</v>
      </c>
      <c r="L41" s="96">
        <v>0</v>
      </c>
      <c r="M41" s="80">
        <f t="shared" si="0"/>
        <v>0</v>
      </c>
      <c r="N41" s="80">
        <f t="shared" si="1"/>
        <v>0</v>
      </c>
      <c r="O41" s="80">
        <f t="shared" si="2"/>
        <v>0</v>
      </c>
      <c r="P41" s="80">
        <f t="shared" si="3"/>
        <v>0</v>
      </c>
      <c r="Q41" s="80"/>
    </row>
    <row r="42" spans="1:17" ht="15" x14ac:dyDescent="0.25">
      <c r="A42">
        <f>مرتبات!A42</f>
        <v>0</v>
      </c>
      <c r="B42" s="82" t="str">
        <f>مرتبات!B42</f>
        <v>Spare</v>
      </c>
      <c r="C42" s="95">
        <v>0</v>
      </c>
      <c r="D42" s="95">
        <v>0</v>
      </c>
      <c r="E42" s="95">
        <v>0</v>
      </c>
      <c r="F42" s="95">
        <v>0</v>
      </c>
      <c r="G42" s="95">
        <v>0</v>
      </c>
      <c r="H42" s="95">
        <v>0</v>
      </c>
      <c r="I42" s="95">
        <v>0</v>
      </c>
      <c r="J42" s="95">
        <v>0</v>
      </c>
      <c r="K42" s="95">
        <v>0</v>
      </c>
      <c r="L42" s="95">
        <v>0</v>
      </c>
      <c r="M42" s="81">
        <f t="shared" si="0"/>
        <v>0</v>
      </c>
      <c r="N42" s="81">
        <f t="shared" si="1"/>
        <v>0</v>
      </c>
      <c r="O42" s="81">
        <f t="shared" si="2"/>
        <v>0</v>
      </c>
      <c r="P42" s="81">
        <f t="shared" si="3"/>
        <v>0</v>
      </c>
      <c r="Q42" s="81"/>
    </row>
    <row r="43" spans="1:17" ht="15" x14ac:dyDescent="0.25">
      <c r="A43">
        <f>مرتبات!A43</f>
        <v>0</v>
      </c>
      <c r="B43" s="152" t="str">
        <f>مرتبات!B43</f>
        <v>Spare</v>
      </c>
      <c r="C43" s="96">
        <v>0</v>
      </c>
      <c r="D43" s="96">
        <v>0</v>
      </c>
      <c r="E43" s="96">
        <v>0</v>
      </c>
      <c r="F43" s="96">
        <v>0</v>
      </c>
      <c r="G43" s="96">
        <v>0</v>
      </c>
      <c r="H43" s="96">
        <v>0</v>
      </c>
      <c r="I43" s="96">
        <v>0</v>
      </c>
      <c r="J43" s="96">
        <v>0</v>
      </c>
      <c r="K43" s="96">
        <v>0</v>
      </c>
      <c r="L43" s="96">
        <v>0</v>
      </c>
      <c r="M43" s="80">
        <f t="shared" si="0"/>
        <v>0</v>
      </c>
      <c r="N43" s="80">
        <f t="shared" si="1"/>
        <v>0</v>
      </c>
      <c r="O43" s="80">
        <f t="shared" si="2"/>
        <v>0</v>
      </c>
      <c r="P43" s="80">
        <f t="shared" si="3"/>
        <v>0</v>
      </c>
      <c r="Q43" s="80"/>
    </row>
    <row r="44" spans="1:17" ht="15" x14ac:dyDescent="0.25">
      <c r="A44">
        <f>مرتبات!A44</f>
        <v>0</v>
      </c>
      <c r="B44" s="82" t="str">
        <f>مرتبات!B44</f>
        <v>Spare</v>
      </c>
      <c r="C44" s="95">
        <v>0</v>
      </c>
      <c r="D44" s="95">
        <v>0</v>
      </c>
      <c r="E44" s="95">
        <v>0</v>
      </c>
      <c r="F44" s="95">
        <v>0</v>
      </c>
      <c r="G44" s="95">
        <v>0</v>
      </c>
      <c r="H44" s="95">
        <v>0</v>
      </c>
      <c r="I44" s="95">
        <v>0</v>
      </c>
      <c r="J44" s="95">
        <v>0</v>
      </c>
      <c r="K44" s="95">
        <v>0</v>
      </c>
      <c r="L44" s="95">
        <v>0</v>
      </c>
      <c r="M44" s="81">
        <f t="shared" si="0"/>
        <v>0</v>
      </c>
      <c r="N44" s="81">
        <f t="shared" si="1"/>
        <v>0</v>
      </c>
      <c r="O44" s="81">
        <f t="shared" si="2"/>
        <v>0</v>
      </c>
      <c r="P44" s="81">
        <f t="shared" si="3"/>
        <v>0</v>
      </c>
      <c r="Q44" s="81"/>
    </row>
    <row r="45" spans="1:17" ht="15" x14ac:dyDescent="0.25">
      <c r="A45">
        <f>مرتبات!A45</f>
        <v>13</v>
      </c>
      <c r="B45" s="152" t="str">
        <f>مرتبات!B45</f>
        <v>أ/ ياسمين صفوت صلاح الدين إبراهيم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619</v>
      </c>
      <c r="K45" s="96">
        <v>381</v>
      </c>
      <c r="L45" s="96">
        <v>0</v>
      </c>
      <c r="M45" s="80">
        <f t="shared" si="0"/>
        <v>0</v>
      </c>
      <c r="N45" s="80">
        <f t="shared" si="1"/>
        <v>1000</v>
      </c>
      <c r="O45" s="80">
        <f t="shared" si="2"/>
        <v>0</v>
      </c>
      <c r="P45" s="80">
        <f t="shared" si="3"/>
        <v>1000</v>
      </c>
      <c r="Q45" s="80"/>
    </row>
    <row r="46" spans="1:17" ht="15" x14ac:dyDescent="0.25">
      <c r="A46">
        <f>مرتبات!A46</f>
        <v>14</v>
      </c>
      <c r="B46" s="82" t="str">
        <f>مرتبات!B46</f>
        <v>أ/حبيبة محمود سمير محمود عيسى</v>
      </c>
      <c r="C46" s="95">
        <v>0</v>
      </c>
      <c r="D46" s="95">
        <v>0</v>
      </c>
      <c r="E46" s="95">
        <v>0</v>
      </c>
      <c r="F46" s="95">
        <v>0</v>
      </c>
      <c r="G46" s="95">
        <v>0</v>
      </c>
      <c r="H46" s="95">
        <v>0</v>
      </c>
      <c r="I46" s="95">
        <v>0</v>
      </c>
      <c r="J46" s="95">
        <v>359</v>
      </c>
      <c r="K46" s="95">
        <v>309</v>
      </c>
      <c r="L46" s="95">
        <v>0</v>
      </c>
      <c r="M46" s="81">
        <f t="shared" si="0"/>
        <v>0</v>
      </c>
      <c r="N46" s="81">
        <f t="shared" si="1"/>
        <v>668</v>
      </c>
      <c r="O46" s="81">
        <f t="shared" si="2"/>
        <v>0</v>
      </c>
      <c r="P46" s="81">
        <f t="shared" si="3"/>
        <v>668</v>
      </c>
      <c r="Q46" s="81"/>
    </row>
    <row r="47" spans="1:17" ht="15" x14ac:dyDescent="0.25">
      <c r="A47">
        <f>مرتبات!A47</f>
        <v>15</v>
      </c>
      <c r="B47" s="152" t="str">
        <f>مرتبات!B47</f>
        <v>أ/ أحمد أبو العباس محمد الإتربي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</v>
      </c>
      <c r="J47" s="96">
        <v>0</v>
      </c>
      <c r="K47" s="96">
        <v>0</v>
      </c>
      <c r="L47" s="96">
        <v>0</v>
      </c>
      <c r="M47" s="80">
        <f t="shared" si="0"/>
        <v>0</v>
      </c>
      <c r="N47" s="80">
        <f t="shared" si="1"/>
        <v>0</v>
      </c>
      <c r="O47" s="80">
        <f t="shared" si="2"/>
        <v>0</v>
      </c>
      <c r="P47" s="80">
        <f t="shared" si="3"/>
        <v>0</v>
      </c>
      <c r="Q47" s="80"/>
    </row>
    <row r="48" spans="1:17" ht="15" x14ac:dyDescent="0.25">
      <c r="A48">
        <f>مرتبات!A48</f>
        <v>16</v>
      </c>
      <c r="B48" s="82" t="str">
        <f>مرتبات!B48</f>
        <v xml:space="preserve">أ/ ليلي امين محمد امين طموم </v>
      </c>
      <c r="C48" s="95">
        <v>0</v>
      </c>
      <c r="D48" s="95">
        <v>0</v>
      </c>
      <c r="E48" s="95">
        <v>0</v>
      </c>
      <c r="F48" s="95">
        <v>0</v>
      </c>
      <c r="G48" s="95">
        <v>0</v>
      </c>
      <c r="H48" s="95">
        <v>0</v>
      </c>
      <c r="I48" s="95">
        <v>0</v>
      </c>
      <c r="J48" s="95">
        <v>0</v>
      </c>
      <c r="K48" s="95">
        <v>0</v>
      </c>
      <c r="L48" s="95">
        <v>0</v>
      </c>
      <c r="M48" s="81">
        <f t="shared" si="0"/>
        <v>0</v>
      </c>
      <c r="N48" s="81">
        <f t="shared" si="1"/>
        <v>0</v>
      </c>
      <c r="O48" s="81">
        <f t="shared" si="2"/>
        <v>0</v>
      </c>
      <c r="P48" s="81">
        <f t="shared" si="3"/>
        <v>0</v>
      </c>
      <c r="Q48" s="81"/>
    </row>
    <row r="49" spans="1:17" ht="15" x14ac:dyDescent="0.25">
      <c r="A49">
        <f>مرتبات!A49</f>
        <v>0</v>
      </c>
      <c r="B49" s="152" t="str">
        <f>مرتبات!B49</f>
        <v>Spare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80">
        <f t="shared" si="0"/>
        <v>0</v>
      </c>
      <c r="N49" s="80">
        <f t="shared" si="1"/>
        <v>0</v>
      </c>
      <c r="O49" s="80">
        <f t="shared" si="2"/>
        <v>0</v>
      </c>
      <c r="P49" s="80">
        <f t="shared" si="3"/>
        <v>0</v>
      </c>
      <c r="Q49" s="80"/>
    </row>
    <row r="50" spans="1:17" ht="15" x14ac:dyDescent="0.25">
      <c r="A50">
        <f>مرتبات!A50</f>
        <v>0</v>
      </c>
      <c r="B50" s="82" t="str">
        <f>مرتبات!B50</f>
        <v>Spare</v>
      </c>
      <c r="C50" s="95">
        <v>0</v>
      </c>
      <c r="D50" s="95">
        <v>0</v>
      </c>
      <c r="E50" s="95">
        <v>0</v>
      </c>
      <c r="F50" s="95">
        <v>0</v>
      </c>
      <c r="G50" s="95">
        <v>0</v>
      </c>
      <c r="H50" s="95">
        <v>0</v>
      </c>
      <c r="I50" s="95">
        <v>0</v>
      </c>
      <c r="J50" s="95">
        <v>0</v>
      </c>
      <c r="K50" s="95">
        <v>0</v>
      </c>
      <c r="L50" s="95">
        <v>0</v>
      </c>
      <c r="M50" s="81">
        <f t="shared" si="0"/>
        <v>0</v>
      </c>
      <c r="N50" s="81">
        <f t="shared" si="1"/>
        <v>0</v>
      </c>
      <c r="O50" s="81">
        <f t="shared" si="2"/>
        <v>0</v>
      </c>
      <c r="P50" s="81">
        <f t="shared" si="3"/>
        <v>0</v>
      </c>
      <c r="Q50" s="81"/>
    </row>
    <row r="51" spans="1:17" ht="15" x14ac:dyDescent="0.25">
      <c r="A51">
        <f>مرتبات!A51</f>
        <v>0</v>
      </c>
      <c r="B51" s="152" t="str">
        <f>مرتبات!B51</f>
        <v>Spare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80">
        <f t="shared" si="0"/>
        <v>0</v>
      </c>
      <c r="N51" s="80">
        <f t="shared" si="1"/>
        <v>0</v>
      </c>
      <c r="O51" s="80">
        <f t="shared" si="2"/>
        <v>0</v>
      </c>
      <c r="P51" s="80">
        <f t="shared" si="3"/>
        <v>0</v>
      </c>
      <c r="Q51" s="80"/>
    </row>
    <row r="52" spans="1:17" ht="15" x14ac:dyDescent="0.25">
      <c r="A52">
        <f>مرتبات!A52</f>
        <v>0</v>
      </c>
      <c r="B52" s="82" t="str">
        <f>مرتبات!B52</f>
        <v>Spare</v>
      </c>
      <c r="C52" s="95">
        <v>0</v>
      </c>
      <c r="D52" s="95">
        <v>0</v>
      </c>
      <c r="E52" s="95">
        <v>0</v>
      </c>
      <c r="F52" s="95">
        <v>0</v>
      </c>
      <c r="G52" s="95">
        <v>0</v>
      </c>
      <c r="H52" s="95">
        <v>0</v>
      </c>
      <c r="I52" s="95">
        <v>0</v>
      </c>
      <c r="J52" s="95">
        <v>0</v>
      </c>
      <c r="K52" s="95">
        <v>0</v>
      </c>
      <c r="L52" s="95">
        <v>0</v>
      </c>
      <c r="M52" s="81">
        <f t="shared" si="0"/>
        <v>0</v>
      </c>
      <c r="N52" s="81">
        <f t="shared" si="1"/>
        <v>0</v>
      </c>
      <c r="O52" s="81">
        <f t="shared" si="2"/>
        <v>0</v>
      </c>
      <c r="P52" s="81">
        <f t="shared" si="3"/>
        <v>0</v>
      </c>
      <c r="Q52" s="81"/>
    </row>
    <row r="53" spans="1:17" ht="15" x14ac:dyDescent="0.25">
      <c r="A53">
        <f>مرتبات!A53</f>
        <v>0</v>
      </c>
      <c r="B53" s="152" t="str">
        <f>مرتبات!B53</f>
        <v>Spare</v>
      </c>
      <c r="C53" s="96">
        <v>0</v>
      </c>
      <c r="D53" s="96">
        <v>0</v>
      </c>
      <c r="E53" s="96">
        <v>0</v>
      </c>
      <c r="F53" s="96">
        <v>0</v>
      </c>
      <c r="G53" s="96">
        <v>0</v>
      </c>
      <c r="H53" s="96">
        <v>0</v>
      </c>
      <c r="I53" s="96">
        <v>0</v>
      </c>
      <c r="J53" s="96">
        <v>0</v>
      </c>
      <c r="K53" s="96">
        <v>0</v>
      </c>
      <c r="L53" s="96">
        <v>0</v>
      </c>
      <c r="M53" s="80">
        <f t="shared" si="0"/>
        <v>0</v>
      </c>
      <c r="N53" s="80">
        <f t="shared" si="1"/>
        <v>0</v>
      </c>
      <c r="O53" s="80">
        <f t="shared" si="2"/>
        <v>0</v>
      </c>
      <c r="P53" s="80">
        <f t="shared" si="3"/>
        <v>0</v>
      </c>
      <c r="Q53" s="80"/>
    </row>
    <row r="54" spans="1:17" ht="15" x14ac:dyDescent="0.25">
      <c r="A54">
        <f>مرتبات!A54</f>
        <v>0</v>
      </c>
      <c r="B54" s="82" t="str">
        <f>مرتبات!B54</f>
        <v>Spare</v>
      </c>
      <c r="C54" s="95">
        <v>0</v>
      </c>
      <c r="D54" s="95">
        <v>0</v>
      </c>
      <c r="E54" s="95">
        <v>0</v>
      </c>
      <c r="F54" s="95">
        <v>0</v>
      </c>
      <c r="G54" s="95">
        <v>0</v>
      </c>
      <c r="H54" s="95">
        <v>0</v>
      </c>
      <c r="I54" s="95">
        <v>0</v>
      </c>
      <c r="J54" s="95">
        <v>0</v>
      </c>
      <c r="K54" s="95">
        <v>0</v>
      </c>
      <c r="L54" s="95">
        <v>0</v>
      </c>
      <c r="M54" s="81">
        <f t="shared" si="0"/>
        <v>0</v>
      </c>
      <c r="N54" s="81">
        <f t="shared" si="1"/>
        <v>0</v>
      </c>
      <c r="O54" s="81">
        <f t="shared" si="2"/>
        <v>0</v>
      </c>
      <c r="P54" s="81">
        <f t="shared" si="3"/>
        <v>0</v>
      </c>
      <c r="Q54" s="81"/>
    </row>
    <row r="55" spans="1:17" ht="15" x14ac:dyDescent="0.25">
      <c r="A55">
        <f>مرتبات!A55</f>
        <v>0</v>
      </c>
      <c r="B55" s="152" t="str">
        <f>مرتبات!B55</f>
        <v>Spare</v>
      </c>
      <c r="C55" s="96">
        <v>0</v>
      </c>
      <c r="D55" s="96">
        <v>0</v>
      </c>
      <c r="E55" s="96"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6">
        <v>0</v>
      </c>
      <c r="L55" s="96">
        <v>0</v>
      </c>
      <c r="M55" s="80">
        <f t="shared" si="0"/>
        <v>0</v>
      </c>
      <c r="N55" s="80">
        <f t="shared" si="1"/>
        <v>0</v>
      </c>
      <c r="O55" s="80">
        <f t="shared" si="2"/>
        <v>0</v>
      </c>
      <c r="P55" s="80">
        <f t="shared" si="3"/>
        <v>0</v>
      </c>
      <c r="Q55" s="80"/>
    </row>
    <row r="56" spans="1:17" ht="15.6" x14ac:dyDescent="0.3">
      <c r="A56">
        <f>مرتبات!A56</f>
        <v>16</v>
      </c>
      <c r="B56" s="151" t="s">
        <v>100</v>
      </c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</row>
    <row r="57" spans="1:17" ht="15" x14ac:dyDescent="0.25">
      <c r="A57">
        <f>مرتبات!A57</f>
        <v>1</v>
      </c>
      <c r="B57" s="152" t="str">
        <f>مرتبات!B57</f>
        <v>أ/دعاء عبد الدايم إبراهيم نصار</v>
      </c>
      <c r="C57" s="96">
        <v>500</v>
      </c>
      <c r="D57" s="96">
        <v>1400</v>
      </c>
      <c r="E57" s="96">
        <v>0</v>
      </c>
      <c r="F57" s="96">
        <v>0</v>
      </c>
      <c r="G57" s="96">
        <v>0</v>
      </c>
      <c r="H57" s="96">
        <v>0</v>
      </c>
      <c r="I57" s="96">
        <v>3749.5</v>
      </c>
      <c r="J57" s="96">
        <v>20704</v>
      </c>
      <c r="K57" s="96">
        <v>516</v>
      </c>
      <c r="L57" s="96">
        <v>0</v>
      </c>
      <c r="M57" s="80">
        <f t="shared" si="0"/>
        <v>1900</v>
      </c>
      <c r="N57" s="80">
        <f t="shared" si="1"/>
        <v>24969.5</v>
      </c>
      <c r="O57" s="80">
        <f t="shared" si="2"/>
        <v>0</v>
      </c>
      <c r="P57" s="80">
        <f t="shared" si="3"/>
        <v>26869.5</v>
      </c>
      <c r="Q57" s="80"/>
    </row>
    <row r="58" spans="1:17" ht="15" x14ac:dyDescent="0.25">
      <c r="A58">
        <f>مرتبات!A58</f>
        <v>0</v>
      </c>
      <c r="B58" s="82" t="str">
        <f>مرتبات!B58</f>
        <v>Manager Spare</v>
      </c>
      <c r="C58" s="95">
        <v>0</v>
      </c>
      <c r="D58" s="95">
        <v>0</v>
      </c>
      <c r="E58" s="95">
        <v>0</v>
      </c>
      <c r="F58" s="95">
        <v>0</v>
      </c>
      <c r="G58" s="95">
        <v>0</v>
      </c>
      <c r="H58" s="95">
        <v>0</v>
      </c>
      <c r="I58" s="95">
        <v>0</v>
      </c>
      <c r="J58" s="95">
        <v>0</v>
      </c>
      <c r="K58" s="95">
        <v>0</v>
      </c>
      <c r="L58" s="95">
        <v>0</v>
      </c>
      <c r="M58" s="81">
        <f t="shared" si="0"/>
        <v>0</v>
      </c>
      <c r="N58" s="81">
        <f t="shared" si="1"/>
        <v>0</v>
      </c>
      <c r="O58" s="81">
        <f t="shared" si="2"/>
        <v>0</v>
      </c>
      <c r="P58" s="81">
        <f t="shared" si="3"/>
        <v>0</v>
      </c>
      <c r="Q58" s="81"/>
    </row>
    <row r="59" spans="1:17" ht="15" x14ac:dyDescent="0.25">
      <c r="A59">
        <f>مرتبات!A59</f>
        <v>0</v>
      </c>
      <c r="B59" s="152" t="str">
        <f>مرتبات!B59</f>
        <v>Manager Spare</v>
      </c>
      <c r="C59" s="96">
        <v>0</v>
      </c>
      <c r="D59" s="96">
        <v>0</v>
      </c>
      <c r="E59" s="96">
        <v>0</v>
      </c>
      <c r="F59" s="96">
        <v>0</v>
      </c>
      <c r="G59" s="96">
        <v>0</v>
      </c>
      <c r="H59" s="96">
        <v>0</v>
      </c>
      <c r="I59" s="96">
        <v>0</v>
      </c>
      <c r="J59" s="96">
        <v>0</v>
      </c>
      <c r="K59" s="96">
        <v>0</v>
      </c>
      <c r="L59" s="96">
        <v>0</v>
      </c>
      <c r="M59" s="80">
        <f t="shared" si="0"/>
        <v>0</v>
      </c>
      <c r="N59" s="80">
        <f t="shared" si="1"/>
        <v>0</v>
      </c>
      <c r="O59" s="80">
        <f t="shared" si="2"/>
        <v>0</v>
      </c>
      <c r="P59" s="80">
        <f t="shared" si="3"/>
        <v>0</v>
      </c>
      <c r="Q59" s="80"/>
    </row>
    <row r="60" spans="1:17" ht="15" x14ac:dyDescent="0.25">
      <c r="A60">
        <f>مرتبات!A60</f>
        <v>0</v>
      </c>
      <c r="B60" s="82" t="str">
        <f>مرتبات!B60</f>
        <v>Manager Spare</v>
      </c>
      <c r="C60" s="95">
        <v>0</v>
      </c>
      <c r="D60" s="95">
        <v>0</v>
      </c>
      <c r="E60" s="95">
        <v>0</v>
      </c>
      <c r="F60" s="95">
        <v>0</v>
      </c>
      <c r="G60" s="95">
        <v>0</v>
      </c>
      <c r="H60" s="95">
        <v>0</v>
      </c>
      <c r="I60" s="95">
        <v>0</v>
      </c>
      <c r="J60" s="95">
        <v>0</v>
      </c>
      <c r="K60" s="95">
        <v>0</v>
      </c>
      <c r="L60" s="95">
        <v>0</v>
      </c>
      <c r="M60" s="81">
        <f t="shared" si="0"/>
        <v>0</v>
      </c>
      <c r="N60" s="81">
        <f t="shared" si="1"/>
        <v>0</v>
      </c>
      <c r="O60" s="81">
        <f t="shared" si="2"/>
        <v>0</v>
      </c>
      <c r="P60" s="81">
        <f t="shared" si="3"/>
        <v>0</v>
      </c>
      <c r="Q60" s="81"/>
    </row>
    <row r="61" spans="1:17" ht="15" x14ac:dyDescent="0.25">
      <c r="A61">
        <f>مرتبات!A61</f>
        <v>0</v>
      </c>
      <c r="B61" s="152" t="str">
        <f>مرتبات!B61</f>
        <v>Manager Spare</v>
      </c>
      <c r="C61" s="96">
        <v>0</v>
      </c>
      <c r="D61" s="96">
        <v>0</v>
      </c>
      <c r="E61" s="96">
        <v>0</v>
      </c>
      <c r="F61" s="96">
        <v>0</v>
      </c>
      <c r="G61" s="96">
        <v>0</v>
      </c>
      <c r="H61" s="96">
        <v>0</v>
      </c>
      <c r="I61" s="96">
        <v>0</v>
      </c>
      <c r="J61" s="96">
        <v>0</v>
      </c>
      <c r="K61" s="96">
        <v>0</v>
      </c>
      <c r="L61" s="96">
        <v>0</v>
      </c>
      <c r="M61" s="80">
        <f t="shared" si="0"/>
        <v>0</v>
      </c>
      <c r="N61" s="80">
        <f t="shared" si="1"/>
        <v>0</v>
      </c>
      <c r="O61" s="80">
        <f t="shared" si="2"/>
        <v>0</v>
      </c>
      <c r="P61" s="80">
        <f t="shared" si="3"/>
        <v>0</v>
      </c>
      <c r="Q61" s="80"/>
    </row>
    <row r="62" spans="1:17" ht="15" x14ac:dyDescent="0.25">
      <c r="A62">
        <f>مرتبات!A62</f>
        <v>2</v>
      </c>
      <c r="B62" s="82" t="str">
        <f>مرتبات!B62</f>
        <v>أ/خالد محمد حلمى</v>
      </c>
      <c r="C62" s="95">
        <v>0</v>
      </c>
      <c r="D62" s="95">
        <v>1550</v>
      </c>
      <c r="E62" s="95">
        <v>0</v>
      </c>
      <c r="F62" s="95">
        <v>0</v>
      </c>
      <c r="G62" s="95">
        <v>0</v>
      </c>
      <c r="H62" s="95">
        <v>0</v>
      </c>
      <c r="I62" s="95">
        <v>3749.5</v>
      </c>
      <c r="J62" s="95">
        <v>5164</v>
      </c>
      <c r="K62" s="95">
        <v>516</v>
      </c>
      <c r="L62" s="95">
        <v>0</v>
      </c>
      <c r="M62" s="81">
        <f t="shared" si="0"/>
        <v>1550</v>
      </c>
      <c r="N62" s="81">
        <f t="shared" si="1"/>
        <v>9429.5</v>
      </c>
      <c r="O62" s="81">
        <f t="shared" si="2"/>
        <v>0</v>
      </c>
      <c r="P62" s="81">
        <f t="shared" si="3"/>
        <v>10979.5</v>
      </c>
      <c r="Q62" s="81"/>
    </row>
    <row r="63" spans="1:17" ht="15" x14ac:dyDescent="0.25">
      <c r="A63">
        <f>مرتبات!A63</f>
        <v>3</v>
      </c>
      <c r="B63" s="152" t="str">
        <f>مرتبات!B63</f>
        <v>أ/ أحمد محمد رزق</v>
      </c>
      <c r="C63" s="96">
        <v>0</v>
      </c>
      <c r="D63" s="96">
        <v>1400</v>
      </c>
      <c r="E63" s="96">
        <v>0</v>
      </c>
      <c r="F63" s="96">
        <v>0</v>
      </c>
      <c r="G63" s="96">
        <v>0</v>
      </c>
      <c r="H63" s="96">
        <v>0</v>
      </c>
      <c r="I63" s="96">
        <v>3749.5</v>
      </c>
      <c r="J63" s="96">
        <v>4510</v>
      </c>
      <c r="K63" s="96">
        <v>430</v>
      </c>
      <c r="L63" s="96">
        <v>0</v>
      </c>
      <c r="M63" s="80">
        <f t="shared" si="0"/>
        <v>1400</v>
      </c>
      <c r="N63" s="80">
        <f t="shared" si="1"/>
        <v>8689.5</v>
      </c>
      <c r="O63" s="80">
        <f t="shared" si="2"/>
        <v>0</v>
      </c>
      <c r="P63" s="80">
        <f t="shared" si="3"/>
        <v>10089.5</v>
      </c>
      <c r="Q63" s="80"/>
    </row>
    <row r="64" spans="1:17" ht="15" x14ac:dyDescent="0.25">
      <c r="A64">
        <f>مرتبات!A64</f>
        <v>4</v>
      </c>
      <c r="B64" s="82" t="str">
        <f>مرتبات!B64</f>
        <v>أ/ نيرمين عصمت محمد حجازي</v>
      </c>
      <c r="C64" s="95">
        <v>0</v>
      </c>
      <c r="D64" s="95">
        <v>1400</v>
      </c>
      <c r="E64" s="95">
        <v>0</v>
      </c>
      <c r="F64" s="95">
        <v>0</v>
      </c>
      <c r="G64" s="95">
        <v>0</v>
      </c>
      <c r="H64" s="95">
        <v>0</v>
      </c>
      <c r="I64" s="95">
        <v>3749.5</v>
      </c>
      <c r="J64" s="95">
        <v>3160</v>
      </c>
      <c r="K64" s="95">
        <v>772</v>
      </c>
      <c r="L64" s="95">
        <v>0</v>
      </c>
      <c r="M64" s="81">
        <f t="shared" si="0"/>
        <v>1400</v>
      </c>
      <c r="N64" s="81">
        <f t="shared" si="1"/>
        <v>7681.5</v>
      </c>
      <c r="O64" s="81">
        <f t="shared" si="2"/>
        <v>0</v>
      </c>
      <c r="P64" s="81">
        <f t="shared" si="3"/>
        <v>9081.5</v>
      </c>
      <c r="Q64" s="81"/>
    </row>
    <row r="65" spans="1:17" ht="15" x14ac:dyDescent="0.25">
      <c r="A65">
        <f>مرتبات!A65</f>
        <v>0</v>
      </c>
      <c r="B65" s="152" t="str">
        <f>مرتبات!B65</f>
        <v>Senior Spare</v>
      </c>
      <c r="C65" s="96">
        <v>0</v>
      </c>
      <c r="D65" s="96">
        <v>0</v>
      </c>
      <c r="E65" s="96">
        <v>0</v>
      </c>
      <c r="F65" s="96">
        <v>0</v>
      </c>
      <c r="G65" s="96">
        <v>0</v>
      </c>
      <c r="H65" s="96">
        <v>0</v>
      </c>
      <c r="I65" s="96">
        <v>0</v>
      </c>
      <c r="J65" s="96">
        <v>0</v>
      </c>
      <c r="K65" s="96">
        <v>0</v>
      </c>
      <c r="L65" s="96">
        <v>0</v>
      </c>
      <c r="M65" s="80">
        <f t="shared" si="0"/>
        <v>0</v>
      </c>
      <c r="N65" s="80">
        <f t="shared" si="1"/>
        <v>0</v>
      </c>
      <c r="O65" s="80">
        <f t="shared" si="2"/>
        <v>0</v>
      </c>
      <c r="P65" s="80">
        <f t="shared" si="3"/>
        <v>0</v>
      </c>
      <c r="Q65" s="80"/>
    </row>
    <row r="66" spans="1:17" ht="15" x14ac:dyDescent="0.25">
      <c r="A66">
        <f>مرتبات!A66</f>
        <v>0</v>
      </c>
      <c r="B66" s="82" t="str">
        <f>مرتبات!B66</f>
        <v>Senior Spare</v>
      </c>
      <c r="C66" s="95">
        <v>0</v>
      </c>
      <c r="D66" s="95">
        <v>0</v>
      </c>
      <c r="E66" s="95">
        <v>0</v>
      </c>
      <c r="F66" s="95">
        <v>0</v>
      </c>
      <c r="G66" s="95">
        <v>0</v>
      </c>
      <c r="H66" s="95">
        <v>0</v>
      </c>
      <c r="I66" s="95">
        <v>0</v>
      </c>
      <c r="J66" s="95">
        <v>0</v>
      </c>
      <c r="K66" s="95">
        <v>0</v>
      </c>
      <c r="L66" s="95">
        <v>0</v>
      </c>
      <c r="M66" s="81">
        <f t="shared" si="0"/>
        <v>0</v>
      </c>
      <c r="N66" s="81">
        <f t="shared" si="1"/>
        <v>0</v>
      </c>
      <c r="O66" s="81">
        <f t="shared" si="2"/>
        <v>0</v>
      </c>
      <c r="P66" s="81">
        <f t="shared" si="3"/>
        <v>0</v>
      </c>
      <c r="Q66" s="81"/>
    </row>
    <row r="67" spans="1:17" ht="15" x14ac:dyDescent="0.25">
      <c r="A67">
        <f>مرتبات!A67</f>
        <v>0</v>
      </c>
      <c r="B67" s="152" t="str">
        <f>مرتبات!B67</f>
        <v>Senior Spare</v>
      </c>
      <c r="C67" s="96">
        <v>0</v>
      </c>
      <c r="D67" s="96">
        <v>0</v>
      </c>
      <c r="E67" s="96">
        <v>0</v>
      </c>
      <c r="F67" s="96">
        <v>0</v>
      </c>
      <c r="G67" s="96">
        <v>0</v>
      </c>
      <c r="H67" s="96">
        <v>0</v>
      </c>
      <c r="I67" s="96">
        <v>0</v>
      </c>
      <c r="J67" s="96">
        <v>0</v>
      </c>
      <c r="K67" s="96">
        <v>0</v>
      </c>
      <c r="L67" s="96">
        <v>0</v>
      </c>
      <c r="M67" s="80">
        <f t="shared" si="0"/>
        <v>0</v>
      </c>
      <c r="N67" s="80">
        <f t="shared" si="1"/>
        <v>0</v>
      </c>
      <c r="O67" s="80">
        <f t="shared" si="2"/>
        <v>0</v>
      </c>
      <c r="P67" s="80">
        <f t="shared" si="3"/>
        <v>0</v>
      </c>
      <c r="Q67" s="80"/>
    </row>
    <row r="68" spans="1:17" ht="15" x14ac:dyDescent="0.25">
      <c r="A68">
        <f>مرتبات!A68</f>
        <v>0</v>
      </c>
      <c r="B68" s="82" t="str">
        <f>مرتبات!B68</f>
        <v>SPARE</v>
      </c>
      <c r="C68" s="95">
        <v>0</v>
      </c>
      <c r="D68" s="95">
        <v>0</v>
      </c>
      <c r="E68" s="95">
        <v>0</v>
      </c>
      <c r="F68" s="95">
        <v>0</v>
      </c>
      <c r="G68" s="95">
        <v>0</v>
      </c>
      <c r="H68" s="95">
        <v>0</v>
      </c>
      <c r="I68" s="95">
        <v>0</v>
      </c>
      <c r="J68" s="95">
        <v>0</v>
      </c>
      <c r="K68" s="95">
        <v>0</v>
      </c>
      <c r="L68" s="95">
        <v>0</v>
      </c>
      <c r="M68" s="81">
        <f t="shared" si="0"/>
        <v>0</v>
      </c>
      <c r="N68" s="81">
        <f t="shared" si="1"/>
        <v>0</v>
      </c>
      <c r="O68" s="81">
        <f t="shared" si="2"/>
        <v>0</v>
      </c>
      <c r="P68" s="81">
        <f t="shared" si="3"/>
        <v>0</v>
      </c>
      <c r="Q68" s="81"/>
    </row>
    <row r="69" spans="1:17" ht="15" x14ac:dyDescent="0.25">
      <c r="A69">
        <f>مرتبات!A69</f>
        <v>5</v>
      </c>
      <c r="B69" s="152" t="str">
        <f>مرتبات!B69</f>
        <v>أ/ مروة شريف عبدالحميد سلامة</v>
      </c>
      <c r="C69" s="96">
        <v>123</v>
      </c>
      <c r="D69" s="96">
        <v>1550</v>
      </c>
      <c r="E69" s="96">
        <v>0</v>
      </c>
      <c r="F69" s="96">
        <v>0</v>
      </c>
      <c r="G69" s="96">
        <v>0</v>
      </c>
      <c r="H69" s="96">
        <v>0</v>
      </c>
      <c r="I69" s="96">
        <v>3749.5</v>
      </c>
      <c r="J69" s="96">
        <v>5927</v>
      </c>
      <c r="K69" s="96">
        <v>592</v>
      </c>
      <c r="L69" s="96">
        <v>0</v>
      </c>
      <c r="M69" s="80">
        <f t="shared" ref="M69:M100" si="4">SUM(C69:E69)+L69</f>
        <v>1673</v>
      </c>
      <c r="N69" s="80">
        <f t="shared" ref="N69:N100" si="5">SUM(I69:K69)</f>
        <v>10268.5</v>
      </c>
      <c r="O69" s="80">
        <f t="shared" ref="O69:O100" si="6">SUM(G69:H69)</f>
        <v>0</v>
      </c>
      <c r="P69" s="80">
        <f t="shared" ref="P69:P100" si="7">SUM(M69:O69)</f>
        <v>11941.5</v>
      </c>
      <c r="Q69" s="80"/>
    </row>
    <row r="70" spans="1:17" ht="15" x14ac:dyDescent="0.25">
      <c r="A70">
        <f>مرتبات!A70</f>
        <v>6</v>
      </c>
      <c r="B70" s="82" t="str">
        <f>مرتبات!B70</f>
        <v>أ/ هند علاء الدين عبدالسلام النشار</v>
      </c>
      <c r="C70" s="95">
        <v>0</v>
      </c>
      <c r="D70" s="95">
        <v>1400</v>
      </c>
      <c r="E70" s="95">
        <v>0</v>
      </c>
      <c r="F70" s="95">
        <v>0</v>
      </c>
      <c r="G70" s="95">
        <v>0</v>
      </c>
      <c r="H70" s="95">
        <v>0</v>
      </c>
      <c r="I70" s="95">
        <v>2518</v>
      </c>
      <c r="J70" s="95">
        <v>2013</v>
      </c>
      <c r="K70" s="95">
        <v>0</v>
      </c>
      <c r="L70" s="95">
        <v>0</v>
      </c>
      <c r="M70" s="81">
        <f t="shared" si="4"/>
        <v>1400</v>
      </c>
      <c r="N70" s="81">
        <f t="shared" si="5"/>
        <v>4531</v>
      </c>
      <c r="O70" s="81">
        <f t="shared" si="6"/>
        <v>0</v>
      </c>
      <c r="P70" s="81">
        <f t="shared" si="7"/>
        <v>5931</v>
      </c>
      <c r="Q70" s="81"/>
    </row>
    <row r="71" spans="1:17" ht="15" x14ac:dyDescent="0.25">
      <c r="A71">
        <f>مرتبات!A71</f>
        <v>7</v>
      </c>
      <c r="B71" s="152" t="str">
        <f>مرتبات!B71</f>
        <v xml:space="preserve">أ/أحمد سمير حسن السيد </v>
      </c>
      <c r="C71" s="96">
        <v>0</v>
      </c>
      <c r="D71" s="96">
        <v>1550</v>
      </c>
      <c r="E71" s="96">
        <v>0</v>
      </c>
      <c r="F71" s="96">
        <v>0</v>
      </c>
      <c r="G71" s="96">
        <v>0</v>
      </c>
      <c r="H71" s="96">
        <v>0</v>
      </c>
      <c r="I71" s="96">
        <v>2746</v>
      </c>
      <c r="J71" s="96">
        <v>1345</v>
      </c>
      <c r="K71" s="96">
        <v>516</v>
      </c>
      <c r="L71" s="96">
        <v>0</v>
      </c>
      <c r="M71" s="80">
        <f t="shared" si="4"/>
        <v>1550</v>
      </c>
      <c r="N71" s="80">
        <f t="shared" si="5"/>
        <v>4607</v>
      </c>
      <c r="O71" s="80">
        <f t="shared" si="6"/>
        <v>0</v>
      </c>
      <c r="P71" s="80">
        <f t="shared" si="7"/>
        <v>6157</v>
      </c>
      <c r="Q71" s="80"/>
    </row>
    <row r="72" spans="1:17" ht="15" x14ac:dyDescent="0.25">
      <c r="A72">
        <f>مرتبات!A72</f>
        <v>8</v>
      </c>
      <c r="B72" s="82" t="str">
        <f>مرتبات!B72</f>
        <v>أ/ إيمان صبحى شكرى</v>
      </c>
      <c r="C72" s="95">
        <v>0</v>
      </c>
      <c r="D72" s="95">
        <v>1400</v>
      </c>
      <c r="E72" s="95">
        <v>0</v>
      </c>
      <c r="F72" s="95">
        <v>0</v>
      </c>
      <c r="G72" s="95">
        <v>0</v>
      </c>
      <c r="H72" s="95">
        <v>0</v>
      </c>
      <c r="I72" s="155">
        <v>0</v>
      </c>
      <c r="J72" s="95">
        <v>2060</v>
      </c>
      <c r="K72" s="95">
        <v>1271</v>
      </c>
      <c r="L72" s="95">
        <v>0</v>
      </c>
      <c r="M72" s="81">
        <f t="shared" si="4"/>
        <v>1400</v>
      </c>
      <c r="N72" s="81">
        <f t="shared" si="5"/>
        <v>3331</v>
      </c>
      <c r="O72" s="81">
        <f t="shared" si="6"/>
        <v>0</v>
      </c>
      <c r="P72" s="81">
        <f t="shared" si="7"/>
        <v>4731</v>
      </c>
      <c r="Q72" s="81"/>
    </row>
    <row r="73" spans="1:17" ht="15" x14ac:dyDescent="0.25">
      <c r="A73">
        <f>مرتبات!A73</f>
        <v>9</v>
      </c>
      <c r="B73" s="152" t="str">
        <f>مرتبات!B73</f>
        <v>أ/شريف شكرى محمد</v>
      </c>
      <c r="C73" s="96">
        <v>0</v>
      </c>
      <c r="D73" s="96">
        <v>1450</v>
      </c>
      <c r="E73" s="96">
        <v>0</v>
      </c>
      <c r="F73" s="96">
        <v>0</v>
      </c>
      <c r="G73" s="96">
        <v>0</v>
      </c>
      <c r="H73" s="96">
        <v>0</v>
      </c>
      <c r="I73" s="96">
        <v>3748.5</v>
      </c>
      <c r="J73" s="96">
        <v>2911</v>
      </c>
      <c r="K73" s="96">
        <v>1062</v>
      </c>
      <c r="L73" s="96">
        <v>0</v>
      </c>
      <c r="M73" s="80">
        <f t="shared" si="4"/>
        <v>1450</v>
      </c>
      <c r="N73" s="80">
        <f t="shared" si="5"/>
        <v>7721.5</v>
      </c>
      <c r="O73" s="80">
        <f t="shared" si="6"/>
        <v>0</v>
      </c>
      <c r="P73" s="80">
        <f t="shared" si="7"/>
        <v>9171.5</v>
      </c>
      <c r="Q73" s="80"/>
    </row>
    <row r="74" spans="1:17" ht="15" x14ac:dyDescent="0.25">
      <c r="A74">
        <f>مرتبات!A74</f>
        <v>10</v>
      </c>
      <c r="B74" s="82" t="str">
        <f>مرتبات!B74</f>
        <v>أ/محمد حسن محمد كامل</v>
      </c>
      <c r="C74" s="95">
        <v>0</v>
      </c>
      <c r="D74" s="95">
        <v>1550</v>
      </c>
      <c r="E74" s="95">
        <v>0</v>
      </c>
      <c r="F74" s="95">
        <v>0</v>
      </c>
      <c r="G74" s="95">
        <v>0</v>
      </c>
      <c r="H74" s="95">
        <v>0</v>
      </c>
      <c r="I74" s="95">
        <v>2633</v>
      </c>
      <c r="J74" s="95">
        <v>1330</v>
      </c>
      <c r="K74" s="95">
        <v>430</v>
      </c>
      <c r="L74" s="95">
        <v>0</v>
      </c>
      <c r="M74" s="81">
        <f t="shared" si="4"/>
        <v>1550</v>
      </c>
      <c r="N74" s="81">
        <f t="shared" si="5"/>
        <v>4393</v>
      </c>
      <c r="O74" s="81">
        <f t="shared" si="6"/>
        <v>0</v>
      </c>
      <c r="P74" s="81">
        <f t="shared" si="7"/>
        <v>5943</v>
      </c>
      <c r="Q74" s="81"/>
    </row>
    <row r="75" spans="1:17" ht="15" x14ac:dyDescent="0.25">
      <c r="A75">
        <f>مرتبات!A75</f>
        <v>11</v>
      </c>
      <c r="B75" s="152" t="str">
        <f>مرتبات!B75</f>
        <v>أ/سامي ابراهيم محمد</v>
      </c>
      <c r="C75" s="96">
        <v>0</v>
      </c>
      <c r="D75" s="96">
        <v>1400</v>
      </c>
      <c r="E75" s="96">
        <v>0</v>
      </c>
      <c r="F75" s="96">
        <v>0</v>
      </c>
      <c r="G75" s="96">
        <v>0</v>
      </c>
      <c r="H75" s="96">
        <v>0</v>
      </c>
      <c r="I75" s="96">
        <v>2746</v>
      </c>
      <c r="J75" s="96">
        <v>1630</v>
      </c>
      <c r="K75" s="96">
        <v>772</v>
      </c>
      <c r="L75" s="96">
        <v>0</v>
      </c>
      <c r="M75" s="80">
        <f t="shared" si="4"/>
        <v>1400</v>
      </c>
      <c r="N75" s="80">
        <f t="shared" si="5"/>
        <v>5148</v>
      </c>
      <c r="O75" s="80">
        <f t="shared" si="6"/>
        <v>0</v>
      </c>
      <c r="P75" s="80">
        <f t="shared" si="7"/>
        <v>6548</v>
      </c>
      <c r="Q75" s="80"/>
    </row>
    <row r="76" spans="1:17" ht="15" x14ac:dyDescent="0.25">
      <c r="A76">
        <f>مرتبات!A76</f>
        <v>12</v>
      </c>
      <c r="B76" s="82" t="str">
        <f>مرتبات!B76</f>
        <v>أ/ محمود على محمود حسين</v>
      </c>
      <c r="C76" s="95">
        <v>0</v>
      </c>
      <c r="D76" s="95">
        <v>1400</v>
      </c>
      <c r="E76" s="95">
        <v>0</v>
      </c>
      <c r="F76" s="95">
        <v>0</v>
      </c>
      <c r="G76" s="95">
        <v>0</v>
      </c>
      <c r="H76" s="95">
        <v>0</v>
      </c>
      <c r="I76" s="95">
        <v>2582</v>
      </c>
      <c r="J76" s="95">
        <v>1287</v>
      </c>
      <c r="K76" s="95">
        <v>771</v>
      </c>
      <c r="L76" s="95">
        <v>0</v>
      </c>
      <c r="M76" s="81">
        <f t="shared" si="4"/>
        <v>1400</v>
      </c>
      <c r="N76" s="81">
        <f t="shared" si="5"/>
        <v>4640</v>
      </c>
      <c r="O76" s="81">
        <f t="shared" si="6"/>
        <v>0</v>
      </c>
      <c r="P76" s="81">
        <f t="shared" si="7"/>
        <v>6040</v>
      </c>
      <c r="Q76" s="81"/>
    </row>
    <row r="77" spans="1:17" ht="15" x14ac:dyDescent="0.25">
      <c r="A77">
        <f>مرتبات!A77</f>
        <v>13</v>
      </c>
      <c r="B77" s="152" t="str">
        <f>مرتبات!B77</f>
        <v xml:space="preserve"> أ/عمرو عبد الكريم صقر</v>
      </c>
      <c r="C77" s="96">
        <v>0</v>
      </c>
      <c r="D77" s="96">
        <v>1750</v>
      </c>
      <c r="E77" s="96">
        <v>0</v>
      </c>
      <c r="F77" s="96">
        <v>0</v>
      </c>
      <c r="G77" s="96">
        <v>0</v>
      </c>
      <c r="H77" s="96">
        <v>0</v>
      </c>
      <c r="I77" s="96">
        <v>2554</v>
      </c>
      <c r="J77" s="96">
        <v>1265</v>
      </c>
      <c r="K77" s="96">
        <v>772</v>
      </c>
      <c r="L77" s="96">
        <v>0</v>
      </c>
      <c r="M77" s="80">
        <f t="shared" si="4"/>
        <v>1750</v>
      </c>
      <c r="N77" s="80">
        <f t="shared" si="5"/>
        <v>4591</v>
      </c>
      <c r="O77" s="80">
        <f t="shared" si="6"/>
        <v>0</v>
      </c>
      <c r="P77" s="80">
        <f t="shared" si="7"/>
        <v>6341</v>
      </c>
      <c r="Q77" s="80"/>
    </row>
    <row r="78" spans="1:17" ht="15" x14ac:dyDescent="0.25">
      <c r="A78">
        <f>مرتبات!A78</f>
        <v>14</v>
      </c>
      <c r="B78" s="82" t="str">
        <f>مرتبات!B78</f>
        <v xml:space="preserve"> أ/مختار احمد المجدلي</v>
      </c>
      <c r="C78" s="95">
        <v>0</v>
      </c>
      <c r="D78" s="95">
        <v>1400</v>
      </c>
      <c r="E78" s="95">
        <v>0</v>
      </c>
      <c r="F78" s="95">
        <v>0</v>
      </c>
      <c r="G78" s="95">
        <v>0</v>
      </c>
      <c r="H78" s="95">
        <v>0</v>
      </c>
      <c r="I78" s="95">
        <v>2289</v>
      </c>
      <c r="J78" s="95">
        <v>1140</v>
      </c>
      <c r="K78" s="95">
        <v>593</v>
      </c>
      <c r="L78" s="95">
        <v>0</v>
      </c>
      <c r="M78" s="81">
        <f t="shared" si="4"/>
        <v>1400</v>
      </c>
      <c r="N78" s="81">
        <f t="shared" si="5"/>
        <v>4022</v>
      </c>
      <c r="O78" s="81">
        <f t="shared" si="6"/>
        <v>0</v>
      </c>
      <c r="P78" s="81">
        <f t="shared" si="7"/>
        <v>5422</v>
      </c>
      <c r="Q78" s="81"/>
    </row>
    <row r="79" spans="1:17" ht="15" x14ac:dyDescent="0.25">
      <c r="A79">
        <f>مرتبات!A79</f>
        <v>15</v>
      </c>
      <c r="B79" s="152" t="str">
        <f>مرتبات!B79</f>
        <v xml:space="preserve"> أ/طارق محمد جمعه</v>
      </c>
      <c r="C79" s="96">
        <v>0</v>
      </c>
      <c r="D79" s="96">
        <v>1400</v>
      </c>
      <c r="E79" s="96">
        <v>300</v>
      </c>
      <c r="F79" s="96">
        <v>0</v>
      </c>
      <c r="G79" s="96">
        <v>0</v>
      </c>
      <c r="H79" s="96">
        <v>0</v>
      </c>
      <c r="I79" s="96">
        <v>2060</v>
      </c>
      <c r="J79" s="96">
        <v>890</v>
      </c>
      <c r="K79" s="96">
        <v>1062</v>
      </c>
      <c r="L79" s="96">
        <v>0</v>
      </c>
      <c r="M79" s="80">
        <f t="shared" si="4"/>
        <v>1700</v>
      </c>
      <c r="N79" s="80">
        <f t="shared" si="5"/>
        <v>4012</v>
      </c>
      <c r="O79" s="80">
        <f t="shared" si="6"/>
        <v>0</v>
      </c>
      <c r="P79" s="80">
        <f t="shared" si="7"/>
        <v>5712</v>
      </c>
      <c r="Q79" s="80"/>
    </row>
    <row r="80" spans="1:17" ht="15" x14ac:dyDescent="0.25">
      <c r="A80">
        <f>مرتبات!A80</f>
        <v>16</v>
      </c>
      <c r="B80" s="82" t="str">
        <f>مرتبات!B80</f>
        <v>أ/ أحمد محمد عبدالسلام</v>
      </c>
      <c r="C80" s="95">
        <v>0</v>
      </c>
      <c r="D80" s="95">
        <v>1550</v>
      </c>
      <c r="E80" s="95">
        <v>0</v>
      </c>
      <c r="F80" s="95">
        <v>0</v>
      </c>
      <c r="G80" s="95">
        <v>0</v>
      </c>
      <c r="H80" s="95">
        <v>0</v>
      </c>
      <c r="I80" s="95">
        <v>2002</v>
      </c>
      <c r="J80" s="95">
        <v>770</v>
      </c>
      <c r="K80" s="95">
        <v>516</v>
      </c>
      <c r="L80" s="95">
        <v>0</v>
      </c>
      <c r="M80" s="81">
        <f t="shared" si="4"/>
        <v>1550</v>
      </c>
      <c r="N80" s="81">
        <f t="shared" si="5"/>
        <v>3288</v>
      </c>
      <c r="O80" s="81">
        <f t="shared" si="6"/>
        <v>0</v>
      </c>
      <c r="P80" s="81">
        <f t="shared" si="7"/>
        <v>4838</v>
      </c>
      <c r="Q80" s="81"/>
    </row>
    <row r="81" spans="1:17" ht="15" x14ac:dyDescent="0.25">
      <c r="A81">
        <f>مرتبات!A81</f>
        <v>17</v>
      </c>
      <c r="B81" s="152" t="str">
        <f>مرتبات!B81</f>
        <v>أ/ محمد فاروق عبد الحليم</v>
      </c>
      <c r="C81" s="96">
        <v>500</v>
      </c>
      <c r="D81" s="96">
        <v>0</v>
      </c>
      <c r="E81" s="96">
        <v>0</v>
      </c>
      <c r="F81" s="96">
        <v>0</v>
      </c>
      <c r="G81" s="96">
        <v>0</v>
      </c>
      <c r="H81" s="96">
        <v>0</v>
      </c>
      <c r="I81" s="96">
        <v>0</v>
      </c>
      <c r="J81" s="96">
        <v>0</v>
      </c>
      <c r="K81" s="96">
        <v>0</v>
      </c>
      <c r="L81" s="96">
        <v>0</v>
      </c>
      <c r="M81" s="80">
        <f t="shared" si="4"/>
        <v>500</v>
      </c>
      <c r="N81" s="80">
        <f t="shared" si="5"/>
        <v>0</v>
      </c>
      <c r="O81" s="80">
        <f t="shared" si="6"/>
        <v>0</v>
      </c>
      <c r="P81" s="80">
        <f t="shared" si="7"/>
        <v>500</v>
      </c>
      <c r="Q81" s="80"/>
    </row>
    <row r="82" spans="1:17" ht="15" x14ac:dyDescent="0.25">
      <c r="A82">
        <f>مرتبات!A82</f>
        <v>18</v>
      </c>
      <c r="B82" s="82" t="str">
        <f>مرتبات!B82</f>
        <v xml:space="preserve"> أ/محمد عبدالجواد محمد</v>
      </c>
      <c r="C82" s="95">
        <v>0</v>
      </c>
      <c r="D82" s="95">
        <v>1450</v>
      </c>
      <c r="E82" s="95">
        <v>0</v>
      </c>
      <c r="F82" s="95">
        <v>0</v>
      </c>
      <c r="G82" s="95">
        <v>0</v>
      </c>
      <c r="H82" s="95">
        <v>0</v>
      </c>
      <c r="I82" s="95">
        <v>2884</v>
      </c>
      <c r="J82" s="95">
        <v>1452</v>
      </c>
      <c r="K82" s="95">
        <v>772</v>
      </c>
      <c r="L82" s="95">
        <v>0</v>
      </c>
      <c r="M82" s="81">
        <f t="shared" si="4"/>
        <v>1450</v>
      </c>
      <c r="N82" s="81">
        <f t="shared" si="5"/>
        <v>5108</v>
      </c>
      <c r="O82" s="81">
        <f t="shared" si="6"/>
        <v>0</v>
      </c>
      <c r="P82" s="81">
        <f t="shared" si="7"/>
        <v>6558</v>
      </c>
      <c r="Q82" s="81"/>
    </row>
    <row r="83" spans="1:17" ht="15" x14ac:dyDescent="0.25">
      <c r="A83">
        <f>مرتبات!A83</f>
        <v>19</v>
      </c>
      <c r="B83" s="152" t="str">
        <f>مرتبات!B83</f>
        <v>أ/ منة الله محب عبدالغفار السيد</v>
      </c>
      <c r="C83" s="96">
        <v>0</v>
      </c>
      <c r="D83" s="96">
        <v>1400</v>
      </c>
      <c r="E83" s="96">
        <v>0</v>
      </c>
      <c r="F83" s="96">
        <v>0</v>
      </c>
      <c r="G83" s="96">
        <v>0</v>
      </c>
      <c r="H83" s="96">
        <v>0</v>
      </c>
      <c r="I83" s="96">
        <v>1487.5</v>
      </c>
      <c r="J83" s="96">
        <v>420</v>
      </c>
      <c r="K83" s="96">
        <v>430</v>
      </c>
      <c r="L83" s="96">
        <v>0</v>
      </c>
      <c r="M83" s="80">
        <f t="shared" si="4"/>
        <v>1400</v>
      </c>
      <c r="N83" s="80">
        <f t="shared" si="5"/>
        <v>2337.5</v>
      </c>
      <c r="O83" s="80">
        <f t="shared" si="6"/>
        <v>0</v>
      </c>
      <c r="P83" s="80">
        <f t="shared" si="7"/>
        <v>3737.5</v>
      </c>
      <c r="Q83" s="80"/>
    </row>
    <row r="84" spans="1:17" ht="15" x14ac:dyDescent="0.25">
      <c r="A84">
        <f>مرتبات!A84</f>
        <v>20</v>
      </c>
      <c r="B84" s="82" t="str">
        <f>مرتبات!B84</f>
        <v>أ/ خالد حسين عمر عبدالقادر</v>
      </c>
      <c r="C84" s="95">
        <v>0</v>
      </c>
      <c r="D84" s="95">
        <v>0</v>
      </c>
      <c r="E84" s="95">
        <v>0</v>
      </c>
      <c r="F84" s="95">
        <v>0</v>
      </c>
      <c r="G84" s="95">
        <v>0</v>
      </c>
      <c r="H84" s="95">
        <v>0</v>
      </c>
      <c r="I84" s="95">
        <v>0</v>
      </c>
      <c r="J84" s="95">
        <v>0</v>
      </c>
      <c r="K84" s="95">
        <v>0</v>
      </c>
      <c r="L84" s="95">
        <v>0</v>
      </c>
      <c r="M84" s="81">
        <f t="shared" si="4"/>
        <v>0</v>
      </c>
      <c r="N84" s="81">
        <f t="shared" si="5"/>
        <v>0</v>
      </c>
      <c r="O84" s="81">
        <f t="shared" si="6"/>
        <v>0</v>
      </c>
      <c r="P84" s="81">
        <f t="shared" si="7"/>
        <v>0</v>
      </c>
      <c r="Q84" s="81"/>
    </row>
    <row r="85" spans="1:17" ht="15" x14ac:dyDescent="0.25">
      <c r="A85">
        <f>مرتبات!A85</f>
        <v>0</v>
      </c>
      <c r="B85" s="152" t="str">
        <f>مرتبات!B85</f>
        <v>Spare</v>
      </c>
      <c r="C85" s="96">
        <v>0</v>
      </c>
      <c r="D85" s="96">
        <v>0</v>
      </c>
      <c r="E85" s="96">
        <v>0</v>
      </c>
      <c r="F85" s="96">
        <v>0</v>
      </c>
      <c r="G85" s="96">
        <v>0</v>
      </c>
      <c r="H85" s="96">
        <v>0</v>
      </c>
      <c r="I85" s="96">
        <v>0</v>
      </c>
      <c r="J85" s="96">
        <v>0</v>
      </c>
      <c r="K85" s="96">
        <v>0</v>
      </c>
      <c r="L85" s="96">
        <v>0</v>
      </c>
      <c r="M85" s="80">
        <f t="shared" si="4"/>
        <v>0</v>
      </c>
      <c r="N85" s="80">
        <f t="shared" si="5"/>
        <v>0</v>
      </c>
      <c r="O85" s="80">
        <f t="shared" si="6"/>
        <v>0</v>
      </c>
      <c r="P85" s="80">
        <f t="shared" si="7"/>
        <v>0</v>
      </c>
      <c r="Q85" s="80"/>
    </row>
    <row r="86" spans="1:17" ht="15" x14ac:dyDescent="0.25">
      <c r="A86">
        <f>مرتبات!A86</f>
        <v>0</v>
      </c>
      <c r="B86" s="82" t="str">
        <f>مرتبات!B86</f>
        <v>Spare</v>
      </c>
      <c r="C86" s="95">
        <v>0</v>
      </c>
      <c r="D86" s="95">
        <v>0</v>
      </c>
      <c r="E86" s="95">
        <v>0</v>
      </c>
      <c r="F86" s="95">
        <v>0</v>
      </c>
      <c r="G86" s="95">
        <v>0</v>
      </c>
      <c r="H86" s="95">
        <v>0</v>
      </c>
      <c r="I86" s="95">
        <v>0</v>
      </c>
      <c r="J86" s="95">
        <v>0</v>
      </c>
      <c r="K86" s="95">
        <v>0</v>
      </c>
      <c r="L86" s="95">
        <v>0</v>
      </c>
      <c r="M86" s="81">
        <f t="shared" si="4"/>
        <v>0</v>
      </c>
      <c r="N86" s="81">
        <f t="shared" si="5"/>
        <v>0</v>
      </c>
      <c r="O86" s="81">
        <f t="shared" si="6"/>
        <v>0</v>
      </c>
      <c r="P86" s="81">
        <f t="shared" si="7"/>
        <v>0</v>
      </c>
      <c r="Q86" s="81"/>
    </row>
    <row r="87" spans="1:17" ht="15" x14ac:dyDescent="0.25">
      <c r="A87">
        <f>مرتبات!A87</f>
        <v>0</v>
      </c>
      <c r="B87" s="152" t="str">
        <f>مرتبات!B87</f>
        <v>Spare</v>
      </c>
      <c r="C87" s="96">
        <v>0</v>
      </c>
      <c r="D87" s="96">
        <v>0</v>
      </c>
      <c r="E87" s="96">
        <v>0</v>
      </c>
      <c r="F87" s="96">
        <v>0</v>
      </c>
      <c r="G87" s="96">
        <v>0</v>
      </c>
      <c r="H87" s="96">
        <v>0</v>
      </c>
      <c r="I87" s="96">
        <v>0</v>
      </c>
      <c r="J87" s="96">
        <v>0</v>
      </c>
      <c r="K87" s="96">
        <v>0</v>
      </c>
      <c r="L87" s="96">
        <v>0</v>
      </c>
      <c r="M87" s="80">
        <f t="shared" si="4"/>
        <v>0</v>
      </c>
      <c r="N87" s="80">
        <f t="shared" si="5"/>
        <v>0</v>
      </c>
      <c r="O87" s="80">
        <f t="shared" si="6"/>
        <v>0</v>
      </c>
      <c r="P87" s="80">
        <f t="shared" si="7"/>
        <v>0</v>
      </c>
      <c r="Q87" s="80"/>
    </row>
    <row r="88" spans="1:17" ht="15" x14ac:dyDescent="0.25">
      <c r="A88">
        <f>مرتبات!A88</f>
        <v>0</v>
      </c>
      <c r="B88" s="82" t="str">
        <f>مرتبات!B88</f>
        <v>Spare</v>
      </c>
      <c r="C88" s="95">
        <v>0</v>
      </c>
      <c r="D88" s="95">
        <v>0</v>
      </c>
      <c r="E88" s="95">
        <v>0</v>
      </c>
      <c r="F88" s="95">
        <v>0</v>
      </c>
      <c r="G88" s="95">
        <v>0</v>
      </c>
      <c r="H88" s="95">
        <v>0</v>
      </c>
      <c r="I88" s="95">
        <v>0</v>
      </c>
      <c r="J88" s="95">
        <v>0</v>
      </c>
      <c r="K88" s="95">
        <v>0</v>
      </c>
      <c r="L88" s="95">
        <v>0</v>
      </c>
      <c r="M88" s="81">
        <f t="shared" si="4"/>
        <v>0</v>
      </c>
      <c r="N88" s="81">
        <f t="shared" si="5"/>
        <v>0</v>
      </c>
      <c r="O88" s="81">
        <f t="shared" si="6"/>
        <v>0</v>
      </c>
      <c r="P88" s="81">
        <f t="shared" si="7"/>
        <v>0</v>
      </c>
      <c r="Q88" s="81"/>
    </row>
    <row r="89" spans="1:17" ht="15" x14ac:dyDescent="0.25">
      <c r="A89">
        <f>مرتبات!A89</f>
        <v>0</v>
      </c>
      <c r="B89" s="152" t="str">
        <f>مرتبات!B89</f>
        <v>Spare</v>
      </c>
      <c r="C89" s="96">
        <v>0</v>
      </c>
      <c r="D89" s="96">
        <v>0</v>
      </c>
      <c r="E89" s="96">
        <v>0</v>
      </c>
      <c r="F89" s="96">
        <v>0</v>
      </c>
      <c r="G89" s="96">
        <v>0</v>
      </c>
      <c r="H89" s="96">
        <v>0</v>
      </c>
      <c r="I89" s="96">
        <v>0</v>
      </c>
      <c r="J89" s="96">
        <v>0</v>
      </c>
      <c r="K89" s="96">
        <v>0</v>
      </c>
      <c r="L89" s="96">
        <v>0</v>
      </c>
      <c r="M89" s="80">
        <f t="shared" si="4"/>
        <v>0</v>
      </c>
      <c r="N89" s="80">
        <f t="shared" si="5"/>
        <v>0</v>
      </c>
      <c r="O89" s="80">
        <f t="shared" si="6"/>
        <v>0</v>
      </c>
      <c r="P89" s="80">
        <f t="shared" si="7"/>
        <v>0</v>
      </c>
      <c r="Q89" s="80"/>
    </row>
    <row r="90" spans="1:17" ht="15" x14ac:dyDescent="0.25">
      <c r="A90">
        <f>مرتبات!A90</f>
        <v>0</v>
      </c>
      <c r="B90" s="82" t="str">
        <f>مرتبات!B90</f>
        <v>Spare</v>
      </c>
      <c r="C90" s="95">
        <v>0</v>
      </c>
      <c r="D90" s="95">
        <v>0</v>
      </c>
      <c r="E90" s="95">
        <v>0</v>
      </c>
      <c r="F90" s="95">
        <v>0</v>
      </c>
      <c r="G90" s="95">
        <v>0</v>
      </c>
      <c r="H90" s="95">
        <v>0</v>
      </c>
      <c r="I90" s="95">
        <v>0</v>
      </c>
      <c r="J90" s="95">
        <v>0</v>
      </c>
      <c r="K90" s="95">
        <v>0</v>
      </c>
      <c r="L90" s="95">
        <v>0</v>
      </c>
      <c r="M90" s="81">
        <f t="shared" si="4"/>
        <v>0</v>
      </c>
      <c r="N90" s="81">
        <f t="shared" si="5"/>
        <v>0</v>
      </c>
      <c r="O90" s="81">
        <f t="shared" si="6"/>
        <v>0</v>
      </c>
      <c r="P90" s="81">
        <f t="shared" si="7"/>
        <v>0</v>
      </c>
      <c r="Q90" s="81"/>
    </row>
    <row r="91" spans="1:17" ht="15" x14ac:dyDescent="0.25">
      <c r="A91">
        <f>مرتبات!A91</f>
        <v>0</v>
      </c>
      <c r="B91" s="152" t="str">
        <f>مرتبات!B91</f>
        <v>Spare</v>
      </c>
      <c r="C91" s="96">
        <v>0</v>
      </c>
      <c r="D91" s="96">
        <v>0</v>
      </c>
      <c r="E91" s="96">
        <v>0</v>
      </c>
      <c r="F91" s="96">
        <v>0</v>
      </c>
      <c r="G91" s="96">
        <v>0</v>
      </c>
      <c r="H91" s="96">
        <v>0</v>
      </c>
      <c r="I91" s="96">
        <v>0</v>
      </c>
      <c r="J91" s="96">
        <v>0</v>
      </c>
      <c r="K91" s="96">
        <v>0</v>
      </c>
      <c r="L91" s="96">
        <v>0</v>
      </c>
      <c r="M91" s="80">
        <f t="shared" si="4"/>
        <v>0</v>
      </c>
      <c r="N91" s="80">
        <f t="shared" si="5"/>
        <v>0</v>
      </c>
      <c r="O91" s="80">
        <f t="shared" si="6"/>
        <v>0</v>
      </c>
      <c r="P91" s="80">
        <f t="shared" si="7"/>
        <v>0</v>
      </c>
      <c r="Q91" s="80"/>
    </row>
    <row r="92" spans="1:17" ht="15" x14ac:dyDescent="0.25">
      <c r="A92">
        <f>مرتبات!A92</f>
        <v>0</v>
      </c>
      <c r="B92" s="82" t="str">
        <f>مرتبات!B92</f>
        <v>Spare</v>
      </c>
      <c r="C92" s="95">
        <v>0</v>
      </c>
      <c r="D92" s="95">
        <v>0</v>
      </c>
      <c r="E92" s="95">
        <v>0</v>
      </c>
      <c r="F92" s="95">
        <v>0</v>
      </c>
      <c r="G92" s="95">
        <v>0</v>
      </c>
      <c r="H92" s="95">
        <v>0</v>
      </c>
      <c r="I92" s="95">
        <v>0</v>
      </c>
      <c r="J92" s="95">
        <v>0</v>
      </c>
      <c r="K92" s="95">
        <v>0</v>
      </c>
      <c r="L92" s="95">
        <v>0</v>
      </c>
      <c r="M92" s="81">
        <f t="shared" si="4"/>
        <v>0</v>
      </c>
      <c r="N92" s="81">
        <f t="shared" si="5"/>
        <v>0</v>
      </c>
      <c r="O92" s="81">
        <f t="shared" si="6"/>
        <v>0</v>
      </c>
      <c r="P92" s="81">
        <f t="shared" si="7"/>
        <v>0</v>
      </c>
      <c r="Q92" s="81"/>
    </row>
    <row r="93" spans="1:17" ht="15" x14ac:dyDescent="0.25">
      <c r="A93">
        <f>مرتبات!A93</f>
        <v>0</v>
      </c>
      <c r="B93" s="152" t="str">
        <f>مرتبات!B93</f>
        <v>Spare</v>
      </c>
      <c r="C93" s="96">
        <v>0</v>
      </c>
      <c r="D93" s="96">
        <v>0</v>
      </c>
      <c r="E93" s="96">
        <v>0</v>
      </c>
      <c r="F93" s="96">
        <v>0</v>
      </c>
      <c r="G93" s="96">
        <v>0</v>
      </c>
      <c r="H93" s="96">
        <v>0</v>
      </c>
      <c r="I93" s="96">
        <v>0</v>
      </c>
      <c r="J93" s="96">
        <v>0</v>
      </c>
      <c r="K93" s="96">
        <v>0</v>
      </c>
      <c r="L93" s="96">
        <v>0</v>
      </c>
      <c r="M93" s="80">
        <f t="shared" si="4"/>
        <v>0</v>
      </c>
      <c r="N93" s="80">
        <f t="shared" si="5"/>
        <v>0</v>
      </c>
      <c r="O93" s="80">
        <f t="shared" si="6"/>
        <v>0</v>
      </c>
      <c r="P93" s="80">
        <f t="shared" si="7"/>
        <v>0</v>
      </c>
      <c r="Q93" s="80"/>
    </row>
    <row r="94" spans="1:17" ht="15" x14ac:dyDescent="0.25">
      <c r="A94">
        <f>مرتبات!A94</f>
        <v>0</v>
      </c>
      <c r="B94" s="82" t="str">
        <f>مرتبات!B94</f>
        <v>Spare</v>
      </c>
      <c r="C94" s="95">
        <v>0</v>
      </c>
      <c r="D94" s="95">
        <v>0</v>
      </c>
      <c r="E94" s="95">
        <v>0</v>
      </c>
      <c r="F94" s="95">
        <v>0</v>
      </c>
      <c r="G94" s="95">
        <v>0</v>
      </c>
      <c r="H94" s="95">
        <v>0</v>
      </c>
      <c r="I94" s="95">
        <v>0</v>
      </c>
      <c r="J94" s="95">
        <v>0</v>
      </c>
      <c r="K94" s="95">
        <v>0</v>
      </c>
      <c r="L94" s="95">
        <v>0</v>
      </c>
      <c r="M94" s="81">
        <f t="shared" si="4"/>
        <v>0</v>
      </c>
      <c r="N94" s="81">
        <f t="shared" si="5"/>
        <v>0</v>
      </c>
      <c r="O94" s="81">
        <f t="shared" si="6"/>
        <v>0</v>
      </c>
      <c r="P94" s="81">
        <f t="shared" si="7"/>
        <v>0</v>
      </c>
      <c r="Q94" s="81"/>
    </row>
    <row r="95" spans="1:17" ht="15" x14ac:dyDescent="0.25">
      <c r="A95">
        <f>مرتبات!A95</f>
        <v>0</v>
      </c>
      <c r="B95" s="152" t="str">
        <f>مرتبات!B95</f>
        <v>Spare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80">
        <f t="shared" si="4"/>
        <v>0</v>
      </c>
      <c r="N95" s="80">
        <f t="shared" si="5"/>
        <v>0</v>
      </c>
      <c r="O95" s="80">
        <f t="shared" si="6"/>
        <v>0</v>
      </c>
      <c r="P95" s="80">
        <f t="shared" si="7"/>
        <v>0</v>
      </c>
      <c r="Q95" s="80"/>
    </row>
    <row r="96" spans="1:17" ht="15" x14ac:dyDescent="0.25">
      <c r="A96">
        <f>مرتبات!A96</f>
        <v>0</v>
      </c>
      <c r="B96" s="82" t="str">
        <f>مرتبات!B96</f>
        <v>Spare</v>
      </c>
      <c r="C96" s="95">
        <v>0</v>
      </c>
      <c r="D96" s="95">
        <v>0</v>
      </c>
      <c r="E96" s="95">
        <v>0</v>
      </c>
      <c r="F96" s="95">
        <v>0</v>
      </c>
      <c r="G96" s="95">
        <v>0</v>
      </c>
      <c r="H96" s="95">
        <v>0</v>
      </c>
      <c r="I96" s="95">
        <v>0</v>
      </c>
      <c r="J96" s="95">
        <v>0</v>
      </c>
      <c r="K96" s="95">
        <v>0</v>
      </c>
      <c r="L96" s="95">
        <v>0</v>
      </c>
      <c r="M96" s="81">
        <f t="shared" si="4"/>
        <v>0</v>
      </c>
      <c r="N96" s="81">
        <f t="shared" si="5"/>
        <v>0</v>
      </c>
      <c r="O96" s="81">
        <f t="shared" si="6"/>
        <v>0</v>
      </c>
      <c r="P96" s="81">
        <f t="shared" si="7"/>
        <v>0</v>
      </c>
      <c r="Q96" s="81"/>
    </row>
    <row r="97" spans="1:17" ht="15" x14ac:dyDescent="0.25">
      <c r="A97">
        <f>مرتبات!A97</f>
        <v>0</v>
      </c>
      <c r="B97" s="152" t="str">
        <f>مرتبات!B97</f>
        <v>Spare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80">
        <f t="shared" si="4"/>
        <v>0</v>
      </c>
      <c r="N97" s="80">
        <f t="shared" si="5"/>
        <v>0</v>
      </c>
      <c r="O97" s="80">
        <f t="shared" si="6"/>
        <v>0</v>
      </c>
      <c r="P97" s="80">
        <f t="shared" si="7"/>
        <v>0</v>
      </c>
      <c r="Q97" s="80"/>
    </row>
    <row r="98" spans="1:17" ht="15" x14ac:dyDescent="0.25">
      <c r="A98">
        <f>مرتبات!A98</f>
        <v>0</v>
      </c>
      <c r="B98" s="82" t="str">
        <f>مرتبات!B98</f>
        <v>Spare</v>
      </c>
      <c r="C98" s="95">
        <v>0</v>
      </c>
      <c r="D98" s="95">
        <v>0</v>
      </c>
      <c r="E98" s="95">
        <v>0</v>
      </c>
      <c r="F98" s="95">
        <v>0</v>
      </c>
      <c r="G98" s="95">
        <v>0</v>
      </c>
      <c r="H98" s="95">
        <v>0</v>
      </c>
      <c r="I98" s="95">
        <v>0</v>
      </c>
      <c r="J98" s="95">
        <v>0</v>
      </c>
      <c r="K98" s="95">
        <v>0</v>
      </c>
      <c r="L98" s="95">
        <v>0</v>
      </c>
      <c r="M98" s="81">
        <f t="shared" si="4"/>
        <v>0</v>
      </c>
      <c r="N98" s="81">
        <f t="shared" si="5"/>
        <v>0</v>
      </c>
      <c r="O98" s="81">
        <f t="shared" si="6"/>
        <v>0</v>
      </c>
      <c r="P98" s="81">
        <f t="shared" si="7"/>
        <v>0</v>
      </c>
      <c r="Q98" s="81"/>
    </row>
    <row r="99" spans="1:17" ht="15" x14ac:dyDescent="0.25">
      <c r="A99">
        <f>مرتبات!A99</f>
        <v>0</v>
      </c>
      <c r="B99" s="152" t="str">
        <f>مرتبات!B99</f>
        <v>Spare</v>
      </c>
      <c r="C99" s="96">
        <v>0</v>
      </c>
      <c r="D99" s="96">
        <v>0</v>
      </c>
      <c r="E99" s="96">
        <v>0</v>
      </c>
      <c r="F99" s="96">
        <v>0</v>
      </c>
      <c r="G99" s="96">
        <v>0</v>
      </c>
      <c r="H99" s="96">
        <v>0</v>
      </c>
      <c r="I99" s="96">
        <v>0</v>
      </c>
      <c r="J99" s="96">
        <v>0</v>
      </c>
      <c r="K99" s="96">
        <v>0</v>
      </c>
      <c r="L99" s="96">
        <v>0</v>
      </c>
      <c r="M99" s="80">
        <f t="shared" si="4"/>
        <v>0</v>
      </c>
      <c r="N99" s="80">
        <f t="shared" si="5"/>
        <v>0</v>
      </c>
      <c r="O99" s="80">
        <f t="shared" si="6"/>
        <v>0</v>
      </c>
      <c r="P99" s="80">
        <f t="shared" si="7"/>
        <v>0</v>
      </c>
      <c r="Q99" s="80"/>
    </row>
    <row r="100" spans="1:17" ht="15" x14ac:dyDescent="0.25">
      <c r="A100">
        <f>مرتبات!A100</f>
        <v>0</v>
      </c>
      <c r="B100" s="82" t="str">
        <f>مرتبات!B100</f>
        <v>Spare</v>
      </c>
      <c r="C100" s="95">
        <v>0</v>
      </c>
      <c r="D100" s="95">
        <v>0</v>
      </c>
      <c r="E100" s="95">
        <v>0</v>
      </c>
      <c r="F100" s="95">
        <v>0</v>
      </c>
      <c r="G100" s="95">
        <v>0</v>
      </c>
      <c r="H100" s="95">
        <v>0</v>
      </c>
      <c r="I100" s="95">
        <v>0</v>
      </c>
      <c r="J100" s="95">
        <v>0</v>
      </c>
      <c r="K100" s="95">
        <v>0</v>
      </c>
      <c r="L100" s="95">
        <v>0</v>
      </c>
      <c r="M100" s="81">
        <f t="shared" si="4"/>
        <v>0</v>
      </c>
      <c r="N100" s="81">
        <f t="shared" si="5"/>
        <v>0</v>
      </c>
      <c r="O100" s="81">
        <f t="shared" si="6"/>
        <v>0</v>
      </c>
      <c r="P100" s="81">
        <f t="shared" si="7"/>
        <v>0</v>
      </c>
      <c r="Q100" s="81"/>
    </row>
    <row r="101" spans="1:17" ht="15.6" x14ac:dyDescent="0.3">
      <c r="A101">
        <f>مرتبات!A101</f>
        <v>20</v>
      </c>
      <c r="B101" s="151" t="s">
        <v>101</v>
      </c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</row>
    <row r="102" spans="1:17" ht="15" x14ac:dyDescent="0.25">
      <c r="A102">
        <f>مرتبات!A102</f>
        <v>1</v>
      </c>
      <c r="B102" s="82" t="str">
        <f>مرتبات!B102</f>
        <v>أ/هالة فوزي</v>
      </c>
      <c r="C102" s="95">
        <v>0</v>
      </c>
      <c r="D102" s="95">
        <v>0</v>
      </c>
      <c r="E102" s="95">
        <v>0</v>
      </c>
      <c r="F102" s="95">
        <v>0</v>
      </c>
      <c r="G102" s="95">
        <v>0</v>
      </c>
      <c r="H102" s="95">
        <v>0</v>
      </c>
      <c r="I102" s="95">
        <v>0</v>
      </c>
      <c r="J102" s="95">
        <v>0</v>
      </c>
      <c r="K102" s="95">
        <v>0</v>
      </c>
      <c r="L102" s="95">
        <v>0</v>
      </c>
      <c r="M102" s="81">
        <f t="shared" ref="M102:M118" si="8">SUM(C102:E102)+L102</f>
        <v>0</v>
      </c>
      <c r="N102" s="81">
        <f t="shared" ref="N102:N118" si="9">SUM(I102:K102)</f>
        <v>0</v>
      </c>
      <c r="O102" s="81">
        <f t="shared" ref="O102:O118" si="10">SUM(G102:H102)</f>
        <v>0</v>
      </c>
      <c r="P102" s="81">
        <f t="shared" ref="P102:P118" si="11">SUM(M102:O102)</f>
        <v>0</v>
      </c>
      <c r="Q102" s="81"/>
    </row>
    <row r="103" spans="1:17" ht="15" x14ac:dyDescent="0.25">
      <c r="A103">
        <f>مرتبات!A103</f>
        <v>2</v>
      </c>
      <c r="B103" s="152" t="str">
        <f>مرتبات!B103</f>
        <v>د/أمجد سعيد</v>
      </c>
      <c r="C103" s="96">
        <v>0</v>
      </c>
      <c r="D103" s="96">
        <v>0</v>
      </c>
      <c r="E103" s="96">
        <v>0</v>
      </c>
      <c r="F103" s="96">
        <v>0</v>
      </c>
      <c r="G103" s="96">
        <v>0</v>
      </c>
      <c r="H103" s="96">
        <v>0</v>
      </c>
      <c r="I103" s="96">
        <v>0</v>
      </c>
      <c r="J103" s="96">
        <v>0</v>
      </c>
      <c r="K103" s="96">
        <v>0</v>
      </c>
      <c r="L103" s="96">
        <v>0</v>
      </c>
      <c r="M103" s="80">
        <f t="shared" si="8"/>
        <v>0</v>
      </c>
      <c r="N103" s="80">
        <f t="shared" si="9"/>
        <v>0</v>
      </c>
      <c r="O103" s="80">
        <f t="shared" si="10"/>
        <v>0</v>
      </c>
      <c r="P103" s="80">
        <f t="shared" si="11"/>
        <v>0</v>
      </c>
      <c r="Q103" s="80"/>
    </row>
    <row r="104" spans="1:17" ht="15" x14ac:dyDescent="0.25">
      <c r="A104">
        <f>مرتبات!A104</f>
        <v>3</v>
      </c>
      <c r="B104" s="82" t="str">
        <f>مرتبات!B104</f>
        <v>د/وليد رزق</v>
      </c>
      <c r="C104" s="95">
        <v>0</v>
      </c>
      <c r="D104" s="95">
        <v>0</v>
      </c>
      <c r="E104" s="95">
        <v>0</v>
      </c>
      <c r="F104" s="95">
        <v>0</v>
      </c>
      <c r="G104" s="95">
        <v>0</v>
      </c>
      <c r="H104" s="95">
        <v>0</v>
      </c>
      <c r="I104" s="95">
        <v>0</v>
      </c>
      <c r="J104" s="95">
        <v>0</v>
      </c>
      <c r="K104" s="95">
        <v>0</v>
      </c>
      <c r="L104" s="95">
        <v>0</v>
      </c>
      <c r="M104" s="81">
        <f t="shared" si="8"/>
        <v>0</v>
      </c>
      <c r="N104" s="81">
        <f t="shared" si="9"/>
        <v>0</v>
      </c>
      <c r="O104" s="81">
        <f t="shared" si="10"/>
        <v>0</v>
      </c>
      <c r="P104" s="81">
        <f t="shared" si="11"/>
        <v>0</v>
      </c>
      <c r="Q104" s="81"/>
    </row>
    <row r="105" spans="1:17" ht="15" x14ac:dyDescent="0.25">
      <c r="A105">
        <f>مرتبات!A105</f>
        <v>4</v>
      </c>
      <c r="B105" s="152" t="str">
        <f>مرتبات!B105</f>
        <v>د/أمينة العطيفي</v>
      </c>
      <c r="C105" s="96">
        <v>0</v>
      </c>
      <c r="D105" s="96">
        <v>0</v>
      </c>
      <c r="E105" s="96">
        <v>0</v>
      </c>
      <c r="F105" s="96">
        <v>0</v>
      </c>
      <c r="G105" s="96">
        <v>0</v>
      </c>
      <c r="H105" s="96">
        <v>0</v>
      </c>
      <c r="I105" s="96">
        <v>0</v>
      </c>
      <c r="J105" s="96">
        <v>0</v>
      </c>
      <c r="K105" s="96">
        <v>0</v>
      </c>
      <c r="L105" s="96">
        <v>0</v>
      </c>
      <c r="M105" s="80">
        <f t="shared" si="8"/>
        <v>0</v>
      </c>
      <c r="N105" s="80">
        <f t="shared" si="9"/>
        <v>0</v>
      </c>
      <c r="O105" s="80">
        <f t="shared" si="10"/>
        <v>0</v>
      </c>
      <c r="P105" s="80">
        <f t="shared" si="11"/>
        <v>0</v>
      </c>
      <c r="Q105" s="80"/>
    </row>
    <row r="106" spans="1:17" ht="15" x14ac:dyDescent="0.25">
      <c r="A106">
        <f>مرتبات!A106</f>
        <v>0</v>
      </c>
      <c r="B106" s="82" t="str">
        <f>مرتبات!B106</f>
        <v>Spare</v>
      </c>
      <c r="C106" s="95">
        <v>0</v>
      </c>
      <c r="D106" s="95">
        <v>0</v>
      </c>
      <c r="E106" s="95">
        <v>0</v>
      </c>
      <c r="F106" s="95">
        <v>0</v>
      </c>
      <c r="G106" s="95">
        <v>0</v>
      </c>
      <c r="H106" s="95">
        <v>0</v>
      </c>
      <c r="I106" s="95">
        <v>0</v>
      </c>
      <c r="J106" s="95">
        <v>0</v>
      </c>
      <c r="K106" s="95">
        <v>0</v>
      </c>
      <c r="L106" s="95">
        <v>0</v>
      </c>
      <c r="M106" s="81">
        <f t="shared" si="8"/>
        <v>0</v>
      </c>
      <c r="N106" s="81">
        <f t="shared" si="9"/>
        <v>0</v>
      </c>
      <c r="O106" s="81">
        <f t="shared" si="10"/>
        <v>0</v>
      </c>
      <c r="P106" s="81">
        <f t="shared" si="11"/>
        <v>0</v>
      </c>
      <c r="Q106" s="81"/>
    </row>
    <row r="107" spans="1:17" ht="15" x14ac:dyDescent="0.25">
      <c r="A107">
        <f>مرتبات!A107</f>
        <v>0</v>
      </c>
      <c r="B107" s="152" t="str">
        <f>مرتبات!B107</f>
        <v>Spare</v>
      </c>
      <c r="C107" s="96">
        <v>0</v>
      </c>
      <c r="D107" s="96">
        <v>0</v>
      </c>
      <c r="E107" s="96">
        <v>0</v>
      </c>
      <c r="F107" s="96">
        <v>0</v>
      </c>
      <c r="G107" s="96">
        <v>0</v>
      </c>
      <c r="H107" s="96">
        <v>0</v>
      </c>
      <c r="I107" s="96">
        <v>0</v>
      </c>
      <c r="J107" s="96">
        <v>0</v>
      </c>
      <c r="K107" s="96">
        <v>0</v>
      </c>
      <c r="L107" s="96">
        <v>0</v>
      </c>
      <c r="M107" s="80">
        <f t="shared" si="8"/>
        <v>0</v>
      </c>
      <c r="N107" s="80">
        <f t="shared" si="9"/>
        <v>0</v>
      </c>
      <c r="O107" s="80">
        <f t="shared" si="10"/>
        <v>0</v>
      </c>
      <c r="P107" s="80">
        <f t="shared" si="11"/>
        <v>0</v>
      </c>
      <c r="Q107" s="80"/>
    </row>
    <row r="108" spans="1:17" ht="15" x14ac:dyDescent="0.25">
      <c r="A108">
        <f>مرتبات!A108</f>
        <v>0</v>
      </c>
      <c r="B108" s="82" t="str">
        <f>مرتبات!B108</f>
        <v>Spare</v>
      </c>
      <c r="C108" s="95">
        <v>0</v>
      </c>
      <c r="D108" s="95">
        <v>0</v>
      </c>
      <c r="E108" s="95">
        <v>0</v>
      </c>
      <c r="F108" s="95">
        <v>0</v>
      </c>
      <c r="G108" s="95">
        <v>0</v>
      </c>
      <c r="H108" s="95">
        <v>0</v>
      </c>
      <c r="I108" s="95">
        <v>0</v>
      </c>
      <c r="J108" s="95">
        <v>0</v>
      </c>
      <c r="K108" s="95">
        <v>0</v>
      </c>
      <c r="L108" s="95">
        <v>0</v>
      </c>
      <c r="M108" s="81">
        <f t="shared" si="8"/>
        <v>0</v>
      </c>
      <c r="N108" s="81">
        <f t="shared" si="9"/>
        <v>0</v>
      </c>
      <c r="O108" s="81">
        <f t="shared" si="10"/>
        <v>0</v>
      </c>
      <c r="P108" s="81">
        <f t="shared" si="11"/>
        <v>0</v>
      </c>
      <c r="Q108" s="81"/>
    </row>
    <row r="109" spans="1:17" ht="15" x14ac:dyDescent="0.25">
      <c r="A109">
        <f>مرتبات!A109</f>
        <v>0</v>
      </c>
      <c r="B109" s="152" t="str">
        <f>مرتبات!B109</f>
        <v>Spare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80">
        <f t="shared" si="8"/>
        <v>0</v>
      </c>
      <c r="N109" s="80">
        <f t="shared" si="9"/>
        <v>0</v>
      </c>
      <c r="O109" s="80">
        <f t="shared" si="10"/>
        <v>0</v>
      </c>
      <c r="P109" s="80">
        <f t="shared" si="11"/>
        <v>0</v>
      </c>
      <c r="Q109" s="80"/>
    </row>
    <row r="110" spans="1:17" ht="15" x14ac:dyDescent="0.25">
      <c r="A110">
        <f>مرتبات!A110</f>
        <v>0</v>
      </c>
      <c r="B110" s="82" t="str">
        <f>مرتبات!B110</f>
        <v>Spare</v>
      </c>
      <c r="C110" s="95">
        <v>0</v>
      </c>
      <c r="D110" s="95">
        <v>0</v>
      </c>
      <c r="E110" s="95">
        <v>0</v>
      </c>
      <c r="F110" s="95">
        <v>0</v>
      </c>
      <c r="G110" s="95">
        <v>0</v>
      </c>
      <c r="H110" s="95">
        <v>0</v>
      </c>
      <c r="I110" s="95">
        <v>0</v>
      </c>
      <c r="J110" s="95">
        <v>0</v>
      </c>
      <c r="K110" s="95">
        <v>0</v>
      </c>
      <c r="L110" s="95">
        <v>0</v>
      </c>
      <c r="M110" s="81">
        <f t="shared" si="8"/>
        <v>0</v>
      </c>
      <c r="N110" s="81">
        <f t="shared" si="9"/>
        <v>0</v>
      </c>
      <c r="O110" s="81">
        <f t="shared" si="10"/>
        <v>0</v>
      </c>
      <c r="P110" s="81">
        <f t="shared" si="11"/>
        <v>0</v>
      </c>
      <c r="Q110" s="81"/>
    </row>
    <row r="111" spans="1:17" ht="15" x14ac:dyDescent="0.25">
      <c r="A111">
        <f>مرتبات!A111</f>
        <v>0</v>
      </c>
      <c r="B111" s="152" t="str">
        <f>مرتبات!B111</f>
        <v>Spare</v>
      </c>
      <c r="C111" s="96">
        <v>0</v>
      </c>
      <c r="D111" s="96">
        <v>0</v>
      </c>
      <c r="E111" s="96">
        <v>0</v>
      </c>
      <c r="F111" s="96">
        <v>0</v>
      </c>
      <c r="G111" s="96">
        <v>0</v>
      </c>
      <c r="H111" s="96">
        <v>0</v>
      </c>
      <c r="I111" s="96">
        <v>0</v>
      </c>
      <c r="J111" s="96">
        <v>0</v>
      </c>
      <c r="K111" s="96">
        <v>0</v>
      </c>
      <c r="L111" s="96">
        <v>0</v>
      </c>
      <c r="M111" s="80">
        <f t="shared" si="8"/>
        <v>0</v>
      </c>
      <c r="N111" s="80">
        <f t="shared" si="9"/>
        <v>0</v>
      </c>
      <c r="O111" s="80">
        <f t="shared" si="10"/>
        <v>0</v>
      </c>
      <c r="P111" s="80">
        <f t="shared" si="11"/>
        <v>0</v>
      </c>
      <c r="Q111" s="80"/>
    </row>
    <row r="112" spans="1:17" ht="15" x14ac:dyDescent="0.25">
      <c r="A112">
        <f>مرتبات!A112</f>
        <v>0</v>
      </c>
      <c r="B112" s="82" t="str">
        <f>مرتبات!B112</f>
        <v>Spare</v>
      </c>
      <c r="C112" s="95">
        <v>0</v>
      </c>
      <c r="D112" s="95">
        <v>0</v>
      </c>
      <c r="E112" s="95">
        <v>0</v>
      </c>
      <c r="F112" s="95">
        <v>0</v>
      </c>
      <c r="G112" s="95">
        <v>0</v>
      </c>
      <c r="H112" s="95">
        <v>0</v>
      </c>
      <c r="I112" s="95">
        <v>0</v>
      </c>
      <c r="J112" s="95">
        <v>0</v>
      </c>
      <c r="K112" s="95">
        <v>0</v>
      </c>
      <c r="L112" s="95">
        <v>0</v>
      </c>
      <c r="M112" s="81">
        <f t="shared" si="8"/>
        <v>0</v>
      </c>
      <c r="N112" s="81">
        <f t="shared" si="9"/>
        <v>0</v>
      </c>
      <c r="O112" s="81">
        <f t="shared" si="10"/>
        <v>0</v>
      </c>
      <c r="P112" s="81">
        <f t="shared" si="11"/>
        <v>0</v>
      </c>
      <c r="Q112" s="81"/>
    </row>
    <row r="113" spans="1:17" ht="15" x14ac:dyDescent="0.25">
      <c r="A113">
        <f>مرتبات!A113</f>
        <v>0</v>
      </c>
      <c r="B113" s="152" t="str">
        <f>مرتبات!B113</f>
        <v>Spare</v>
      </c>
      <c r="C113" s="96">
        <v>0</v>
      </c>
      <c r="D113" s="96">
        <v>0</v>
      </c>
      <c r="E113" s="96">
        <v>0</v>
      </c>
      <c r="F113" s="96">
        <v>0</v>
      </c>
      <c r="G113" s="96">
        <v>0</v>
      </c>
      <c r="H113" s="96">
        <v>0</v>
      </c>
      <c r="I113" s="96">
        <v>0</v>
      </c>
      <c r="J113" s="96">
        <v>0</v>
      </c>
      <c r="K113" s="96">
        <v>0</v>
      </c>
      <c r="L113" s="96">
        <v>0</v>
      </c>
      <c r="M113" s="80">
        <f t="shared" si="8"/>
        <v>0</v>
      </c>
      <c r="N113" s="80">
        <f t="shared" si="9"/>
        <v>0</v>
      </c>
      <c r="O113" s="80">
        <f t="shared" si="10"/>
        <v>0</v>
      </c>
      <c r="P113" s="80">
        <f t="shared" si="11"/>
        <v>0</v>
      </c>
      <c r="Q113" s="80"/>
    </row>
    <row r="114" spans="1:17" ht="15" x14ac:dyDescent="0.25">
      <c r="A114">
        <f>مرتبات!A114</f>
        <v>0</v>
      </c>
      <c r="B114" s="82" t="str">
        <f>مرتبات!B114</f>
        <v>Spare</v>
      </c>
      <c r="C114" s="95">
        <v>0</v>
      </c>
      <c r="D114" s="95">
        <v>0</v>
      </c>
      <c r="E114" s="95">
        <v>0</v>
      </c>
      <c r="F114" s="95">
        <v>0</v>
      </c>
      <c r="G114" s="95">
        <v>0</v>
      </c>
      <c r="H114" s="95">
        <v>0</v>
      </c>
      <c r="I114" s="95">
        <v>0</v>
      </c>
      <c r="J114" s="95">
        <v>0</v>
      </c>
      <c r="K114" s="95">
        <v>0</v>
      </c>
      <c r="L114" s="95">
        <v>0</v>
      </c>
      <c r="M114" s="81">
        <f t="shared" si="8"/>
        <v>0</v>
      </c>
      <c r="N114" s="81">
        <f t="shared" si="9"/>
        <v>0</v>
      </c>
      <c r="O114" s="81">
        <f t="shared" si="10"/>
        <v>0</v>
      </c>
      <c r="P114" s="81">
        <f t="shared" si="11"/>
        <v>0</v>
      </c>
      <c r="Q114" s="81"/>
    </row>
    <row r="115" spans="1:17" ht="15" x14ac:dyDescent="0.25">
      <c r="A115">
        <f>مرتبات!A115</f>
        <v>0</v>
      </c>
      <c r="B115" s="152" t="str">
        <f>مرتبات!B115</f>
        <v>Spare</v>
      </c>
      <c r="C115" s="96">
        <v>0</v>
      </c>
      <c r="D115" s="96">
        <v>0</v>
      </c>
      <c r="E115" s="96">
        <v>0</v>
      </c>
      <c r="F115" s="96">
        <v>0</v>
      </c>
      <c r="G115" s="96">
        <v>0</v>
      </c>
      <c r="H115" s="96">
        <v>0</v>
      </c>
      <c r="I115" s="96">
        <v>0</v>
      </c>
      <c r="J115" s="96">
        <v>0</v>
      </c>
      <c r="K115" s="96">
        <v>0</v>
      </c>
      <c r="L115" s="96">
        <v>0</v>
      </c>
      <c r="M115" s="80">
        <f t="shared" si="8"/>
        <v>0</v>
      </c>
      <c r="N115" s="80">
        <f t="shared" si="9"/>
        <v>0</v>
      </c>
      <c r="O115" s="80">
        <f t="shared" si="10"/>
        <v>0</v>
      </c>
      <c r="P115" s="80">
        <f t="shared" si="11"/>
        <v>0</v>
      </c>
      <c r="Q115" s="80"/>
    </row>
    <row r="116" spans="1:17" ht="15" x14ac:dyDescent="0.25">
      <c r="A116">
        <f>مرتبات!A116</f>
        <v>0</v>
      </c>
      <c r="B116" s="82" t="str">
        <f>مرتبات!B116</f>
        <v>Spare</v>
      </c>
      <c r="C116" s="95">
        <v>0</v>
      </c>
      <c r="D116" s="95">
        <v>0</v>
      </c>
      <c r="E116" s="95">
        <v>0</v>
      </c>
      <c r="F116" s="95">
        <v>0</v>
      </c>
      <c r="G116" s="95">
        <v>0</v>
      </c>
      <c r="H116" s="95">
        <v>0</v>
      </c>
      <c r="I116" s="95">
        <v>0</v>
      </c>
      <c r="J116" s="95">
        <v>0</v>
      </c>
      <c r="K116" s="95">
        <v>0</v>
      </c>
      <c r="L116" s="95">
        <v>0</v>
      </c>
      <c r="M116" s="81">
        <f t="shared" si="8"/>
        <v>0</v>
      </c>
      <c r="N116" s="81">
        <f t="shared" si="9"/>
        <v>0</v>
      </c>
      <c r="O116" s="81">
        <f t="shared" si="10"/>
        <v>0</v>
      </c>
      <c r="P116" s="81">
        <f t="shared" si="11"/>
        <v>0</v>
      </c>
      <c r="Q116" s="81"/>
    </row>
    <row r="117" spans="1:17" ht="15.6" thickBot="1" x14ac:dyDescent="0.3">
      <c r="A117">
        <f>مرتبات!A117</f>
        <v>0</v>
      </c>
      <c r="B117" s="152" t="str">
        <f>مرتبات!B117</f>
        <v>Spare</v>
      </c>
      <c r="C117" s="96">
        <v>0</v>
      </c>
      <c r="D117" s="96">
        <v>0</v>
      </c>
      <c r="E117" s="96">
        <v>0</v>
      </c>
      <c r="F117" s="96">
        <v>0</v>
      </c>
      <c r="G117" s="96">
        <v>0</v>
      </c>
      <c r="H117" s="96">
        <v>0</v>
      </c>
      <c r="I117" s="96">
        <v>0</v>
      </c>
      <c r="J117" s="96">
        <v>0</v>
      </c>
      <c r="K117" s="96">
        <v>0</v>
      </c>
      <c r="L117" s="96">
        <v>0</v>
      </c>
      <c r="M117" s="80">
        <f t="shared" si="8"/>
        <v>0</v>
      </c>
      <c r="N117" s="80">
        <f t="shared" si="9"/>
        <v>0</v>
      </c>
      <c r="O117" s="80">
        <f t="shared" si="10"/>
        <v>0</v>
      </c>
      <c r="P117" s="80">
        <f t="shared" si="11"/>
        <v>0</v>
      </c>
      <c r="Q117" s="80"/>
    </row>
    <row r="118" spans="1:17" ht="16.2" thickBot="1" x14ac:dyDescent="0.3">
      <c r="A118">
        <f>مرتبات!A118</f>
        <v>4</v>
      </c>
      <c r="B118" s="145" t="s">
        <v>65</v>
      </c>
      <c r="C118" s="88">
        <f t="shared" ref="C118:L118" si="12">SUM(C4:C17)+SUM(C19:C55)+SUM(C57:C100)+SUM(C102:C117)</f>
        <v>2322</v>
      </c>
      <c r="D118" s="88">
        <f t="shared" si="12"/>
        <v>26400</v>
      </c>
      <c r="E118" s="88">
        <f t="shared" si="12"/>
        <v>300</v>
      </c>
      <c r="F118" s="88">
        <f t="shared" si="12"/>
        <v>0</v>
      </c>
      <c r="G118" s="88">
        <f t="shared" si="12"/>
        <v>0</v>
      </c>
      <c r="H118" s="88">
        <f t="shared" si="12"/>
        <v>0</v>
      </c>
      <c r="I118" s="88">
        <f t="shared" si="12"/>
        <v>52746.5</v>
      </c>
      <c r="J118" s="88">
        <f t="shared" si="12"/>
        <v>219356</v>
      </c>
      <c r="K118" s="88">
        <f t="shared" si="12"/>
        <v>21310</v>
      </c>
      <c r="L118" s="88">
        <f t="shared" si="12"/>
        <v>0</v>
      </c>
      <c r="M118" s="88">
        <f t="shared" si="8"/>
        <v>29022</v>
      </c>
      <c r="N118" s="88">
        <f t="shared" si="9"/>
        <v>293412.5</v>
      </c>
      <c r="O118" s="89">
        <f t="shared" si="10"/>
        <v>0</v>
      </c>
      <c r="P118" s="88">
        <f t="shared" si="11"/>
        <v>322434.5</v>
      </c>
      <c r="Q118" s="90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opLeftCell="A9" zoomScale="85" zoomScaleNormal="85" workbookViewId="0">
      <selection activeCell="G40" sqref="G40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9.44140625" style="9" bestFit="1" customWidth="1"/>
    <col min="10" max="10" width="10.88671875" style="9" customWidth="1"/>
    <col min="11" max="11" width="11.33203125" style="9" bestFit="1" customWidth="1"/>
    <col min="12" max="12" width="14.21875" style="9" customWidth="1"/>
    <col min="13" max="13" width="25" style="13" customWidth="1"/>
    <col min="14" max="16384" width="9.109375" style="9"/>
  </cols>
  <sheetData>
    <row r="1" spans="1:13" ht="16.2" thickBot="1" x14ac:dyDescent="0.3">
      <c r="B1" s="147" t="s">
        <v>15</v>
      </c>
    </row>
    <row r="2" spans="1:13" ht="53.4" thickBot="1" x14ac:dyDescent="0.3">
      <c r="A2" s="139" t="s">
        <v>5</v>
      </c>
      <c r="B2" s="146" t="s">
        <v>143</v>
      </c>
      <c r="C2" s="148" t="s">
        <v>48</v>
      </c>
      <c r="D2" s="148" t="s">
        <v>49</v>
      </c>
      <c r="E2" s="148" t="s">
        <v>50</v>
      </c>
      <c r="F2" s="148" t="s">
        <v>51</v>
      </c>
      <c r="G2" s="148" t="s">
        <v>52</v>
      </c>
      <c r="H2" s="148" t="s">
        <v>53</v>
      </c>
      <c r="I2" s="148" t="s">
        <v>54</v>
      </c>
      <c r="J2" s="148" t="s">
        <v>55</v>
      </c>
      <c r="K2" s="148" t="s">
        <v>56</v>
      </c>
      <c r="L2" s="143" t="s">
        <v>57</v>
      </c>
      <c r="M2" s="39" t="s">
        <v>17</v>
      </c>
    </row>
    <row r="3" spans="1:13" ht="15.6" x14ac:dyDescent="0.3">
      <c r="A3" s="13"/>
      <c r="B3" s="144" t="s">
        <v>61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</row>
    <row r="4" spans="1:13" x14ac:dyDescent="0.25">
      <c r="A4" s="97">
        <f>مرتبات!A4</f>
        <v>1</v>
      </c>
      <c r="B4" s="19" t="str">
        <f>مرتبات!B4</f>
        <v>د/ هاني سري الدين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f t="shared" ref="L4:L67" si="0">SUM(C4:K4)</f>
        <v>0</v>
      </c>
      <c r="M4" s="156"/>
    </row>
    <row r="5" spans="1:13" x14ac:dyDescent="0.25">
      <c r="A5" s="97">
        <f>مرتبات!A5</f>
        <v>2</v>
      </c>
      <c r="B5" s="19" t="str">
        <f>مرتبات!B5</f>
        <v>ا / اميره شــريف</v>
      </c>
      <c r="C5" s="63">
        <v>0</v>
      </c>
      <c r="D5" s="63">
        <v>0</v>
      </c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f t="shared" si="0"/>
        <v>0</v>
      </c>
      <c r="M5" s="67"/>
    </row>
    <row r="6" spans="1:13" x14ac:dyDescent="0.25">
      <c r="A6" s="97">
        <f>مرتبات!A6</f>
        <v>0</v>
      </c>
      <c r="B6" s="19" t="str">
        <f>مرتبات!B6</f>
        <v>Spare</v>
      </c>
      <c r="C6" s="63">
        <v>0</v>
      </c>
      <c r="D6" s="63">
        <v>0</v>
      </c>
      <c r="E6" s="63">
        <v>0</v>
      </c>
      <c r="F6" s="63">
        <v>0</v>
      </c>
      <c r="G6" s="63">
        <v>0</v>
      </c>
      <c r="H6" s="63">
        <v>0</v>
      </c>
      <c r="I6" s="63">
        <v>0</v>
      </c>
      <c r="J6" s="63">
        <v>0</v>
      </c>
      <c r="K6" s="63">
        <v>0</v>
      </c>
      <c r="L6" s="63">
        <f t="shared" si="0"/>
        <v>0</v>
      </c>
      <c r="M6" s="57"/>
    </row>
    <row r="7" spans="1:13" x14ac:dyDescent="0.25">
      <c r="A7" s="97">
        <f>مرتبات!A7</f>
        <v>0</v>
      </c>
      <c r="B7" s="19" t="str">
        <f>مرتبات!B7</f>
        <v>Spare</v>
      </c>
      <c r="C7" s="63">
        <v>0</v>
      </c>
      <c r="D7" s="63">
        <v>0</v>
      </c>
      <c r="E7" s="63">
        <v>0</v>
      </c>
      <c r="F7" s="63">
        <v>0</v>
      </c>
      <c r="G7" s="63">
        <v>0</v>
      </c>
      <c r="H7" s="63">
        <v>0</v>
      </c>
      <c r="I7" s="63">
        <v>0</v>
      </c>
      <c r="J7" s="63">
        <v>0</v>
      </c>
      <c r="K7" s="63">
        <v>0</v>
      </c>
      <c r="L7" s="63">
        <f t="shared" si="0"/>
        <v>0</v>
      </c>
      <c r="M7" s="156"/>
    </row>
    <row r="8" spans="1:13" x14ac:dyDescent="0.25">
      <c r="A8" s="97">
        <f>مرتبات!A8</f>
        <v>0</v>
      </c>
      <c r="B8" s="19" t="str">
        <f>مرتبات!B8</f>
        <v>Spare</v>
      </c>
      <c r="C8" s="63">
        <v>0</v>
      </c>
      <c r="D8" s="63">
        <v>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0</v>
      </c>
      <c r="L8" s="63">
        <f t="shared" si="0"/>
        <v>0</v>
      </c>
      <c r="M8" s="156"/>
    </row>
    <row r="9" spans="1:13" x14ac:dyDescent="0.25">
      <c r="A9" s="97">
        <f>مرتبات!A9</f>
        <v>0</v>
      </c>
      <c r="B9" s="19" t="str">
        <f>مرتبات!B9</f>
        <v>Spare</v>
      </c>
      <c r="C9" s="63">
        <v>0</v>
      </c>
      <c r="D9" s="63">
        <v>0</v>
      </c>
      <c r="E9" s="63">
        <v>0</v>
      </c>
      <c r="F9" s="63">
        <v>0</v>
      </c>
      <c r="G9" s="63">
        <v>0</v>
      </c>
      <c r="H9" s="63">
        <v>0</v>
      </c>
      <c r="I9" s="63">
        <v>0</v>
      </c>
      <c r="J9" s="63">
        <v>0</v>
      </c>
      <c r="K9" s="63">
        <v>0</v>
      </c>
      <c r="L9" s="63">
        <f t="shared" si="0"/>
        <v>0</v>
      </c>
      <c r="M9" s="29"/>
    </row>
    <row r="10" spans="1:13" x14ac:dyDescent="0.25">
      <c r="A10" s="97">
        <f>مرتبات!A10</f>
        <v>0</v>
      </c>
      <c r="B10" s="19" t="str">
        <f>مرتبات!B10</f>
        <v>Spare</v>
      </c>
      <c r="C10" s="63">
        <v>0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v>0</v>
      </c>
      <c r="L10" s="63">
        <f t="shared" si="0"/>
        <v>0</v>
      </c>
      <c r="M10" s="156"/>
    </row>
    <row r="11" spans="1:13" x14ac:dyDescent="0.25">
      <c r="A11" s="97">
        <f>مرتبات!A11</f>
        <v>0</v>
      </c>
      <c r="B11" s="19" t="str">
        <f>مرتبات!B11</f>
        <v>Spare</v>
      </c>
      <c r="C11" s="63">
        <v>0</v>
      </c>
      <c r="D11" s="63">
        <v>0</v>
      </c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f t="shared" si="0"/>
        <v>0</v>
      </c>
      <c r="M11" s="157"/>
    </row>
    <row r="12" spans="1:13" x14ac:dyDescent="0.25">
      <c r="A12" s="97">
        <f>مرتبات!A12</f>
        <v>0</v>
      </c>
      <c r="B12" s="19" t="str">
        <f>مرتبات!B12</f>
        <v>Spare</v>
      </c>
      <c r="C12" s="63">
        <v>0</v>
      </c>
      <c r="D12" s="63">
        <v>0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f t="shared" si="0"/>
        <v>0</v>
      </c>
      <c r="M12" s="71"/>
    </row>
    <row r="13" spans="1:13" x14ac:dyDescent="0.25">
      <c r="A13" s="97">
        <f>مرتبات!A13</f>
        <v>0</v>
      </c>
      <c r="B13" s="19" t="str">
        <f>مرتبات!B13</f>
        <v>Spare</v>
      </c>
      <c r="C13" s="63">
        <v>0</v>
      </c>
      <c r="D13" s="63">
        <v>0</v>
      </c>
      <c r="E13" s="63">
        <v>0</v>
      </c>
      <c r="F13" s="63">
        <v>0</v>
      </c>
      <c r="G13" s="63">
        <v>0</v>
      </c>
      <c r="H13" s="63">
        <v>0</v>
      </c>
      <c r="I13" s="63">
        <v>0</v>
      </c>
      <c r="J13" s="63">
        <v>0</v>
      </c>
      <c r="K13" s="63">
        <v>0</v>
      </c>
      <c r="L13" s="63">
        <f t="shared" si="0"/>
        <v>0</v>
      </c>
      <c r="M13" s="156"/>
    </row>
    <row r="14" spans="1:13" x14ac:dyDescent="0.25">
      <c r="A14" s="97">
        <f>مرتبات!A14</f>
        <v>0</v>
      </c>
      <c r="B14" s="19" t="str">
        <f>مرتبات!B14</f>
        <v>Spare</v>
      </c>
      <c r="C14" s="63">
        <v>0</v>
      </c>
      <c r="D14" s="63">
        <v>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f t="shared" si="0"/>
        <v>0</v>
      </c>
      <c r="M14" s="156"/>
    </row>
    <row r="15" spans="1:13" x14ac:dyDescent="0.25">
      <c r="A15" s="97">
        <f>مرتبات!A15</f>
        <v>0</v>
      </c>
      <c r="B15" s="19" t="str">
        <f>مرتبات!B15</f>
        <v>Spare</v>
      </c>
      <c r="C15" s="63">
        <v>0</v>
      </c>
      <c r="D15" s="63">
        <v>0</v>
      </c>
      <c r="E15" s="63">
        <v>0</v>
      </c>
      <c r="F15" s="63">
        <v>0</v>
      </c>
      <c r="G15" s="63">
        <v>0</v>
      </c>
      <c r="H15" s="63">
        <v>0</v>
      </c>
      <c r="I15" s="63">
        <v>0</v>
      </c>
      <c r="J15" s="63">
        <v>0</v>
      </c>
      <c r="K15" s="63">
        <v>0</v>
      </c>
      <c r="L15" s="63">
        <f t="shared" si="0"/>
        <v>0</v>
      </c>
      <c r="M15" s="156"/>
    </row>
    <row r="16" spans="1:13" x14ac:dyDescent="0.25">
      <c r="A16" s="97">
        <f>مرتبات!A16</f>
        <v>0</v>
      </c>
      <c r="B16" s="19" t="str">
        <f>مرتبات!B16</f>
        <v>Spare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f t="shared" si="0"/>
        <v>0</v>
      </c>
      <c r="M16" s="156"/>
    </row>
    <row r="17" spans="1:13" x14ac:dyDescent="0.25">
      <c r="A17" s="97">
        <f>مرتبات!A17</f>
        <v>0</v>
      </c>
      <c r="B17" s="19" t="str">
        <f>مرتبات!B17</f>
        <v>Spare</v>
      </c>
      <c r="C17" s="63">
        <v>0</v>
      </c>
      <c r="D17" s="63">
        <v>0</v>
      </c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f t="shared" si="0"/>
        <v>0</v>
      </c>
      <c r="M17" s="156"/>
    </row>
    <row r="18" spans="1:13" ht="15.6" x14ac:dyDescent="0.3">
      <c r="A18" s="97">
        <f>مرتبات!A18</f>
        <v>2</v>
      </c>
      <c r="B18" s="144" t="s">
        <v>62</v>
      </c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</row>
    <row r="19" spans="1:13" x14ac:dyDescent="0.25">
      <c r="A19" s="97">
        <f>مرتبات!A19</f>
        <v>1</v>
      </c>
      <c r="B19" s="19" t="str">
        <f>مرتبات!B19</f>
        <v>أ/ناجى رمضان أمين محمد</v>
      </c>
      <c r="C19" s="63">
        <v>1929.5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50</v>
      </c>
      <c r="K19" s="63">
        <v>0</v>
      </c>
      <c r="L19" s="63">
        <f t="shared" si="0"/>
        <v>1979.5</v>
      </c>
      <c r="M19" s="156" t="s">
        <v>151</v>
      </c>
    </row>
    <row r="20" spans="1:13" x14ac:dyDescent="0.25">
      <c r="A20" s="97">
        <f>مرتبات!A20</f>
        <v>2</v>
      </c>
      <c r="B20" s="19" t="str">
        <f>مرتبات!B20</f>
        <v>أ/محمد عبد العزيز عبدالحافظ</v>
      </c>
      <c r="C20" s="63">
        <v>0</v>
      </c>
      <c r="D20" s="63">
        <v>0</v>
      </c>
      <c r="E20" s="63">
        <v>0</v>
      </c>
      <c r="F20" s="63">
        <v>0</v>
      </c>
      <c r="G20" s="63">
        <v>100</v>
      </c>
      <c r="H20" s="63">
        <v>0</v>
      </c>
      <c r="I20" s="63">
        <v>0</v>
      </c>
      <c r="J20" s="63">
        <v>200</v>
      </c>
      <c r="K20" s="63">
        <v>0</v>
      </c>
      <c r="L20" s="63">
        <f t="shared" si="0"/>
        <v>300</v>
      </c>
      <c r="M20" s="71"/>
    </row>
    <row r="21" spans="1:13" x14ac:dyDescent="0.25">
      <c r="A21" s="97">
        <f>مرتبات!A21</f>
        <v>3</v>
      </c>
      <c r="B21" s="19" t="str">
        <f>مرتبات!B21</f>
        <v>أ/ أحمد سعيد أحمد محمد علي</v>
      </c>
      <c r="C21" s="63">
        <v>0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50</v>
      </c>
      <c r="K21" s="63">
        <v>0</v>
      </c>
      <c r="L21" s="63">
        <f t="shared" si="0"/>
        <v>50</v>
      </c>
      <c r="M21" s="156"/>
    </row>
    <row r="22" spans="1:13" x14ac:dyDescent="0.25">
      <c r="A22" s="97">
        <f>مرتبات!A22</f>
        <v>4</v>
      </c>
      <c r="B22" s="19" t="str">
        <f>مرتبات!B22</f>
        <v>أ/ إيهاب حمدى إبراهيم امام</v>
      </c>
      <c r="C22" s="63">
        <v>446.67</v>
      </c>
      <c r="D22" s="63">
        <v>0</v>
      </c>
      <c r="E22" s="63">
        <v>0</v>
      </c>
      <c r="F22" s="63">
        <v>0</v>
      </c>
      <c r="G22" s="63">
        <v>783</v>
      </c>
      <c r="H22" s="63">
        <v>0</v>
      </c>
      <c r="I22" s="63">
        <v>0</v>
      </c>
      <c r="J22" s="63">
        <v>0</v>
      </c>
      <c r="K22" s="63">
        <v>0</v>
      </c>
      <c r="L22" s="63">
        <f t="shared" si="0"/>
        <v>1229.67</v>
      </c>
      <c r="M22" s="156" t="s">
        <v>152</v>
      </c>
    </row>
    <row r="23" spans="1:13" x14ac:dyDescent="0.25">
      <c r="A23" s="97">
        <f>مرتبات!A23</f>
        <v>5</v>
      </c>
      <c r="B23" s="19" t="str">
        <f>مرتبات!B23</f>
        <v>أ/منة الله البلتاجى</v>
      </c>
      <c r="C23" s="63">
        <v>446.67</v>
      </c>
      <c r="D23" s="63">
        <v>0</v>
      </c>
      <c r="E23" s="63">
        <v>0</v>
      </c>
      <c r="F23" s="63">
        <v>0</v>
      </c>
      <c r="G23" s="63">
        <v>0</v>
      </c>
      <c r="H23" s="63">
        <v>3000</v>
      </c>
      <c r="I23" s="63">
        <v>0</v>
      </c>
      <c r="J23" s="63">
        <v>250</v>
      </c>
      <c r="K23" s="63">
        <v>0</v>
      </c>
      <c r="L23" s="63">
        <f t="shared" si="0"/>
        <v>3696.67</v>
      </c>
      <c r="M23" s="71" t="s">
        <v>150</v>
      </c>
    </row>
    <row r="24" spans="1:13" x14ac:dyDescent="0.25">
      <c r="A24" s="97">
        <f>مرتبات!A24</f>
        <v>6</v>
      </c>
      <c r="B24" s="19" t="str">
        <f>مرتبات!B24</f>
        <v>أ/نهى عمرو محمد رضوان</v>
      </c>
      <c r="C24" s="63">
        <v>0</v>
      </c>
      <c r="D24" s="63">
        <v>0</v>
      </c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f t="shared" si="0"/>
        <v>0</v>
      </c>
      <c r="M24" s="156"/>
    </row>
    <row r="25" spans="1:13" x14ac:dyDescent="0.25">
      <c r="A25" s="97">
        <f>مرتبات!A25</f>
        <v>7</v>
      </c>
      <c r="B25" s="19" t="str">
        <f>مرتبات!B25</f>
        <v>أ/فرح عبدالله محمود النحاس</v>
      </c>
      <c r="C25" s="63">
        <v>0</v>
      </c>
      <c r="D25" s="63">
        <v>0</v>
      </c>
      <c r="E25" s="63">
        <v>0</v>
      </c>
      <c r="F25" s="63">
        <v>0</v>
      </c>
      <c r="G25" s="63">
        <v>0</v>
      </c>
      <c r="H25" s="63">
        <v>0</v>
      </c>
      <c r="I25" s="63">
        <v>0</v>
      </c>
      <c r="J25" s="63">
        <v>0</v>
      </c>
      <c r="K25" s="63">
        <v>0</v>
      </c>
      <c r="L25" s="63">
        <f t="shared" si="0"/>
        <v>0</v>
      </c>
      <c r="M25" s="156"/>
    </row>
    <row r="26" spans="1:13" x14ac:dyDescent="0.25">
      <c r="A26" s="97">
        <f>مرتبات!A26</f>
        <v>8</v>
      </c>
      <c r="B26" s="19" t="str">
        <f>مرتبات!B26</f>
        <v>أ/محمد حمدى كامل</v>
      </c>
      <c r="C26" s="63">
        <v>0</v>
      </c>
      <c r="D26" s="63">
        <v>0</v>
      </c>
      <c r="E26" s="63">
        <v>0</v>
      </c>
      <c r="F26" s="63">
        <v>0</v>
      </c>
      <c r="G26" s="63">
        <v>415</v>
      </c>
      <c r="H26" s="63">
        <v>0</v>
      </c>
      <c r="I26" s="63">
        <v>0</v>
      </c>
      <c r="J26" s="63">
        <v>200</v>
      </c>
      <c r="K26" s="63">
        <v>0</v>
      </c>
      <c r="L26" s="63">
        <f t="shared" si="0"/>
        <v>615</v>
      </c>
      <c r="M26" s="156"/>
    </row>
    <row r="27" spans="1:13" x14ac:dyDescent="0.25">
      <c r="A27" s="97">
        <f>مرتبات!A27</f>
        <v>0</v>
      </c>
      <c r="B27" s="19" t="str">
        <f>مرتبات!B27</f>
        <v>Spare</v>
      </c>
      <c r="C27" s="63">
        <v>0</v>
      </c>
      <c r="D27" s="63">
        <v>0</v>
      </c>
      <c r="E27" s="63">
        <v>0</v>
      </c>
      <c r="F27" s="63">
        <v>0</v>
      </c>
      <c r="G27" s="63">
        <v>0</v>
      </c>
      <c r="H27" s="63">
        <v>0</v>
      </c>
      <c r="I27" s="63">
        <v>0</v>
      </c>
      <c r="J27" s="63">
        <v>0</v>
      </c>
      <c r="K27" s="63">
        <v>0</v>
      </c>
      <c r="L27" s="63">
        <f t="shared" si="0"/>
        <v>0</v>
      </c>
      <c r="M27" s="156"/>
    </row>
    <row r="28" spans="1:13" x14ac:dyDescent="0.25">
      <c r="A28" s="97">
        <f>مرتبات!A28</f>
        <v>0</v>
      </c>
      <c r="B28" s="19" t="str">
        <f>مرتبات!B28</f>
        <v>Spare</v>
      </c>
      <c r="C28" s="63">
        <v>0</v>
      </c>
      <c r="D28" s="63">
        <v>0</v>
      </c>
      <c r="E28" s="63">
        <v>0</v>
      </c>
      <c r="F28" s="63">
        <v>0</v>
      </c>
      <c r="G28" s="63">
        <v>0</v>
      </c>
      <c r="H28" s="63">
        <v>0</v>
      </c>
      <c r="I28" s="63">
        <v>0</v>
      </c>
      <c r="J28" s="63">
        <v>0</v>
      </c>
      <c r="K28" s="63">
        <v>0</v>
      </c>
      <c r="L28" s="63">
        <f t="shared" si="0"/>
        <v>0</v>
      </c>
      <c r="M28" s="156"/>
    </row>
    <row r="29" spans="1:13" x14ac:dyDescent="0.25">
      <c r="A29" s="97">
        <f>مرتبات!A29</f>
        <v>0</v>
      </c>
      <c r="B29" s="19" t="str">
        <f>مرتبات!B29</f>
        <v>Spare</v>
      </c>
      <c r="C29" s="63">
        <v>0</v>
      </c>
      <c r="D29" s="63">
        <v>0</v>
      </c>
      <c r="E29" s="63">
        <v>0</v>
      </c>
      <c r="F29" s="63">
        <v>0</v>
      </c>
      <c r="G29" s="63">
        <v>0</v>
      </c>
      <c r="H29" s="63">
        <v>0</v>
      </c>
      <c r="I29" s="63">
        <v>0</v>
      </c>
      <c r="J29" s="63">
        <v>0</v>
      </c>
      <c r="K29" s="63">
        <v>0</v>
      </c>
      <c r="L29" s="63">
        <f t="shared" si="0"/>
        <v>0</v>
      </c>
      <c r="M29" s="156"/>
    </row>
    <row r="30" spans="1:13" x14ac:dyDescent="0.25">
      <c r="A30" s="97">
        <f>مرتبات!A30</f>
        <v>0</v>
      </c>
      <c r="B30" s="19" t="str">
        <f>مرتبات!B30</f>
        <v>Spare</v>
      </c>
      <c r="C30" s="63">
        <v>0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63">
        <f t="shared" si="0"/>
        <v>0</v>
      </c>
      <c r="M30" s="156"/>
    </row>
    <row r="31" spans="1:13" x14ac:dyDescent="0.25">
      <c r="A31" s="97">
        <f>مرتبات!A31</f>
        <v>0</v>
      </c>
      <c r="B31" s="19" t="str">
        <f>مرتبات!B31</f>
        <v>Spare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f t="shared" si="0"/>
        <v>0</v>
      </c>
      <c r="M31" s="156"/>
    </row>
    <row r="32" spans="1:13" x14ac:dyDescent="0.25">
      <c r="A32" s="97">
        <f>مرتبات!A32</f>
        <v>0</v>
      </c>
      <c r="B32" s="19" t="str">
        <f>مرتبات!B32</f>
        <v>Spare</v>
      </c>
      <c r="C32" s="63">
        <v>0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f t="shared" si="0"/>
        <v>0</v>
      </c>
      <c r="M32" s="156"/>
    </row>
    <row r="33" spans="1:13" x14ac:dyDescent="0.25">
      <c r="A33" s="97">
        <f>مرتبات!A33</f>
        <v>9</v>
      </c>
      <c r="B33" s="19" t="str">
        <f>مرتبات!B33</f>
        <v>أ/أحمد سيف الدين أبو بكر سري الدين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50</v>
      </c>
      <c r="K33" s="63">
        <v>0</v>
      </c>
      <c r="L33" s="63">
        <f t="shared" si="0"/>
        <v>50</v>
      </c>
      <c r="M33" s="71"/>
    </row>
    <row r="34" spans="1:13" x14ac:dyDescent="0.25">
      <c r="A34" s="97">
        <f>مرتبات!A34</f>
        <v>10</v>
      </c>
      <c r="B34" s="19" t="str">
        <f>مرتبات!B34</f>
        <v>أ/هاني أحمد الدالي</v>
      </c>
      <c r="C34" s="63">
        <v>0</v>
      </c>
      <c r="D34" s="63">
        <v>0</v>
      </c>
      <c r="E34" s="63">
        <v>0</v>
      </c>
      <c r="F34" s="63">
        <v>0</v>
      </c>
      <c r="G34" s="63">
        <v>22</v>
      </c>
      <c r="H34" s="63">
        <v>0</v>
      </c>
      <c r="I34" s="63">
        <v>0</v>
      </c>
      <c r="J34" s="63">
        <v>50</v>
      </c>
      <c r="K34" s="63">
        <v>0</v>
      </c>
      <c r="L34" s="63">
        <v>50</v>
      </c>
      <c r="M34" s="156"/>
    </row>
    <row r="35" spans="1:13" x14ac:dyDescent="0.25">
      <c r="A35" s="97">
        <f>مرتبات!A35</f>
        <v>11</v>
      </c>
      <c r="B35" s="19" t="str">
        <f>مرتبات!B35</f>
        <v>أ/ عبدالرحمن أحمد عبدالعزيز حسن</v>
      </c>
      <c r="C35" s="63">
        <v>0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63">
        <v>0</v>
      </c>
      <c r="K35" s="63">
        <v>0</v>
      </c>
      <c r="L35" s="63">
        <f t="shared" si="0"/>
        <v>0</v>
      </c>
      <c r="M35" s="156"/>
    </row>
    <row r="36" spans="1:13" x14ac:dyDescent="0.25">
      <c r="A36" s="97">
        <f>مرتبات!A36</f>
        <v>12</v>
      </c>
      <c r="B36" s="19" t="str">
        <f>مرتبات!B36</f>
        <v>أ/ حسين شريف محمد منير عامر</v>
      </c>
      <c r="C36" s="63">
        <v>0</v>
      </c>
      <c r="D36" s="63">
        <v>0</v>
      </c>
      <c r="E36" s="63">
        <v>0</v>
      </c>
      <c r="F36" s="63">
        <v>0</v>
      </c>
      <c r="G36" s="63">
        <v>0</v>
      </c>
      <c r="H36" s="63">
        <v>16333</v>
      </c>
      <c r="I36" s="63">
        <v>0</v>
      </c>
      <c r="J36" s="63">
        <v>0</v>
      </c>
      <c r="K36" s="63">
        <v>0</v>
      </c>
      <c r="L36" s="63">
        <f t="shared" si="0"/>
        <v>16333</v>
      </c>
      <c r="M36" s="156" t="s">
        <v>153</v>
      </c>
    </row>
    <row r="37" spans="1:13" x14ac:dyDescent="0.25">
      <c r="A37" s="97">
        <f>مرتبات!A37</f>
        <v>0</v>
      </c>
      <c r="B37" s="19" t="str">
        <f>مرتبات!B37</f>
        <v>Spare</v>
      </c>
      <c r="C37" s="63">
        <v>0</v>
      </c>
      <c r="D37" s="63">
        <v>0</v>
      </c>
      <c r="E37" s="63">
        <v>0</v>
      </c>
      <c r="F37" s="63">
        <v>0</v>
      </c>
      <c r="G37" s="63">
        <v>0</v>
      </c>
      <c r="H37" s="63">
        <v>0</v>
      </c>
      <c r="I37" s="63">
        <v>0</v>
      </c>
      <c r="J37" s="63">
        <v>0</v>
      </c>
      <c r="K37" s="63">
        <v>0</v>
      </c>
      <c r="L37" s="63">
        <f t="shared" si="0"/>
        <v>0</v>
      </c>
      <c r="M37" s="156"/>
    </row>
    <row r="38" spans="1:13" x14ac:dyDescent="0.25">
      <c r="A38" s="97">
        <f>مرتبات!A38</f>
        <v>0</v>
      </c>
      <c r="B38" s="19" t="str">
        <f>مرتبات!B38</f>
        <v>Spare</v>
      </c>
      <c r="C38" s="63">
        <v>0</v>
      </c>
      <c r="D38" s="63">
        <v>0</v>
      </c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f t="shared" si="0"/>
        <v>0</v>
      </c>
      <c r="M38" s="156"/>
    </row>
    <row r="39" spans="1:13" ht="15.6" x14ac:dyDescent="0.25">
      <c r="A39" s="97">
        <f>مرتبات!A39</f>
        <v>0</v>
      </c>
      <c r="B39" s="19" t="str">
        <f>مرتبات!B39</f>
        <v>Spare</v>
      </c>
      <c r="C39" s="63">
        <v>0</v>
      </c>
      <c r="D39" s="63">
        <v>0</v>
      </c>
      <c r="E39" s="63">
        <v>0</v>
      </c>
      <c r="F39" s="63">
        <v>0</v>
      </c>
      <c r="G39" s="63">
        <v>0</v>
      </c>
      <c r="H39" s="63">
        <v>0</v>
      </c>
      <c r="I39" s="63">
        <v>0</v>
      </c>
      <c r="J39" s="63">
        <v>0</v>
      </c>
      <c r="K39" s="63">
        <v>0</v>
      </c>
      <c r="L39" s="63">
        <f t="shared" si="0"/>
        <v>0</v>
      </c>
      <c r="M39" s="58"/>
    </row>
    <row r="40" spans="1:13" x14ac:dyDescent="0.25">
      <c r="A40" s="97">
        <f>مرتبات!A40</f>
        <v>0</v>
      </c>
      <c r="B40" s="19" t="str">
        <f>مرتبات!B40</f>
        <v>Spare</v>
      </c>
      <c r="C40" s="63">
        <v>0</v>
      </c>
      <c r="D40" s="63">
        <v>0</v>
      </c>
      <c r="E40" s="63">
        <v>0</v>
      </c>
      <c r="F40" s="63">
        <v>0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63">
        <f t="shared" si="0"/>
        <v>0</v>
      </c>
      <c r="M40" s="72"/>
    </row>
    <row r="41" spans="1:13" x14ac:dyDescent="0.25">
      <c r="A41" s="97">
        <f>مرتبات!A41</f>
        <v>0</v>
      </c>
      <c r="B41" s="19" t="str">
        <f>مرتبات!B41</f>
        <v>Spare</v>
      </c>
      <c r="C41" s="63">
        <v>0</v>
      </c>
      <c r="D41" s="63">
        <v>0</v>
      </c>
      <c r="E41" s="63">
        <v>0</v>
      </c>
      <c r="F41" s="63">
        <v>0</v>
      </c>
      <c r="G41" s="63">
        <v>0</v>
      </c>
      <c r="H41" s="63">
        <v>0</v>
      </c>
      <c r="I41" s="63">
        <v>0</v>
      </c>
      <c r="J41" s="63">
        <v>0</v>
      </c>
      <c r="K41" s="63">
        <v>0</v>
      </c>
      <c r="L41" s="63">
        <f t="shared" si="0"/>
        <v>0</v>
      </c>
      <c r="M41" s="68"/>
    </row>
    <row r="42" spans="1:13" x14ac:dyDescent="0.25">
      <c r="A42" s="97">
        <f>مرتبات!A42</f>
        <v>0</v>
      </c>
      <c r="B42" s="19" t="str">
        <f>مرتبات!B42</f>
        <v>Spare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f t="shared" si="0"/>
        <v>0</v>
      </c>
      <c r="M42" s="156"/>
    </row>
    <row r="43" spans="1:13" ht="15.6" x14ac:dyDescent="0.25">
      <c r="A43" s="97">
        <f>مرتبات!A43</f>
        <v>0</v>
      </c>
      <c r="B43" s="19" t="str">
        <f>مرتبات!B43</f>
        <v>Spare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f t="shared" si="0"/>
        <v>0</v>
      </c>
      <c r="M43" s="58"/>
    </row>
    <row r="44" spans="1:13" x14ac:dyDescent="0.25">
      <c r="A44" s="97">
        <f>مرتبات!A44</f>
        <v>0</v>
      </c>
      <c r="B44" s="19" t="str">
        <f>مرتبات!B44</f>
        <v>Spare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f t="shared" si="0"/>
        <v>0</v>
      </c>
      <c r="M44" s="156"/>
    </row>
    <row r="45" spans="1:13" x14ac:dyDescent="0.25">
      <c r="A45" s="97">
        <f>مرتبات!A45</f>
        <v>13</v>
      </c>
      <c r="B45" s="19" t="str">
        <f>مرتبات!B45</f>
        <v>أ/ ياسمين صفوت صلاح الدين إبراهيم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f t="shared" si="0"/>
        <v>0</v>
      </c>
      <c r="M45" s="156"/>
    </row>
    <row r="46" spans="1:13" x14ac:dyDescent="0.25">
      <c r="A46" s="97">
        <f>مرتبات!A46</f>
        <v>14</v>
      </c>
      <c r="B46" s="19" t="str">
        <f>مرتبات!B46</f>
        <v>أ/حبيبة محمود سمير محمود عيسى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1750</v>
      </c>
      <c r="L46" s="63">
        <f t="shared" si="0"/>
        <v>1750</v>
      </c>
      <c r="M46" s="72" t="s">
        <v>159</v>
      </c>
    </row>
    <row r="47" spans="1:13" x14ac:dyDescent="0.25">
      <c r="A47" s="97">
        <f>مرتبات!A47</f>
        <v>15</v>
      </c>
      <c r="B47" s="19" t="str">
        <f>مرتبات!B47</f>
        <v>أ/ أحمد أبو العباس محمد الإتربي</v>
      </c>
      <c r="C47" s="63">
        <v>0</v>
      </c>
      <c r="D47" s="63">
        <v>0</v>
      </c>
      <c r="E47" s="63">
        <v>0</v>
      </c>
      <c r="F47" s="63">
        <v>0</v>
      </c>
      <c r="G47" s="63">
        <v>0</v>
      </c>
      <c r="H47" s="63">
        <v>0</v>
      </c>
      <c r="I47" s="63">
        <v>0</v>
      </c>
      <c r="J47" s="63">
        <v>0</v>
      </c>
      <c r="K47" s="63">
        <v>0</v>
      </c>
      <c r="L47" s="63">
        <f t="shared" si="0"/>
        <v>0</v>
      </c>
      <c r="M47" s="158"/>
    </row>
    <row r="48" spans="1:13" x14ac:dyDescent="0.25">
      <c r="A48" s="97">
        <f>مرتبات!A48</f>
        <v>16</v>
      </c>
      <c r="B48" s="19" t="str">
        <f>مرتبات!B48</f>
        <v xml:space="preserve">أ/ ليلي امين محمد امين طموم </v>
      </c>
      <c r="C48" s="63">
        <v>0</v>
      </c>
      <c r="D48" s="63">
        <v>0</v>
      </c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63">
        <f t="shared" si="0"/>
        <v>0</v>
      </c>
      <c r="M48" s="158"/>
    </row>
    <row r="49" spans="1:13" x14ac:dyDescent="0.25">
      <c r="A49" s="97">
        <f>مرتبات!A49</f>
        <v>0</v>
      </c>
      <c r="B49" s="19" t="str">
        <f>مرتبات!B49</f>
        <v>Spare</v>
      </c>
      <c r="C49" s="63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f t="shared" si="0"/>
        <v>0</v>
      </c>
      <c r="M49" s="158"/>
    </row>
    <row r="50" spans="1:13" x14ac:dyDescent="0.25">
      <c r="A50" s="97">
        <f>مرتبات!A50</f>
        <v>0</v>
      </c>
      <c r="B50" s="19" t="str">
        <f>مرتبات!B50</f>
        <v>Spare</v>
      </c>
      <c r="C50" s="63">
        <v>0</v>
      </c>
      <c r="D50" s="63">
        <v>0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f t="shared" si="0"/>
        <v>0</v>
      </c>
      <c r="M50" s="158"/>
    </row>
    <row r="51" spans="1:13" x14ac:dyDescent="0.25">
      <c r="A51" s="97">
        <f>مرتبات!A51</f>
        <v>0</v>
      </c>
      <c r="B51" s="19" t="str">
        <f>مرتبات!B51</f>
        <v>Spare</v>
      </c>
      <c r="C51" s="63">
        <v>0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63">
        <f t="shared" si="0"/>
        <v>0</v>
      </c>
      <c r="M51" s="158"/>
    </row>
    <row r="52" spans="1:13" x14ac:dyDescent="0.25">
      <c r="A52" s="97">
        <f>مرتبات!A52</f>
        <v>0</v>
      </c>
      <c r="B52" s="19" t="str">
        <f>مرتبات!B52</f>
        <v>Spare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f t="shared" si="0"/>
        <v>0</v>
      </c>
      <c r="M52" s="159"/>
    </row>
    <row r="53" spans="1:13" x14ac:dyDescent="0.25">
      <c r="A53" s="97">
        <f>مرتبات!A53</f>
        <v>0</v>
      </c>
      <c r="B53" s="19" t="str">
        <f>مرتبات!B53</f>
        <v>Spare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f t="shared" si="0"/>
        <v>0</v>
      </c>
      <c r="M53" s="160"/>
    </row>
    <row r="54" spans="1:13" x14ac:dyDescent="0.25">
      <c r="A54" s="97">
        <f>مرتبات!A54</f>
        <v>0</v>
      </c>
      <c r="B54" s="19" t="str">
        <f>مرتبات!B54</f>
        <v>Spare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63">
        <f t="shared" si="0"/>
        <v>0</v>
      </c>
      <c r="M54" s="160"/>
    </row>
    <row r="55" spans="1:13" x14ac:dyDescent="0.25">
      <c r="A55" s="97">
        <f>مرتبات!A55</f>
        <v>0</v>
      </c>
      <c r="B55" s="19" t="str">
        <f>مرتبات!B55</f>
        <v>Spare</v>
      </c>
      <c r="C55" s="63">
        <v>0</v>
      </c>
      <c r="D55" s="63">
        <v>0</v>
      </c>
      <c r="E55" s="63">
        <v>0</v>
      </c>
      <c r="F55" s="63">
        <v>0</v>
      </c>
      <c r="G55" s="63">
        <v>0</v>
      </c>
      <c r="H55" s="63">
        <v>0</v>
      </c>
      <c r="I55" s="63">
        <v>0</v>
      </c>
      <c r="J55" s="63">
        <v>0</v>
      </c>
      <c r="K55" s="63">
        <v>0</v>
      </c>
      <c r="L55" s="63">
        <f t="shared" si="0"/>
        <v>0</v>
      </c>
      <c r="M55" s="160"/>
    </row>
    <row r="56" spans="1:13" ht="15.6" x14ac:dyDescent="0.3">
      <c r="A56" s="97">
        <f>مرتبات!A56</f>
        <v>16</v>
      </c>
      <c r="B56" s="144" t="s">
        <v>100</v>
      </c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</row>
    <row r="57" spans="1:13" x14ac:dyDescent="0.25">
      <c r="A57" s="97">
        <f>مرتبات!A57</f>
        <v>1</v>
      </c>
      <c r="B57" s="19" t="str">
        <f>مرتبات!B57</f>
        <v>أ/دعاء عبد الدايم إبراهيم نصار</v>
      </c>
      <c r="C57" s="63">
        <v>0</v>
      </c>
      <c r="D57" s="63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f t="shared" si="0"/>
        <v>0</v>
      </c>
      <c r="M57" s="160"/>
    </row>
    <row r="58" spans="1:13" x14ac:dyDescent="0.25">
      <c r="A58" s="97">
        <f>مرتبات!A58</f>
        <v>0</v>
      </c>
      <c r="B58" s="19" t="str">
        <f>مرتبات!B58</f>
        <v>Manager Spare</v>
      </c>
      <c r="C58" s="63">
        <v>0</v>
      </c>
      <c r="D58" s="63">
        <v>0</v>
      </c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f t="shared" si="0"/>
        <v>0</v>
      </c>
      <c r="M58" s="160"/>
    </row>
    <row r="59" spans="1:13" x14ac:dyDescent="0.25">
      <c r="A59" s="97">
        <f>مرتبات!A59</f>
        <v>0</v>
      </c>
      <c r="B59" s="19" t="str">
        <f>مرتبات!B59</f>
        <v>Manager Spare</v>
      </c>
      <c r="C59" s="63">
        <v>0</v>
      </c>
      <c r="D59" s="63">
        <v>0</v>
      </c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f t="shared" si="0"/>
        <v>0</v>
      </c>
      <c r="M59" s="160"/>
    </row>
    <row r="60" spans="1:13" x14ac:dyDescent="0.25">
      <c r="A60" s="97">
        <f>مرتبات!A60</f>
        <v>0</v>
      </c>
      <c r="B60" s="19" t="str">
        <f>مرتبات!B60</f>
        <v>Manager Spare</v>
      </c>
      <c r="C60" s="63">
        <v>0</v>
      </c>
      <c r="D60" s="63">
        <v>0</v>
      </c>
      <c r="E60" s="63">
        <v>0</v>
      </c>
      <c r="F60" s="63">
        <v>0</v>
      </c>
      <c r="G60" s="63">
        <v>0</v>
      </c>
      <c r="H60" s="63">
        <v>0</v>
      </c>
      <c r="I60" s="63">
        <v>0</v>
      </c>
      <c r="J60" s="63">
        <v>0</v>
      </c>
      <c r="K60" s="63">
        <v>0</v>
      </c>
      <c r="L60" s="63">
        <f t="shared" si="0"/>
        <v>0</v>
      </c>
      <c r="M60" s="160"/>
    </row>
    <row r="61" spans="1:13" x14ac:dyDescent="0.25">
      <c r="A61" s="97">
        <f>مرتبات!A61</f>
        <v>0</v>
      </c>
      <c r="B61" s="19" t="str">
        <f>مرتبات!B61</f>
        <v>Manager Spare</v>
      </c>
      <c r="C61" s="63">
        <v>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f t="shared" si="0"/>
        <v>0</v>
      </c>
      <c r="M61" s="160"/>
    </row>
    <row r="62" spans="1:13" x14ac:dyDescent="0.25">
      <c r="A62" s="97">
        <f>مرتبات!A62</f>
        <v>2</v>
      </c>
      <c r="B62" s="19" t="str">
        <f>مرتبات!B62</f>
        <v>أ/خالد محمد حلمى</v>
      </c>
      <c r="C62" s="63">
        <v>551.75</v>
      </c>
      <c r="D62" s="63">
        <v>0</v>
      </c>
      <c r="E62" s="63">
        <v>0</v>
      </c>
      <c r="F62" s="63">
        <v>0</v>
      </c>
      <c r="G62" s="63">
        <v>0</v>
      </c>
      <c r="H62" s="63">
        <v>0</v>
      </c>
      <c r="I62" s="63">
        <v>0</v>
      </c>
      <c r="J62" s="63">
        <v>0</v>
      </c>
      <c r="K62" s="63">
        <v>0</v>
      </c>
      <c r="L62" s="63">
        <f t="shared" si="0"/>
        <v>551.75</v>
      </c>
      <c r="M62" s="156" t="s">
        <v>154</v>
      </c>
    </row>
    <row r="63" spans="1:13" x14ac:dyDescent="0.25">
      <c r="A63" s="97">
        <f>مرتبات!A63</f>
        <v>3</v>
      </c>
      <c r="B63" s="19" t="str">
        <f>مرتبات!B63</f>
        <v>أ/ أحمد محمد رزق</v>
      </c>
      <c r="C63" s="63">
        <v>995.5</v>
      </c>
      <c r="D63" s="63">
        <v>0</v>
      </c>
      <c r="E63" s="63">
        <v>0</v>
      </c>
      <c r="F63" s="63">
        <v>0</v>
      </c>
      <c r="G63" s="63">
        <v>0</v>
      </c>
      <c r="H63" s="63">
        <v>0</v>
      </c>
      <c r="I63" s="63">
        <v>0</v>
      </c>
      <c r="J63" s="63">
        <v>0</v>
      </c>
      <c r="K63" s="63">
        <v>0</v>
      </c>
      <c r="L63" s="63">
        <f t="shared" si="0"/>
        <v>995.5</v>
      </c>
      <c r="M63" s="156" t="s">
        <v>155</v>
      </c>
    </row>
    <row r="64" spans="1:13" x14ac:dyDescent="0.25">
      <c r="A64" s="97">
        <f>مرتبات!A64</f>
        <v>4</v>
      </c>
      <c r="B64" s="19" t="str">
        <f>مرتبات!B64</f>
        <v>أ/ نيرمين عصمت محمد حجازي</v>
      </c>
      <c r="C64" s="63">
        <v>0</v>
      </c>
      <c r="D64" s="63">
        <v>0</v>
      </c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f t="shared" si="0"/>
        <v>0</v>
      </c>
      <c r="M64" s="160"/>
    </row>
    <row r="65" spans="1:13" x14ac:dyDescent="0.25">
      <c r="A65" s="97">
        <f>مرتبات!A65</f>
        <v>0</v>
      </c>
      <c r="B65" s="19" t="str">
        <f>مرتبات!B65</f>
        <v>Senior Spare</v>
      </c>
      <c r="C65" s="63">
        <v>0</v>
      </c>
      <c r="D65" s="63">
        <v>0</v>
      </c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63">
        <v>0</v>
      </c>
      <c r="K65" s="63">
        <v>0</v>
      </c>
      <c r="L65" s="63">
        <f t="shared" si="0"/>
        <v>0</v>
      </c>
      <c r="M65" s="160"/>
    </row>
    <row r="66" spans="1:13" x14ac:dyDescent="0.25">
      <c r="A66" s="97">
        <f>مرتبات!A66</f>
        <v>0</v>
      </c>
      <c r="B66" s="19" t="str">
        <f>مرتبات!B66</f>
        <v>Senior Spare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f t="shared" si="0"/>
        <v>0</v>
      </c>
      <c r="M66" s="160"/>
    </row>
    <row r="67" spans="1:13" x14ac:dyDescent="0.25">
      <c r="A67" s="97">
        <f>مرتبات!A67</f>
        <v>0</v>
      </c>
      <c r="B67" s="19" t="str">
        <f>مرتبات!B67</f>
        <v>Senior Spare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f t="shared" si="0"/>
        <v>0</v>
      </c>
      <c r="M67" s="160"/>
    </row>
    <row r="68" spans="1:13" x14ac:dyDescent="0.25">
      <c r="A68" s="97">
        <f>مرتبات!A68</f>
        <v>0</v>
      </c>
      <c r="B68" s="19" t="str">
        <f>مرتبات!B68</f>
        <v>SPARE</v>
      </c>
      <c r="C68" s="63">
        <v>0</v>
      </c>
      <c r="D68" s="63">
        <v>0</v>
      </c>
      <c r="E68" s="63">
        <v>0</v>
      </c>
      <c r="F68" s="63">
        <v>0</v>
      </c>
      <c r="G68" s="63">
        <v>0</v>
      </c>
      <c r="H68" s="63">
        <v>0</v>
      </c>
      <c r="I68" s="63">
        <v>0</v>
      </c>
      <c r="J68" s="63">
        <v>0</v>
      </c>
      <c r="K68" s="63">
        <v>0</v>
      </c>
      <c r="L68" s="63">
        <f t="shared" ref="L68:L117" si="1">SUM(C68:K68)</f>
        <v>0</v>
      </c>
      <c r="M68" s="160"/>
    </row>
    <row r="69" spans="1:13" x14ac:dyDescent="0.25">
      <c r="A69" s="97">
        <f>مرتبات!A69</f>
        <v>5</v>
      </c>
      <c r="B69" s="19" t="str">
        <f>مرتبات!B69</f>
        <v>أ/ مروة شريف عبدالحميد سلامة</v>
      </c>
      <c r="C69" s="63">
        <v>0</v>
      </c>
      <c r="D69" s="63">
        <v>0</v>
      </c>
      <c r="E69" s="63">
        <v>0</v>
      </c>
      <c r="F69" s="63">
        <v>0</v>
      </c>
      <c r="G69" s="63">
        <v>0</v>
      </c>
      <c r="H69" s="63">
        <v>0</v>
      </c>
      <c r="I69" s="63">
        <v>0</v>
      </c>
      <c r="J69" s="63">
        <v>0</v>
      </c>
      <c r="K69" s="63">
        <v>0</v>
      </c>
      <c r="L69" s="63">
        <f t="shared" si="1"/>
        <v>0</v>
      </c>
      <c r="M69" s="160"/>
    </row>
    <row r="70" spans="1:13" x14ac:dyDescent="0.25">
      <c r="A70" s="97">
        <f>مرتبات!A70</f>
        <v>6</v>
      </c>
      <c r="B70" s="19" t="str">
        <f>مرتبات!B70</f>
        <v>أ/ هند علاء الدين عبدالسلام النشار</v>
      </c>
      <c r="C70" s="63">
        <v>0</v>
      </c>
      <c r="D70" s="63">
        <v>0</v>
      </c>
      <c r="E70" s="63">
        <v>0</v>
      </c>
      <c r="F70" s="63">
        <v>0</v>
      </c>
      <c r="G70" s="63">
        <v>0</v>
      </c>
      <c r="H70" s="63">
        <v>0</v>
      </c>
      <c r="I70" s="63">
        <v>367</v>
      </c>
      <c r="J70" s="63">
        <v>0</v>
      </c>
      <c r="K70" s="63">
        <v>0</v>
      </c>
      <c r="L70" s="63">
        <f t="shared" si="1"/>
        <v>367</v>
      </c>
      <c r="M70" s="160" t="s">
        <v>156</v>
      </c>
    </row>
    <row r="71" spans="1:13" x14ac:dyDescent="0.25">
      <c r="A71" s="97">
        <f>مرتبات!A71</f>
        <v>7</v>
      </c>
      <c r="B71" s="19" t="str">
        <f>مرتبات!B71</f>
        <v xml:space="preserve">أ/أحمد سمير حسن السيد </v>
      </c>
      <c r="C71" s="63">
        <v>551.75</v>
      </c>
      <c r="D71" s="63">
        <v>0</v>
      </c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f t="shared" si="1"/>
        <v>551.75</v>
      </c>
      <c r="M71" s="156" t="s">
        <v>154</v>
      </c>
    </row>
    <row r="72" spans="1:13" x14ac:dyDescent="0.25">
      <c r="A72" s="97">
        <f>مرتبات!A72</f>
        <v>8</v>
      </c>
      <c r="B72" s="19" t="str">
        <f>مرتبات!B72</f>
        <v>أ/ إيمان صبحى شكرى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f t="shared" si="1"/>
        <v>0</v>
      </c>
      <c r="M72" s="160"/>
    </row>
    <row r="73" spans="1:13" x14ac:dyDescent="0.25">
      <c r="A73" s="97">
        <f>مرتبات!A73</f>
        <v>9</v>
      </c>
      <c r="B73" s="19" t="str">
        <f>مرتبات!B73</f>
        <v>أ/شريف شكرى محمد</v>
      </c>
      <c r="C73" s="63">
        <v>964.75</v>
      </c>
      <c r="D73" s="63">
        <v>0</v>
      </c>
      <c r="E73" s="63">
        <v>0</v>
      </c>
      <c r="F73" s="63">
        <v>0</v>
      </c>
      <c r="G73" s="63">
        <v>0</v>
      </c>
      <c r="H73" s="63">
        <v>0</v>
      </c>
      <c r="I73" s="63">
        <v>0</v>
      </c>
      <c r="J73" s="63">
        <v>0</v>
      </c>
      <c r="K73" s="63">
        <v>0</v>
      </c>
      <c r="L73" s="63">
        <f t="shared" si="1"/>
        <v>964.75</v>
      </c>
      <c r="M73" s="156" t="s">
        <v>154</v>
      </c>
    </row>
    <row r="74" spans="1:13" x14ac:dyDescent="0.25">
      <c r="A74" s="97">
        <f>مرتبات!A74</f>
        <v>10</v>
      </c>
      <c r="B74" s="19" t="str">
        <f>مرتبات!B74</f>
        <v>أ/محمد حسن محمد كامل</v>
      </c>
      <c r="C74" s="63">
        <v>0</v>
      </c>
      <c r="D74" s="63">
        <v>0</v>
      </c>
      <c r="E74" s="63">
        <v>0</v>
      </c>
      <c r="F74" s="63">
        <v>0</v>
      </c>
      <c r="G74" s="63">
        <v>0</v>
      </c>
      <c r="H74" s="63">
        <v>0</v>
      </c>
      <c r="I74" s="63">
        <v>0</v>
      </c>
      <c r="J74" s="63">
        <v>0</v>
      </c>
      <c r="K74" s="63">
        <v>0</v>
      </c>
      <c r="L74" s="63">
        <f t="shared" si="1"/>
        <v>0</v>
      </c>
      <c r="M74" s="160"/>
    </row>
    <row r="75" spans="1:13" x14ac:dyDescent="0.25">
      <c r="A75" s="97">
        <f>مرتبات!A75</f>
        <v>11</v>
      </c>
      <c r="B75" s="19" t="str">
        <f>مرتبات!B75</f>
        <v>أ/سامي ابراهيم محمد</v>
      </c>
      <c r="C75" s="63">
        <v>0</v>
      </c>
      <c r="D75" s="63">
        <v>0</v>
      </c>
      <c r="E75" s="63">
        <v>0</v>
      </c>
      <c r="F75" s="63">
        <v>0</v>
      </c>
      <c r="G75" s="63">
        <v>15</v>
      </c>
      <c r="H75" s="63">
        <v>0</v>
      </c>
      <c r="I75" s="63">
        <v>0</v>
      </c>
      <c r="J75" s="63">
        <v>0</v>
      </c>
      <c r="K75" s="63">
        <v>0</v>
      </c>
      <c r="L75" s="63">
        <f t="shared" si="1"/>
        <v>15</v>
      </c>
      <c r="M75" s="160"/>
    </row>
    <row r="76" spans="1:13" x14ac:dyDescent="0.25">
      <c r="A76" s="97">
        <f>مرتبات!A76</f>
        <v>12</v>
      </c>
      <c r="B76" s="19" t="str">
        <f>مرتبات!B76</f>
        <v>أ/ محمود على محمود حسين</v>
      </c>
      <c r="C76" s="63">
        <v>0</v>
      </c>
      <c r="D76" s="63">
        <v>0</v>
      </c>
      <c r="E76" s="63">
        <v>0</v>
      </c>
      <c r="F76" s="63">
        <v>0</v>
      </c>
      <c r="G76" s="63">
        <v>22</v>
      </c>
      <c r="H76" s="63">
        <v>0</v>
      </c>
      <c r="I76" s="63">
        <v>0</v>
      </c>
      <c r="J76" s="63">
        <v>0</v>
      </c>
      <c r="K76" s="63">
        <v>0</v>
      </c>
      <c r="L76" s="63">
        <f t="shared" si="1"/>
        <v>22</v>
      </c>
      <c r="M76" s="160"/>
    </row>
    <row r="77" spans="1:13" x14ac:dyDescent="0.25">
      <c r="A77" s="97">
        <f>مرتبات!A77</f>
        <v>13</v>
      </c>
      <c r="B77" s="19" t="str">
        <f>مرتبات!B77</f>
        <v xml:space="preserve"> أ/عمرو عبد الكريم صقر</v>
      </c>
      <c r="C77" s="63">
        <v>0</v>
      </c>
      <c r="D77" s="63">
        <v>0</v>
      </c>
      <c r="E77" s="63">
        <v>0</v>
      </c>
      <c r="F77" s="63">
        <v>0</v>
      </c>
      <c r="G77" s="63">
        <v>0</v>
      </c>
      <c r="H77" s="63">
        <v>0</v>
      </c>
      <c r="I77" s="63">
        <v>0</v>
      </c>
      <c r="J77" s="63">
        <v>0</v>
      </c>
      <c r="K77" s="63">
        <v>0</v>
      </c>
      <c r="L77" s="63">
        <f t="shared" si="1"/>
        <v>0</v>
      </c>
      <c r="M77" s="160"/>
    </row>
    <row r="78" spans="1:13" x14ac:dyDescent="0.25">
      <c r="A78" s="97">
        <f>مرتبات!A78</f>
        <v>14</v>
      </c>
      <c r="B78" s="19" t="str">
        <f>مرتبات!B78</f>
        <v xml:space="preserve"> أ/مختار احمد المجدلي</v>
      </c>
      <c r="C78" s="63">
        <v>0</v>
      </c>
      <c r="D78" s="63">
        <v>0</v>
      </c>
      <c r="E78" s="63">
        <v>0</v>
      </c>
      <c r="F78" s="63">
        <v>0</v>
      </c>
      <c r="G78" s="63">
        <v>0</v>
      </c>
      <c r="H78" s="63">
        <v>0</v>
      </c>
      <c r="I78" s="63">
        <v>0</v>
      </c>
      <c r="J78" s="63">
        <v>0</v>
      </c>
      <c r="K78" s="63">
        <v>0</v>
      </c>
      <c r="L78" s="63">
        <f t="shared" si="1"/>
        <v>0</v>
      </c>
      <c r="M78" s="160"/>
    </row>
    <row r="79" spans="1:13" x14ac:dyDescent="0.25">
      <c r="A79" s="97">
        <f>مرتبات!A79</f>
        <v>15</v>
      </c>
      <c r="B79" s="19" t="str">
        <f>مرتبات!B79</f>
        <v xml:space="preserve"> أ/طارق محمد جمعه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300</v>
      </c>
      <c r="L79" s="94">
        <f t="shared" si="1"/>
        <v>300</v>
      </c>
      <c r="M79" s="161" t="s">
        <v>157</v>
      </c>
    </row>
    <row r="80" spans="1:13" x14ac:dyDescent="0.25">
      <c r="A80" s="97">
        <f>مرتبات!A80</f>
        <v>16</v>
      </c>
      <c r="B80" s="19" t="str">
        <f>مرتبات!B80</f>
        <v>أ/ أحمد محمد عبدالسلام</v>
      </c>
      <c r="C80" s="63">
        <v>0</v>
      </c>
      <c r="D80" s="63">
        <v>0</v>
      </c>
      <c r="E80" s="63">
        <v>0</v>
      </c>
      <c r="F80" s="63">
        <v>0</v>
      </c>
      <c r="G80" s="63">
        <v>0</v>
      </c>
      <c r="H80" s="63">
        <v>0</v>
      </c>
      <c r="I80" s="63">
        <v>0</v>
      </c>
      <c r="J80" s="63">
        <v>0</v>
      </c>
      <c r="K80" s="63">
        <v>0</v>
      </c>
      <c r="L80" s="63">
        <f t="shared" si="1"/>
        <v>0</v>
      </c>
      <c r="M80" s="160"/>
    </row>
    <row r="81" spans="1:13" x14ac:dyDescent="0.25">
      <c r="A81" s="97">
        <f>مرتبات!A81</f>
        <v>17</v>
      </c>
      <c r="B81" s="19" t="str">
        <f>مرتبات!B81</f>
        <v>أ/ محمد فاروق عبد الحليم</v>
      </c>
      <c r="C81" s="63">
        <v>0</v>
      </c>
      <c r="D81" s="63">
        <v>0</v>
      </c>
      <c r="E81" s="63">
        <v>0</v>
      </c>
      <c r="F81" s="63">
        <v>0</v>
      </c>
      <c r="G81" s="63">
        <v>601</v>
      </c>
      <c r="H81" s="63">
        <v>0</v>
      </c>
      <c r="I81" s="63">
        <v>0</v>
      </c>
      <c r="J81" s="63">
        <v>0</v>
      </c>
      <c r="K81" s="63">
        <v>0</v>
      </c>
      <c r="L81" s="63">
        <f t="shared" si="1"/>
        <v>601</v>
      </c>
      <c r="M81" s="160"/>
    </row>
    <row r="82" spans="1:13" x14ac:dyDescent="0.25">
      <c r="A82" s="97">
        <f>مرتبات!A82</f>
        <v>18</v>
      </c>
      <c r="B82" s="19" t="str">
        <f>مرتبات!B82</f>
        <v xml:space="preserve"> أ/محمد عبدالجواد محمد</v>
      </c>
      <c r="C82" s="63">
        <v>0</v>
      </c>
      <c r="D82" s="63">
        <v>0</v>
      </c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3">
        <v>0</v>
      </c>
      <c r="L82" s="63">
        <f t="shared" si="1"/>
        <v>0</v>
      </c>
      <c r="M82" s="160"/>
    </row>
    <row r="83" spans="1:13" x14ac:dyDescent="0.25">
      <c r="A83" s="97">
        <f>مرتبات!A83</f>
        <v>19</v>
      </c>
      <c r="B83" s="19" t="str">
        <f>مرتبات!B83</f>
        <v>أ/ منة الله محب عبدالغفار السيد</v>
      </c>
      <c r="C83" s="63">
        <v>0</v>
      </c>
      <c r="D83" s="63">
        <v>0</v>
      </c>
      <c r="E83" s="63">
        <v>0</v>
      </c>
      <c r="F83" s="63">
        <v>0</v>
      </c>
      <c r="G83" s="63">
        <v>0</v>
      </c>
      <c r="H83" s="63">
        <v>0</v>
      </c>
      <c r="I83" s="63">
        <v>0</v>
      </c>
      <c r="J83" s="63">
        <v>0</v>
      </c>
      <c r="K83" s="63">
        <v>0</v>
      </c>
      <c r="L83" s="63">
        <f t="shared" si="1"/>
        <v>0</v>
      </c>
      <c r="M83" s="160"/>
    </row>
    <row r="84" spans="1:13" x14ac:dyDescent="0.25">
      <c r="A84" s="97">
        <f>مرتبات!A84</f>
        <v>20</v>
      </c>
      <c r="B84" s="19" t="str">
        <f>مرتبات!B84</f>
        <v>أ/ خالد حسين عمر عبدالقادر</v>
      </c>
      <c r="C84" s="63">
        <v>0</v>
      </c>
      <c r="D84" s="63">
        <v>0</v>
      </c>
      <c r="E84" s="63">
        <v>0</v>
      </c>
      <c r="F84" s="63">
        <v>0</v>
      </c>
      <c r="G84" s="63">
        <v>0</v>
      </c>
      <c r="H84" s="63">
        <v>3500</v>
      </c>
      <c r="I84" s="63">
        <v>0</v>
      </c>
      <c r="J84" s="63">
        <v>0</v>
      </c>
      <c r="K84" s="63">
        <v>0</v>
      </c>
      <c r="L84" s="63">
        <f t="shared" si="1"/>
        <v>3500</v>
      </c>
      <c r="M84" s="160" t="s">
        <v>158</v>
      </c>
    </row>
    <row r="85" spans="1:13" x14ac:dyDescent="0.25">
      <c r="A85" s="97">
        <f>مرتبات!A85</f>
        <v>0</v>
      </c>
      <c r="B85" s="19" t="str">
        <f>مرتبات!B85</f>
        <v>Spare</v>
      </c>
      <c r="C85" s="63">
        <v>0</v>
      </c>
      <c r="D85" s="63">
        <v>0</v>
      </c>
      <c r="E85" s="63">
        <v>0</v>
      </c>
      <c r="F85" s="63">
        <v>0</v>
      </c>
      <c r="G85" s="63">
        <v>0</v>
      </c>
      <c r="H85" s="63">
        <v>0</v>
      </c>
      <c r="I85" s="63">
        <v>0</v>
      </c>
      <c r="J85" s="63">
        <v>0</v>
      </c>
      <c r="K85" s="63">
        <v>0</v>
      </c>
      <c r="L85" s="63">
        <f t="shared" si="1"/>
        <v>0</v>
      </c>
      <c r="M85" s="160"/>
    </row>
    <row r="86" spans="1:13" x14ac:dyDescent="0.25">
      <c r="A86" s="97">
        <f>مرتبات!A86</f>
        <v>0</v>
      </c>
      <c r="B86" s="19" t="str">
        <f>مرتبات!B86</f>
        <v>Spare</v>
      </c>
      <c r="C86" s="63">
        <v>0</v>
      </c>
      <c r="D86" s="63">
        <v>0</v>
      </c>
      <c r="E86" s="63">
        <v>0</v>
      </c>
      <c r="F86" s="63">
        <v>0</v>
      </c>
      <c r="G86" s="63">
        <v>0</v>
      </c>
      <c r="H86" s="63">
        <v>0</v>
      </c>
      <c r="I86" s="63">
        <v>0</v>
      </c>
      <c r="J86" s="63">
        <v>0</v>
      </c>
      <c r="K86" s="63">
        <v>0</v>
      </c>
      <c r="L86" s="63">
        <f t="shared" si="1"/>
        <v>0</v>
      </c>
      <c r="M86" s="160"/>
    </row>
    <row r="87" spans="1:13" x14ac:dyDescent="0.25">
      <c r="A87" s="97">
        <f>مرتبات!A87</f>
        <v>0</v>
      </c>
      <c r="B87" s="19" t="str">
        <f>مرتبات!B87</f>
        <v>Spare</v>
      </c>
      <c r="C87" s="63">
        <v>0</v>
      </c>
      <c r="D87" s="63">
        <v>0</v>
      </c>
      <c r="E87" s="63">
        <v>0</v>
      </c>
      <c r="F87" s="63">
        <v>0</v>
      </c>
      <c r="G87" s="63">
        <v>0</v>
      </c>
      <c r="H87" s="63">
        <v>0</v>
      </c>
      <c r="I87" s="63">
        <v>0</v>
      </c>
      <c r="J87" s="63">
        <v>0</v>
      </c>
      <c r="K87" s="63">
        <v>0</v>
      </c>
      <c r="L87" s="63">
        <f t="shared" si="1"/>
        <v>0</v>
      </c>
      <c r="M87" s="160"/>
    </row>
    <row r="88" spans="1:13" x14ac:dyDescent="0.25">
      <c r="A88" s="97">
        <f>مرتبات!A88</f>
        <v>0</v>
      </c>
      <c r="B88" s="19" t="str">
        <f>مرتبات!B88</f>
        <v>Spare</v>
      </c>
      <c r="C88" s="63">
        <v>0</v>
      </c>
      <c r="D88" s="63">
        <v>0</v>
      </c>
      <c r="E88" s="63">
        <v>0</v>
      </c>
      <c r="F88" s="63">
        <v>0</v>
      </c>
      <c r="G88" s="63">
        <v>0</v>
      </c>
      <c r="H88" s="63">
        <v>0</v>
      </c>
      <c r="I88" s="63">
        <v>0</v>
      </c>
      <c r="J88" s="63">
        <v>0</v>
      </c>
      <c r="K88" s="63">
        <v>0</v>
      </c>
      <c r="L88" s="63">
        <f t="shared" si="1"/>
        <v>0</v>
      </c>
      <c r="M88" s="160"/>
    </row>
    <row r="89" spans="1:13" x14ac:dyDescent="0.25">
      <c r="A89" s="97">
        <f>مرتبات!A89</f>
        <v>0</v>
      </c>
      <c r="B89" s="19" t="str">
        <f>مرتبات!B89</f>
        <v>Spare</v>
      </c>
      <c r="C89" s="63">
        <v>0</v>
      </c>
      <c r="D89" s="63">
        <v>0</v>
      </c>
      <c r="E89" s="63">
        <v>0</v>
      </c>
      <c r="F89" s="63">
        <v>0</v>
      </c>
      <c r="G89" s="63">
        <v>0</v>
      </c>
      <c r="H89" s="63">
        <v>0</v>
      </c>
      <c r="I89" s="63">
        <v>0</v>
      </c>
      <c r="J89" s="63">
        <v>0</v>
      </c>
      <c r="K89" s="63">
        <v>0</v>
      </c>
      <c r="L89" s="63">
        <f t="shared" si="1"/>
        <v>0</v>
      </c>
      <c r="M89" s="160"/>
    </row>
    <row r="90" spans="1:13" x14ac:dyDescent="0.25">
      <c r="A90" s="97">
        <f>مرتبات!A90</f>
        <v>0</v>
      </c>
      <c r="B90" s="19" t="str">
        <f>مرتبات!B90</f>
        <v>Spare</v>
      </c>
      <c r="C90" s="63">
        <v>0</v>
      </c>
      <c r="D90" s="63">
        <v>0</v>
      </c>
      <c r="E90" s="63">
        <v>0</v>
      </c>
      <c r="F90" s="63">
        <v>0</v>
      </c>
      <c r="G90" s="63">
        <v>0</v>
      </c>
      <c r="H90" s="63">
        <v>0</v>
      </c>
      <c r="I90" s="63">
        <v>0</v>
      </c>
      <c r="J90" s="63">
        <v>0</v>
      </c>
      <c r="K90" s="63">
        <v>0</v>
      </c>
      <c r="L90" s="63">
        <f t="shared" si="1"/>
        <v>0</v>
      </c>
      <c r="M90" s="160"/>
    </row>
    <row r="91" spans="1:13" x14ac:dyDescent="0.25">
      <c r="A91" s="97">
        <f>مرتبات!A91</f>
        <v>0</v>
      </c>
      <c r="B91" s="19" t="str">
        <f>مرتبات!B91</f>
        <v>Spare</v>
      </c>
      <c r="C91" s="63">
        <v>0</v>
      </c>
      <c r="D91" s="63">
        <v>0</v>
      </c>
      <c r="E91" s="63">
        <v>0</v>
      </c>
      <c r="F91" s="63">
        <v>0</v>
      </c>
      <c r="G91" s="63">
        <v>0</v>
      </c>
      <c r="H91" s="63">
        <v>0</v>
      </c>
      <c r="I91" s="63">
        <v>0</v>
      </c>
      <c r="J91" s="63">
        <v>0</v>
      </c>
      <c r="K91" s="63">
        <v>0</v>
      </c>
      <c r="L91" s="63">
        <f t="shared" si="1"/>
        <v>0</v>
      </c>
      <c r="M91" s="160"/>
    </row>
    <row r="92" spans="1:13" x14ac:dyDescent="0.25">
      <c r="A92" s="97">
        <f>مرتبات!A92</f>
        <v>0</v>
      </c>
      <c r="B92" s="19" t="str">
        <f>مرتبات!B92</f>
        <v>Spare</v>
      </c>
      <c r="C92" s="63">
        <v>0</v>
      </c>
      <c r="D92" s="63">
        <v>0</v>
      </c>
      <c r="E92" s="63">
        <v>0</v>
      </c>
      <c r="F92" s="63">
        <v>0</v>
      </c>
      <c r="G92" s="63">
        <v>0</v>
      </c>
      <c r="H92" s="63">
        <v>0</v>
      </c>
      <c r="I92" s="63">
        <v>0</v>
      </c>
      <c r="J92" s="63">
        <v>0</v>
      </c>
      <c r="K92" s="63">
        <v>0</v>
      </c>
      <c r="L92" s="63">
        <f t="shared" si="1"/>
        <v>0</v>
      </c>
      <c r="M92" s="160"/>
    </row>
    <row r="93" spans="1:13" x14ac:dyDescent="0.25">
      <c r="A93" s="97">
        <f>مرتبات!A93</f>
        <v>0</v>
      </c>
      <c r="B93" s="19" t="str">
        <f>مرتبات!B93</f>
        <v>Spare</v>
      </c>
      <c r="C93" s="63">
        <v>0</v>
      </c>
      <c r="D93" s="63">
        <v>0</v>
      </c>
      <c r="E93" s="63">
        <v>0</v>
      </c>
      <c r="F93" s="63">
        <v>0</v>
      </c>
      <c r="G93" s="63">
        <v>0</v>
      </c>
      <c r="H93" s="63">
        <v>0</v>
      </c>
      <c r="I93" s="63">
        <v>0</v>
      </c>
      <c r="J93" s="63">
        <v>0</v>
      </c>
      <c r="K93" s="63">
        <v>0</v>
      </c>
      <c r="L93" s="63">
        <f t="shared" si="1"/>
        <v>0</v>
      </c>
      <c r="M93" s="160"/>
    </row>
    <row r="94" spans="1:13" x14ac:dyDescent="0.25">
      <c r="A94" s="97">
        <f>مرتبات!A94</f>
        <v>0</v>
      </c>
      <c r="B94" s="19" t="str">
        <f>مرتبات!B94</f>
        <v>Spare</v>
      </c>
      <c r="C94" s="63">
        <v>0</v>
      </c>
      <c r="D94" s="63">
        <v>0</v>
      </c>
      <c r="E94" s="63">
        <v>0</v>
      </c>
      <c r="F94" s="63">
        <v>0</v>
      </c>
      <c r="G94" s="63">
        <v>0</v>
      </c>
      <c r="H94" s="63">
        <v>0</v>
      </c>
      <c r="I94" s="63">
        <v>0</v>
      </c>
      <c r="J94" s="63">
        <v>0</v>
      </c>
      <c r="K94" s="63">
        <v>0</v>
      </c>
      <c r="L94" s="63">
        <f t="shared" si="1"/>
        <v>0</v>
      </c>
      <c r="M94" s="160"/>
    </row>
    <row r="95" spans="1:13" x14ac:dyDescent="0.25">
      <c r="A95" s="97">
        <f>مرتبات!A95</f>
        <v>0</v>
      </c>
      <c r="B95" s="19" t="str">
        <f>مرتبات!B95</f>
        <v>Spare</v>
      </c>
      <c r="C95" s="63">
        <v>0</v>
      </c>
      <c r="D95" s="63">
        <v>0</v>
      </c>
      <c r="E95" s="63">
        <v>0</v>
      </c>
      <c r="F95" s="63">
        <v>0</v>
      </c>
      <c r="G95" s="63">
        <v>0</v>
      </c>
      <c r="H95" s="63">
        <v>0</v>
      </c>
      <c r="I95" s="63">
        <v>0</v>
      </c>
      <c r="J95" s="63">
        <v>0</v>
      </c>
      <c r="K95" s="63">
        <v>0</v>
      </c>
      <c r="L95" s="63">
        <f t="shared" si="1"/>
        <v>0</v>
      </c>
      <c r="M95" s="160"/>
    </row>
    <row r="96" spans="1:13" x14ac:dyDescent="0.25">
      <c r="A96" s="97">
        <f>مرتبات!A96</f>
        <v>0</v>
      </c>
      <c r="B96" s="19" t="str">
        <f>مرتبات!B96</f>
        <v>Spare</v>
      </c>
      <c r="C96" s="63">
        <v>0</v>
      </c>
      <c r="D96" s="63">
        <v>0</v>
      </c>
      <c r="E96" s="63">
        <v>0</v>
      </c>
      <c r="F96" s="63">
        <v>0</v>
      </c>
      <c r="G96" s="63">
        <v>0</v>
      </c>
      <c r="H96" s="63">
        <v>0</v>
      </c>
      <c r="I96" s="63">
        <v>0</v>
      </c>
      <c r="J96" s="63">
        <v>0</v>
      </c>
      <c r="K96" s="63">
        <v>0</v>
      </c>
      <c r="L96" s="63">
        <f t="shared" si="1"/>
        <v>0</v>
      </c>
      <c r="M96" s="160"/>
    </row>
    <row r="97" spans="1:13" x14ac:dyDescent="0.25">
      <c r="A97" s="97">
        <f>مرتبات!A97</f>
        <v>0</v>
      </c>
      <c r="B97" s="19" t="str">
        <f>مرتبات!B97</f>
        <v>Spare</v>
      </c>
      <c r="C97" s="63">
        <v>0</v>
      </c>
      <c r="D97" s="63">
        <v>0</v>
      </c>
      <c r="E97" s="63">
        <v>0</v>
      </c>
      <c r="F97" s="63">
        <v>0</v>
      </c>
      <c r="G97" s="63">
        <v>0</v>
      </c>
      <c r="H97" s="63">
        <v>0</v>
      </c>
      <c r="I97" s="63">
        <v>0</v>
      </c>
      <c r="J97" s="63">
        <v>0</v>
      </c>
      <c r="K97" s="63">
        <v>0</v>
      </c>
      <c r="L97" s="63">
        <f t="shared" si="1"/>
        <v>0</v>
      </c>
      <c r="M97" s="160"/>
    </row>
    <row r="98" spans="1:13" x14ac:dyDescent="0.25">
      <c r="A98" s="97">
        <f>مرتبات!A98</f>
        <v>0</v>
      </c>
      <c r="B98" s="19" t="str">
        <f>مرتبات!B98</f>
        <v>Spare</v>
      </c>
      <c r="C98" s="63">
        <v>0</v>
      </c>
      <c r="D98" s="63">
        <v>0</v>
      </c>
      <c r="E98" s="63">
        <v>0</v>
      </c>
      <c r="F98" s="63">
        <v>0</v>
      </c>
      <c r="G98" s="63">
        <v>0</v>
      </c>
      <c r="H98" s="63">
        <v>0</v>
      </c>
      <c r="I98" s="63">
        <v>0</v>
      </c>
      <c r="J98" s="63">
        <v>0</v>
      </c>
      <c r="K98" s="63">
        <v>0</v>
      </c>
      <c r="L98" s="63">
        <f t="shared" si="1"/>
        <v>0</v>
      </c>
      <c r="M98" s="160"/>
    </row>
    <row r="99" spans="1:13" x14ac:dyDescent="0.25">
      <c r="A99" s="97">
        <f>مرتبات!A99</f>
        <v>0</v>
      </c>
      <c r="B99" s="19" t="str">
        <f>مرتبات!B99</f>
        <v>Spare</v>
      </c>
      <c r="C99" s="63">
        <v>0</v>
      </c>
      <c r="D99" s="63">
        <v>0</v>
      </c>
      <c r="E99" s="63">
        <v>0</v>
      </c>
      <c r="F99" s="63">
        <v>0</v>
      </c>
      <c r="G99" s="63">
        <v>0</v>
      </c>
      <c r="H99" s="63">
        <v>0</v>
      </c>
      <c r="I99" s="63">
        <v>0</v>
      </c>
      <c r="J99" s="63">
        <v>0</v>
      </c>
      <c r="K99" s="63">
        <v>0</v>
      </c>
      <c r="L99" s="63">
        <f t="shared" si="1"/>
        <v>0</v>
      </c>
      <c r="M99" s="160"/>
    </row>
    <row r="100" spans="1:13" x14ac:dyDescent="0.25">
      <c r="A100" s="97">
        <f>مرتبات!A100</f>
        <v>0</v>
      </c>
      <c r="B100" s="19" t="str">
        <f>مرتبات!B100</f>
        <v>Spare</v>
      </c>
      <c r="C100" s="63">
        <v>0</v>
      </c>
      <c r="D100" s="63">
        <v>0</v>
      </c>
      <c r="E100" s="63">
        <v>0</v>
      </c>
      <c r="F100" s="63">
        <v>0</v>
      </c>
      <c r="G100" s="63">
        <v>0</v>
      </c>
      <c r="H100" s="63">
        <v>0</v>
      </c>
      <c r="I100" s="63">
        <v>0</v>
      </c>
      <c r="J100" s="63">
        <v>0</v>
      </c>
      <c r="K100" s="63">
        <v>0</v>
      </c>
      <c r="L100" s="63">
        <f t="shared" si="1"/>
        <v>0</v>
      </c>
      <c r="M100" s="160"/>
    </row>
    <row r="101" spans="1:13" ht="15.6" x14ac:dyDescent="0.3">
      <c r="A101" s="97">
        <f>مرتبات!A101</f>
        <v>20</v>
      </c>
      <c r="B101" s="144" t="s">
        <v>101</v>
      </c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</row>
    <row r="102" spans="1:13" x14ac:dyDescent="0.25">
      <c r="A102" s="97">
        <f>مرتبات!A102</f>
        <v>1</v>
      </c>
      <c r="B102" s="19" t="str">
        <f>مرتبات!B102</f>
        <v>أ/هالة فوزي</v>
      </c>
      <c r="C102" s="63">
        <v>0</v>
      </c>
      <c r="D102" s="63">
        <v>0</v>
      </c>
      <c r="E102" s="63">
        <v>0</v>
      </c>
      <c r="F102" s="63">
        <v>0</v>
      </c>
      <c r="G102" s="63">
        <v>0</v>
      </c>
      <c r="H102" s="63">
        <v>0</v>
      </c>
      <c r="I102" s="63">
        <v>0</v>
      </c>
      <c r="J102" s="63">
        <v>0</v>
      </c>
      <c r="K102" s="63">
        <v>0</v>
      </c>
      <c r="L102" s="63">
        <f t="shared" si="1"/>
        <v>0</v>
      </c>
      <c r="M102" s="160"/>
    </row>
    <row r="103" spans="1:13" x14ac:dyDescent="0.25">
      <c r="A103" s="97">
        <f>مرتبات!A103</f>
        <v>2</v>
      </c>
      <c r="B103" s="19" t="str">
        <f>مرتبات!B103</f>
        <v>د/أمجد سعيد</v>
      </c>
      <c r="C103" s="63">
        <v>0</v>
      </c>
      <c r="D103" s="63">
        <v>0</v>
      </c>
      <c r="E103" s="63">
        <v>0</v>
      </c>
      <c r="F103" s="63">
        <v>0</v>
      </c>
      <c r="G103" s="63">
        <v>0</v>
      </c>
      <c r="H103" s="63">
        <v>0</v>
      </c>
      <c r="I103" s="63">
        <v>0</v>
      </c>
      <c r="J103" s="63">
        <v>0</v>
      </c>
      <c r="K103" s="63">
        <v>0</v>
      </c>
      <c r="L103" s="63">
        <f t="shared" si="1"/>
        <v>0</v>
      </c>
      <c r="M103" s="160"/>
    </row>
    <row r="104" spans="1:13" x14ac:dyDescent="0.25">
      <c r="A104" s="97">
        <f>مرتبات!A104</f>
        <v>3</v>
      </c>
      <c r="B104" s="19" t="str">
        <f>مرتبات!B104</f>
        <v>د/وليد رزق</v>
      </c>
      <c r="C104" s="63">
        <v>0</v>
      </c>
      <c r="D104" s="63">
        <v>0</v>
      </c>
      <c r="E104" s="63">
        <v>0</v>
      </c>
      <c r="F104" s="63">
        <v>0</v>
      </c>
      <c r="G104" s="63">
        <v>0</v>
      </c>
      <c r="H104" s="63">
        <v>0</v>
      </c>
      <c r="I104" s="63">
        <v>0</v>
      </c>
      <c r="J104" s="63">
        <v>0</v>
      </c>
      <c r="K104" s="63">
        <v>0</v>
      </c>
      <c r="L104" s="63">
        <f t="shared" si="1"/>
        <v>0</v>
      </c>
      <c r="M104" s="160"/>
    </row>
    <row r="105" spans="1:13" x14ac:dyDescent="0.25">
      <c r="A105" s="97">
        <f>مرتبات!A105</f>
        <v>4</v>
      </c>
      <c r="B105" s="19" t="str">
        <f>مرتبات!B105</f>
        <v>د/أمينة العطيفي</v>
      </c>
      <c r="C105" s="63">
        <v>0</v>
      </c>
      <c r="D105" s="63">
        <v>0</v>
      </c>
      <c r="E105" s="63">
        <v>0</v>
      </c>
      <c r="F105" s="63">
        <v>0</v>
      </c>
      <c r="G105" s="63">
        <v>0</v>
      </c>
      <c r="H105" s="63">
        <v>0</v>
      </c>
      <c r="I105" s="63">
        <v>0</v>
      </c>
      <c r="J105" s="63">
        <v>0</v>
      </c>
      <c r="K105" s="63">
        <v>0</v>
      </c>
      <c r="L105" s="63">
        <f t="shared" si="1"/>
        <v>0</v>
      </c>
      <c r="M105" s="160"/>
    </row>
    <row r="106" spans="1:13" x14ac:dyDescent="0.25">
      <c r="A106" s="97">
        <f>مرتبات!A106</f>
        <v>0</v>
      </c>
      <c r="B106" s="19" t="str">
        <f>مرتبات!B106</f>
        <v>Spare</v>
      </c>
      <c r="C106" s="63">
        <v>0</v>
      </c>
      <c r="D106" s="63">
        <v>0</v>
      </c>
      <c r="E106" s="63">
        <v>0</v>
      </c>
      <c r="F106" s="63">
        <v>0</v>
      </c>
      <c r="G106" s="63">
        <v>0</v>
      </c>
      <c r="H106" s="63">
        <v>0</v>
      </c>
      <c r="I106" s="63">
        <v>0</v>
      </c>
      <c r="J106" s="63">
        <v>0</v>
      </c>
      <c r="K106" s="63">
        <v>0</v>
      </c>
      <c r="L106" s="63">
        <f t="shared" si="1"/>
        <v>0</v>
      </c>
      <c r="M106" s="160"/>
    </row>
    <row r="107" spans="1:13" x14ac:dyDescent="0.25">
      <c r="A107" s="97">
        <f>مرتبات!A107</f>
        <v>0</v>
      </c>
      <c r="B107" s="19" t="str">
        <f>مرتبات!B107</f>
        <v>Spare</v>
      </c>
      <c r="C107" s="63">
        <v>0</v>
      </c>
      <c r="D107" s="63">
        <v>0</v>
      </c>
      <c r="E107" s="63">
        <v>0</v>
      </c>
      <c r="F107" s="63">
        <v>0</v>
      </c>
      <c r="G107" s="63">
        <v>0</v>
      </c>
      <c r="H107" s="63">
        <v>0</v>
      </c>
      <c r="I107" s="63">
        <v>0</v>
      </c>
      <c r="J107" s="63">
        <v>0</v>
      </c>
      <c r="K107" s="63">
        <v>0</v>
      </c>
      <c r="L107" s="63">
        <f t="shared" si="1"/>
        <v>0</v>
      </c>
      <c r="M107" s="160"/>
    </row>
    <row r="108" spans="1:13" x14ac:dyDescent="0.25">
      <c r="A108" s="97">
        <f>مرتبات!A108</f>
        <v>0</v>
      </c>
      <c r="B108" s="19" t="str">
        <f>مرتبات!B108</f>
        <v>Spare</v>
      </c>
      <c r="C108" s="63">
        <v>0</v>
      </c>
      <c r="D108" s="63">
        <v>0</v>
      </c>
      <c r="E108" s="63">
        <v>0</v>
      </c>
      <c r="F108" s="63">
        <v>0</v>
      </c>
      <c r="G108" s="63">
        <v>0</v>
      </c>
      <c r="H108" s="63">
        <v>0</v>
      </c>
      <c r="I108" s="63">
        <v>0</v>
      </c>
      <c r="J108" s="63">
        <v>0</v>
      </c>
      <c r="K108" s="63">
        <v>0</v>
      </c>
      <c r="L108" s="63">
        <f t="shared" si="1"/>
        <v>0</v>
      </c>
      <c r="M108" s="160"/>
    </row>
    <row r="109" spans="1:13" x14ac:dyDescent="0.25">
      <c r="A109" s="97">
        <f>مرتبات!A109</f>
        <v>0</v>
      </c>
      <c r="B109" s="19" t="str">
        <f>مرتبات!B109</f>
        <v>Spare</v>
      </c>
      <c r="C109" s="63">
        <v>0</v>
      </c>
      <c r="D109" s="63">
        <v>0</v>
      </c>
      <c r="E109" s="63">
        <v>0</v>
      </c>
      <c r="F109" s="63">
        <v>0</v>
      </c>
      <c r="G109" s="63">
        <v>0</v>
      </c>
      <c r="H109" s="63">
        <v>0</v>
      </c>
      <c r="I109" s="63">
        <v>0</v>
      </c>
      <c r="J109" s="63">
        <v>0</v>
      </c>
      <c r="K109" s="63">
        <v>0</v>
      </c>
      <c r="L109" s="63">
        <f t="shared" si="1"/>
        <v>0</v>
      </c>
      <c r="M109" s="160"/>
    </row>
    <row r="110" spans="1:13" x14ac:dyDescent="0.25">
      <c r="A110" s="97">
        <f>مرتبات!A110</f>
        <v>0</v>
      </c>
      <c r="B110" s="19" t="str">
        <f>مرتبات!B110</f>
        <v>Spare</v>
      </c>
      <c r="C110" s="63">
        <v>0</v>
      </c>
      <c r="D110" s="63">
        <v>0</v>
      </c>
      <c r="E110" s="63">
        <v>0</v>
      </c>
      <c r="F110" s="63">
        <v>0</v>
      </c>
      <c r="G110" s="63">
        <v>0</v>
      </c>
      <c r="H110" s="63">
        <v>0</v>
      </c>
      <c r="I110" s="63">
        <v>0</v>
      </c>
      <c r="J110" s="63">
        <v>0</v>
      </c>
      <c r="K110" s="63">
        <v>0</v>
      </c>
      <c r="L110" s="63">
        <f t="shared" si="1"/>
        <v>0</v>
      </c>
      <c r="M110" s="160"/>
    </row>
    <row r="111" spans="1:13" x14ac:dyDescent="0.25">
      <c r="A111" s="97">
        <f>مرتبات!A111</f>
        <v>0</v>
      </c>
      <c r="B111" s="19" t="str">
        <f>مرتبات!B111</f>
        <v>Spare</v>
      </c>
      <c r="C111" s="63">
        <v>0</v>
      </c>
      <c r="D111" s="63">
        <v>0</v>
      </c>
      <c r="E111" s="63">
        <v>0</v>
      </c>
      <c r="F111" s="63">
        <v>0</v>
      </c>
      <c r="G111" s="63">
        <v>0</v>
      </c>
      <c r="H111" s="63">
        <v>0</v>
      </c>
      <c r="I111" s="63">
        <v>0</v>
      </c>
      <c r="J111" s="63">
        <v>0</v>
      </c>
      <c r="K111" s="63">
        <v>0</v>
      </c>
      <c r="L111" s="63">
        <f t="shared" si="1"/>
        <v>0</v>
      </c>
      <c r="M111" s="160"/>
    </row>
    <row r="112" spans="1:13" x14ac:dyDescent="0.25">
      <c r="A112" s="97">
        <f>مرتبات!A112</f>
        <v>0</v>
      </c>
      <c r="B112" s="19" t="str">
        <f>مرتبات!B112</f>
        <v>Spare</v>
      </c>
      <c r="C112" s="63">
        <v>0</v>
      </c>
      <c r="D112" s="63">
        <v>0</v>
      </c>
      <c r="E112" s="63">
        <v>0</v>
      </c>
      <c r="F112" s="63">
        <v>0</v>
      </c>
      <c r="G112" s="63">
        <v>0</v>
      </c>
      <c r="H112" s="63">
        <v>0</v>
      </c>
      <c r="I112" s="63">
        <v>0</v>
      </c>
      <c r="J112" s="63">
        <v>0</v>
      </c>
      <c r="K112" s="63">
        <v>0</v>
      </c>
      <c r="L112" s="63">
        <f t="shared" si="1"/>
        <v>0</v>
      </c>
      <c r="M112" s="160"/>
    </row>
    <row r="113" spans="1:13" x14ac:dyDescent="0.25">
      <c r="A113" s="97">
        <f>مرتبات!A113</f>
        <v>0</v>
      </c>
      <c r="B113" s="19" t="str">
        <f>مرتبات!B113</f>
        <v>Spare</v>
      </c>
      <c r="C113" s="63">
        <v>0</v>
      </c>
      <c r="D113" s="63">
        <v>0</v>
      </c>
      <c r="E113" s="63">
        <v>0</v>
      </c>
      <c r="F113" s="63">
        <v>0</v>
      </c>
      <c r="G113" s="63">
        <v>0</v>
      </c>
      <c r="H113" s="63">
        <v>0</v>
      </c>
      <c r="I113" s="63">
        <v>0</v>
      </c>
      <c r="J113" s="63">
        <v>0</v>
      </c>
      <c r="K113" s="63">
        <v>0</v>
      </c>
      <c r="L113" s="63">
        <f t="shared" si="1"/>
        <v>0</v>
      </c>
      <c r="M113" s="160"/>
    </row>
    <row r="114" spans="1:13" x14ac:dyDescent="0.25">
      <c r="A114" s="97">
        <f>مرتبات!A114</f>
        <v>0</v>
      </c>
      <c r="B114" s="19" t="str">
        <f>مرتبات!B114</f>
        <v>Spare</v>
      </c>
      <c r="C114" s="63">
        <v>0</v>
      </c>
      <c r="D114" s="63">
        <v>0</v>
      </c>
      <c r="E114" s="63">
        <v>0</v>
      </c>
      <c r="F114" s="63">
        <v>0</v>
      </c>
      <c r="G114" s="63">
        <v>0</v>
      </c>
      <c r="H114" s="63">
        <v>0</v>
      </c>
      <c r="I114" s="63">
        <v>0</v>
      </c>
      <c r="J114" s="63">
        <v>0</v>
      </c>
      <c r="K114" s="63">
        <v>0</v>
      </c>
      <c r="L114" s="63">
        <f t="shared" si="1"/>
        <v>0</v>
      </c>
      <c r="M114" s="160"/>
    </row>
    <row r="115" spans="1:13" x14ac:dyDescent="0.25">
      <c r="A115" s="97">
        <f>مرتبات!A115</f>
        <v>0</v>
      </c>
      <c r="B115" s="19" t="str">
        <f>مرتبات!B115</f>
        <v>Spare</v>
      </c>
      <c r="C115" s="63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f t="shared" si="1"/>
        <v>0</v>
      </c>
      <c r="M115" s="160"/>
    </row>
    <row r="116" spans="1:13" x14ac:dyDescent="0.25">
      <c r="A116" s="97">
        <f>مرتبات!A116</f>
        <v>0</v>
      </c>
      <c r="B116" s="19" t="str">
        <f>مرتبات!B116</f>
        <v>Spare</v>
      </c>
      <c r="C116" s="63">
        <v>0</v>
      </c>
      <c r="D116" s="63">
        <v>0</v>
      </c>
      <c r="E116" s="63">
        <v>0</v>
      </c>
      <c r="F116" s="63">
        <v>0</v>
      </c>
      <c r="G116" s="63">
        <v>0</v>
      </c>
      <c r="H116" s="63">
        <v>0</v>
      </c>
      <c r="I116" s="63">
        <v>0</v>
      </c>
      <c r="J116" s="63">
        <v>0</v>
      </c>
      <c r="K116" s="63">
        <v>0</v>
      </c>
      <c r="L116" s="63">
        <f t="shared" si="1"/>
        <v>0</v>
      </c>
      <c r="M116" s="160"/>
    </row>
    <row r="117" spans="1:13" ht="15.6" thickBot="1" x14ac:dyDescent="0.3">
      <c r="A117" s="97">
        <f>مرتبات!A117</f>
        <v>0</v>
      </c>
      <c r="B117" s="19" t="str">
        <f>مرتبات!B117</f>
        <v>Spare</v>
      </c>
      <c r="C117" s="63">
        <v>0</v>
      </c>
      <c r="D117" s="63">
        <v>0</v>
      </c>
      <c r="E117" s="63">
        <v>0</v>
      </c>
      <c r="F117" s="63">
        <v>0</v>
      </c>
      <c r="G117" s="63">
        <v>0</v>
      </c>
      <c r="H117" s="63">
        <v>0</v>
      </c>
      <c r="I117" s="63">
        <v>0</v>
      </c>
      <c r="J117" s="63">
        <v>0</v>
      </c>
      <c r="K117" s="63">
        <v>0</v>
      </c>
      <c r="L117" s="63">
        <f t="shared" si="1"/>
        <v>0</v>
      </c>
      <c r="M117" s="160"/>
    </row>
    <row r="118" spans="1:13" s="16" customFormat="1" ht="16.2" thickBot="1" x14ac:dyDescent="0.3">
      <c r="A118" s="97">
        <f>مرتبات!A118</f>
        <v>4</v>
      </c>
      <c r="B118" s="149" t="s">
        <v>64</v>
      </c>
      <c r="C118" s="92">
        <f>SUM(C4:C17)+SUM(C19:C55)+SUM(C57:C100)+SUM(C102:C117)</f>
        <v>5886.59</v>
      </c>
      <c r="D118" s="92">
        <f t="shared" ref="D118:K118" si="2">SUM(D4:D17)+SUM(D19:D55)+SUM(D57:D100)+SUM(D102:D117)</f>
        <v>0</v>
      </c>
      <c r="E118" s="92">
        <f t="shared" si="2"/>
        <v>0</v>
      </c>
      <c r="F118" s="92">
        <f t="shared" si="2"/>
        <v>0</v>
      </c>
      <c r="G118" s="92">
        <f t="shared" si="2"/>
        <v>1958</v>
      </c>
      <c r="H118" s="92">
        <f>SUM(H4:H17)+SUM(H19:H55)+SUM(H57:H100)+SUM(H102:H117)</f>
        <v>22833</v>
      </c>
      <c r="I118" s="92">
        <f t="shared" si="2"/>
        <v>367</v>
      </c>
      <c r="J118" s="92">
        <f t="shared" si="2"/>
        <v>850</v>
      </c>
      <c r="K118" s="92">
        <f t="shared" si="2"/>
        <v>2050</v>
      </c>
      <c r="L118" s="92">
        <f>SUM(C118:K118)</f>
        <v>33944.589999999997</v>
      </c>
      <c r="M118" s="162"/>
    </row>
    <row r="119" spans="1:13" ht="15.6" x14ac:dyDescent="0.25">
      <c r="B119" s="61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159"/>
    </row>
    <row r="122" spans="1:13" x14ac:dyDescent="0.25">
      <c r="A122" s="22"/>
    </row>
    <row r="188" spans="2:13" ht="15.6" x14ac:dyDescent="0.25">
      <c r="B188" s="60" t="s">
        <v>64</v>
      </c>
      <c r="C188" s="64">
        <f>SUM(C140:C142)+SUM(C146:C159)+SUM(C165:C186)</f>
        <v>0</v>
      </c>
      <c r="D188" s="62">
        <f t="shared" ref="D188:K188" si="3">SUM(D140:D142)+SUM(D146:D159)+SUM(D165:D186)</f>
        <v>0</v>
      </c>
      <c r="E188" s="62">
        <f t="shared" si="3"/>
        <v>0</v>
      </c>
      <c r="F188" s="64">
        <f t="shared" si="3"/>
        <v>0</v>
      </c>
      <c r="G188" s="23">
        <f>SUM(G147:G162)+SUM(G166:G187)</f>
        <v>0</v>
      </c>
      <c r="H188" s="77">
        <f t="shared" si="3"/>
        <v>0</v>
      </c>
      <c r="I188" s="62">
        <f t="shared" si="3"/>
        <v>0</v>
      </c>
      <c r="J188" s="62">
        <f t="shared" si="3"/>
        <v>0</v>
      </c>
      <c r="K188" s="62">
        <f t="shared" si="3"/>
        <v>0</v>
      </c>
      <c r="L188" s="64">
        <f>SUM(C188:K188)</f>
        <v>0</v>
      </c>
      <c r="M188" s="159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workbookViewId="0">
      <selection activeCell="D17" sqref="D17:F1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4"/>
      <c r="C2" s="35"/>
      <c r="D2" s="35"/>
      <c r="E2" s="35"/>
      <c r="F2" s="107"/>
      <c r="G2" s="36"/>
      <c r="H2" s="5"/>
    </row>
    <row r="3" spans="2:8" ht="29.25" customHeight="1" thickBot="1" x14ac:dyDescent="0.3">
      <c r="B3" s="37"/>
      <c r="C3" s="171"/>
      <c r="D3" s="172"/>
      <c r="E3" s="172"/>
      <c r="F3" s="173"/>
      <c r="G3" s="38"/>
      <c r="H3" s="39" t="s">
        <v>28</v>
      </c>
    </row>
    <row r="4" spans="2:8" ht="18.600000000000001" thickTop="1" thickBot="1" x14ac:dyDescent="0.3">
      <c r="B4" s="37"/>
      <c r="C4" s="70" t="s">
        <v>131</v>
      </c>
      <c r="D4" s="108" t="str">
        <f>INDEX(مرتبات!B1:B1066,H4,1)</f>
        <v>أ/ناجى رمضان أمين محمد</v>
      </c>
      <c r="E4" s="70" t="s">
        <v>6</v>
      </c>
      <c r="F4" s="109">
        <f>مرتبات!D2</f>
        <v>45383</v>
      </c>
      <c r="G4" s="38"/>
      <c r="H4" s="5">
        <v>19</v>
      </c>
    </row>
    <row r="5" spans="2:8" ht="14.4" thickTop="1" thickBot="1" x14ac:dyDescent="0.3">
      <c r="B5" s="37"/>
      <c r="C5" s="40" t="s">
        <v>72</v>
      </c>
      <c r="D5" s="174">
        <f>SUM((INDEX(مرتبات!D1:D1066,H4,1)),VALUE((INDEX(مرتبات!G1:G1066,H4,1))))</f>
        <v>40250</v>
      </c>
      <c r="E5" s="175"/>
      <c r="F5" s="176"/>
      <c r="G5" s="38"/>
      <c r="H5" s="5"/>
    </row>
    <row r="6" spans="2:8" ht="13.8" thickTop="1" x14ac:dyDescent="0.25">
      <c r="B6" s="37"/>
      <c r="C6" s="177" t="s">
        <v>105</v>
      </c>
      <c r="D6" s="178"/>
      <c r="E6" s="177" t="s">
        <v>8</v>
      </c>
      <c r="F6" s="178"/>
      <c r="G6" s="38"/>
      <c r="H6" s="5"/>
    </row>
    <row r="7" spans="2:8" x14ac:dyDescent="0.25">
      <c r="B7" s="37"/>
      <c r="C7" s="40" t="s">
        <v>21</v>
      </c>
      <c r="D7" s="41">
        <f>INDEX(اضافات!C1:C1069,H4,1)</f>
        <v>0</v>
      </c>
      <c r="E7" s="40" t="s">
        <v>7</v>
      </c>
      <c r="F7" s="42">
        <f>INDEX(خصومات!C1:C1069,H4,1)</f>
        <v>1929.5</v>
      </c>
      <c r="G7" s="38"/>
      <c r="H7" s="5"/>
    </row>
    <row r="8" spans="2:8" x14ac:dyDescent="0.25">
      <c r="B8" s="37"/>
      <c r="C8" s="43" t="s">
        <v>22</v>
      </c>
      <c r="D8" s="41">
        <f>INDEX(اضافات!D1:D1069,H4,1)</f>
        <v>0</v>
      </c>
      <c r="E8" s="43" t="s">
        <v>4</v>
      </c>
      <c r="F8" s="42">
        <f>INDEX(خصومات!E1:E1070,H4,1)</f>
        <v>0</v>
      </c>
      <c r="G8" s="38"/>
      <c r="H8" s="5"/>
    </row>
    <row r="9" spans="2:8" x14ac:dyDescent="0.25">
      <c r="B9" s="37"/>
      <c r="C9" s="44" t="s">
        <v>30</v>
      </c>
      <c r="D9" s="41">
        <f>INDEX(اضافات!E1:E1069,H4,1)</f>
        <v>0</v>
      </c>
      <c r="E9" s="44" t="s">
        <v>3</v>
      </c>
      <c r="F9" s="42">
        <f>INDEX(خصومات!F1:F1071,H4,1)</f>
        <v>0</v>
      </c>
      <c r="G9" s="38"/>
      <c r="H9" s="5"/>
    </row>
    <row r="10" spans="2:8" x14ac:dyDescent="0.25">
      <c r="B10" s="37"/>
      <c r="C10" s="44" t="s">
        <v>23</v>
      </c>
      <c r="D10" s="41">
        <f>INDEX(اضافات!L1:L1069,H4,1)</f>
        <v>0</v>
      </c>
      <c r="E10" s="44" t="s">
        <v>24</v>
      </c>
      <c r="F10" s="42">
        <f>INDEX(خصومات!I1:I1072,H4,1)</f>
        <v>0</v>
      </c>
      <c r="G10" s="38"/>
      <c r="H10" s="5"/>
    </row>
    <row r="11" spans="2:8" x14ac:dyDescent="0.25">
      <c r="B11" s="37"/>
      <c r="C11" s="44" t="s">
        <v>14</v>
      </c>
      <c r="D11" s="41">
        <f>INDEX(اضافات!J1:J1069,H4,1)</f>
        <v>9028</v>
      </c>
      <c r="E11" s="44" t="s">
        <v>25</v>
      </c>
      <c r="F11" s="42">
        <f>INDEX(خصومات!H1:H1073,H4,1)</f>
        <v>0</v>
      </c>
      <c r="G11" s="38"/>
      <c r="H11" s="5"/>
    </row>
    <row r="12" spans="2:8" x14ac:dyDescent="0.25">
      <c r="B12" s="37"/>
      <c r="C12" s="44" t="s">
        <v>11</v>
      </c>
      <c r="D12" s="41">
        <f>INDEX(اضافات!I1:I1069,H4,1)</f>
        <v>0</v>
      </c>
      <c r="E12" s="44" t="s">
        <v>10</v>
      </c>
      <c r="F12" s="42">
        <f>INDEX(خصومات!D1:D1074,H4,1)</f>
        <v>0</v>
      </c>
      <c r="G12" s="38"/>
      <c r="H12" s="5"/>
    </row>
    <row r="13" spans="2:8" x14ac:dyDescent="0.25">
      <c r="B13" s="37"/>
      <c r="C13" s="44" t="s">
        <v>9</v>
      </c>
      <c r="D13" s="41">
        <f>INDEX(اضافات!K1:K1069,H4,1)</f>
        <v>1061</v>
      </c>
      <c r="E13" s="44" t="s">
        <v>16</v>
      </c>
      <c r="F13" s="42">
        <f>INDEX(خصومات!G1:G1075,H4,1)</f>
        <v>0</v>
      </c>
      <c r="G13" s="38"/>
      <c r="H13" s="5"/>
    </row>
    <row r="14" spans="2:8" x14ac:dyDescent="0.25">
      <c r="B14" s="37"/>
      <c r="C14" s="44"/>
      <c r="D14" s="44"/>
      <c r="E14" s="44" t="s">
        <v>26</v>
      </c>
      <c r="F14" s="42">
        <f>INDEX(خصومات!J1:J1076,H4,1)</f>
        <v>50</v>
      </c>
      <c r="G14" s="38"/>
      <c r="H14" s="5"/>
    </row>
    <row r="15" spans="2:8" ht="13.8" thickBot="1" x14ac:dyDescent="0.3">
      <c r="B15" s="37"/>
      <c r="C15" s="44"/>
      <c r="D15" s="44"/>
      <c r="E15" s="44" t="s">
        <v>27</v>
      </c>
      <c r="F15" s="42">
        <f>INDEX(خصومات!K1:K1077,H4,1)</f>
        <v>0</v>
      </c>
      <c r="G15" s="38"/>
      <c r="H15" s="5"/>
    </row>
    <row r="16" spans="2:8" ht="14.4" thickTop="1" thickBot="1" x14ac:dyDescent="0.3">
      <c r="B16" s="37"/>
      <c r="C16" s="46" t="s">
        <v>134</v>
      </c>
      <c r="D16" s="174">
        <f>D5+D7+D8+D9+D10+D11+D12+D13</f>
        <v>50339</v>
      </c>
      <c r="E16" s="175"/>
      <c r="F16" s="176"/>
      <c r="G16" s="38"/>
      <c r="H16" s="5"/>
    </row>
    <row r="17" spans="2:8" ht="14.4" thickTop="1" thickBot="1" x14ac:dyDescent="0.3">
      <c r="B17" s="37"/>
      <c r="C17" s="45" t="s">
        <v>29</v>
      </c>
      <c r="D17" s="174">
        <f>SUM(D7:D15)</f>
        <v>10089</v>
      </c>
      <c r="E17" s="175"/>
      <c r="F17" s="176"/>
      <c r="G17" s="38"/>
      <c r="H17" s="5"/>
    </row>
    <row r="18" spans="2:8" ht="14.4" thickTop="1" thickBot="1" x14ac:dyDescent="0.3">
      <c r="B18" s="37"/>
      <c r="C18" s="46" t="s">
        <v>91</v>
      </c>
      <c r="D18" s="165">
        <f>(SUM(F7:F15))</f>
        <v>1979.5</v>
      </c>
      <c r="E18" s="166"/>
      <c r="F18" s="167"/>
      <c r="G18" s="38"/>
      <c r="H18" s="5"/>
    </row>
    <row r="19" spans="2:8" ht="15" thickTop="1" thickBot="1" x14ac:dyDescent="0.3">
      <c r="B19" s="37"/>
      <c r="C19" s="46" t="s">
        <v>104</v>
      </c>
      <c r="D19" s="168">
        <f>D16-D17-D18</f>
        <v>38270.5</v>
      </c>
      <c r="E19" s="169"/>
      <c r="F19" s="170"/>
      <c r="G19" s="38"/>
      <c r="H19" s="5"/>
    </row>
    <row r="20" spans="2:8" ht="14.4" thickTop="1" thickBot="1" x14ac:dyDescent="0.3">
      <c r="B20" s="47"/>
      <c r="C20" s="7"/>
      <c r="D20" s="7"/>
      <c r="E20" s="7"/>
      <c r="F20" s="7"/>
      <c r="G20" s="48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D16" sqref="D16:F16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4"/>
      <c r="C2" s="35"/>
      <c r="D2" s="35"/>
      <c r="E2" s="35"/>
      <c r="F2" s="35"/>
      <c r="G2" s="36"/>
      <c r="H2" s="5"/>
    </row>
    <row r="3" spans="2:8" ht="29.25" customHeight="1" thickBot="1" x14ac:dyDescent="0.3">
      <c r="B3" s="37"/>
      <c r="C3" s="171"/>
      <c r="D3" s="172"/>
      <c r="E3" s="172"/>
      <c r="F3" s="173"/>
      <c r="G3" s="38"/>
      <c r="H3" s="39" t="s">
        <v>28</v>
      </c>
    </row>
    <row r="4" spans="2:8" ht="16.8" thickTop="1" thickBot="1" x14ac:dyDescent="0.3">
      <c r="B4" s="37"/>
      <c r="C4" s="110" t="s">
        <v>110</v>
      </c>
      <c r="D4" s="98" t="str">
        <f>INDEX(مرتبات!B1:B1066,H4,1)</f>
        <v>أ/ناجى رمضان أمين محمد</v>
      </c>
      <c r="E4" s="110" t="s">
        <v>109</v>
      </c>
      <c r="F4" s="98">
        <f>مرتبات!D2</f>
        <v>45383</v>
      </c>
      <c r="G4" s="38"/>
      <c r="H4" s="5">
        <v>19</v>
      </c>
    </row>
    <row r="5" spans="2:8" ht="14.4" thickTop="1" thickBot="1" x14ac:dyDescent="0.3">
      <c r="B5" s="37"/>
      <c r="C5" s="102" t="s">
        <v>111</v>
      </c>
      <c r="D5" s="174">
        <f>SUM((INDEX(مرتبات!D1:D1066,H4,1)),VALUE((INDEX(مرتبات!G1:G1066,H4,1))))</f>
        <v>40250</v>
      </c>
      <c r="E5" s="175"/>
      <c r="F5" s="176"/>
      <c r="G5" s="38"/>
      <c r="H5" s="5"/>
    </row>
    <row r="6" spans="2:8" ht="13.8" thickTop="1" x14ac:dyDescent="0.25">
      <c r="B6" s="37"/>
      <c r="C6" s="179" t="s">
        <v>129</v>
      </c>
      <c r="D6" s="180"/>
      <c r="E6" s="177" t="s">
        <v>112</v>
      </c>
      <c r="F6" s="178"/>
      <c r="G6" s="38"/>
      <c r="H6" s="5"/>
    </row>
    <row r="7" spans="2:8" x14ac:dyDescent="0.25">
      <c r="B7" s="37"/>
      <c r="C7" s="104" t="s">
        <v>114</v>
      </c>
      <c r="D7" s="41">
        <f>INDEX(اضافات!C1:C1069,H4,1)</f>
        <v>0</v>
      </c>
      <c r="E7" s="104" t="s">
        <v>122</v>
      </c>
      <c r="F7" s="103">
        <f>INDEX(خصومات!C1:C1069,H4,1)</f>
        <v>1929.5</v>
      </c>
      <c r="G7" s="38"/>
      <c r="H7" s="5"/>
    </row>
    <row r="8" spans="2:8" x14ac:dyDescent="0.25">
      <c r="B8" s="37"/>
      <c r="C8" s="105" t="s">
        <v>115</v>
      </c>
      <c r="D8" s="41">
        <f>INDEX(اضافات!D1:D1069,H4,1)</f>
        <v>0</v>
      </c>
      <c r="E8" s="105" t="s">
        <v>123</v>
      </c>
      <c r="F8" s="103">
        <f>INDEX(خصومات!E1:E1070,H4,1)</f>
        <v>0</v>
      </c>
      <c r="G8" s="38"/>
      <c r="H8" s="5"/>
    </row>
    <row r="9" spans="2:8" x14ac:dyDescent="0.25">
      <c r="B9" s="37"/>
      <c r="C9" s="106" t="s">
        <v>116</v>
      </c>
      <c r="D9" s="41">
        <f>INDEX(اضافات!E1:E1069,H4,1)</f>
        <v>0</v>
      </c>
      <c r="E9" s="106" t="s">
        <v>124</v>
      </c>
      <c r="F9" s="103">
        <f>INDEX(خصومات!F1:F1071,H4,1)</f>
        <v>0</v>
      </c>
      <c r="G9" s="38"/>
      <c r="H9" s="5"/>
    </row>
    <row r="10" spans="2:8" x14ac:dyDescent="0.25">
      <c r="B10" s="37"/>
      <c r="C10" s="106" t="s">
        <v>117</v>
      </c>
      <c r="D10" s="41">
        <f>INDEX(اضافات!L1:L1069,H4,1)</f>
        <v>0</v>
      </c>
      <c r="E10" s="106" t="s">
        <v>127</v>
      </c>
      <c r="F10" s="103">
        <f>INDEX(خصومات!I1:I1072,H4,1)</f>
        <v>0</v>
      </c>
      <c r="G10" s="38"/>
      <c r="H10" s="5"/>
    </row>
    <row r="11" spans="2:8" x14ac:dyDescent="0.25">
      <c r="B11" s="37"/>
      <c r="C11" s="106" t="s">
        <v>119</v>
      </c>
      <c r="D11" s="41">
        <f>INDEX(اضافات!J1:J1069,H4,1)</f>
        <v>9028</v>
      </c>
      <c r="E11" s="106" t="s">
        <v>126</v>
      </c>
      <c r="F11" s="103">
        <f>INDEX(خصومات!H1:H1073,H4,1)</f>
        <v>0</v>
      </c>
      <c r="G11" s="38"/>
      <c r="H11" s="5"/>
    </row>
    <row r="12" spans="2:8" x14ac:dyDescent="0.25">
      <c r="B12" s="37"/>
      <c r="C12" s="106" t="s">
        <v>120</v>
      </c>
      <c r="D12" s="41">
        <f>INDEX(اضافات!I1:I1069,H4,1)</f>
        <v>0</v>
      </c>
      <c r="E12" s="106" t="s">
        <v>121</v>
      </c>
      <c r="F12" s="103">
        <f>INDEX(خصومات!D1:D1074,H4,1)</f>
        <v>0</v>
      </c>
      <c r="G12" s="38"/>
      <c r="H12" s="5"/>
    </row>
    <row r="13" spans="2:8" x14ac:dyDescent="0.25">
      <c r="B13" s="37"/>
      <c r="C13" s="106" t="s">
        <v>118</v>
      </c>
      <c r="D13" s="41">
        <f>INDEX(اضافات!K1:K1069,H4,1)</f>
        <v>1061</v>
      </c>
      <c r="E13" s="106" t="s">
        <v>125</v>
      </c>
      <c r="F13" s="103">
        <f>INDEX(خصومات!G1:G1075,H4,1)</f>
        <v>0</v>
      </c>
      <c r="G13" s="38"/>
      <c r="H13" s="5"/>
    </row>
    <row r="14" spans="2:8" x14ac:dyDescent="0.25">
      <c r="B14" s="37"/>
      <c r="C14" s="44"/>
      <c r="D14" s="44"/>
      <c r="E14" s="106" t="s">
        <v>130</v>
      </c>
      <c r="F14" s="103">
        <f>INDEX(خصومات!J1:J1076,H4,1)</f>
        <v>50</v>
      </c>
      <c r="G14" s="38"/>
      <c r="H14" s="5"/>
    </row>
    <row r="15" spans="2:8" ht="13.8" thickBot="1" x14ac:dyDescent="0.3">
      <c r="B15" s="37"/>
      <c r="C15" s="44"/>
      <c r="D15" s="44"/>
      <c r="E15" s="106" t="s">
        <v>128</v>
      </c>
      <c r="F15" s="103">
        <f>INDEX(خصومات!K1:K1077,H4,1)</f>
        <v>0</v>
      </c>
      <c r="G15" s="38"/>
      <c r="H15" s="5"/>
    </row>
    <row r="16" spans="2:8" ht="14.4" thickTop="1" thickBot="1" x14ac:dyDescent="0.3">
      <c r="B16" s="37"/>
      <c r="C16" s="99" t="s">
        <v>133</v>
      </c>
      <c r="D16" s="174">
        <f>D5+D7+D8+D9+D10+D11+D12+D13</f>
        <v>50339</v>
      </c>
      <c r="E16" s="175"/>
      <c r="F16" s="176"/>
      <c r="G16" s="38"/>
      <c r="H16" s="5"/>
    </row>
    <row r="17" spans="2:8" ht="14.4" thickTop="1" thickBot="1" x14ac:dyDescent="0.3">
      <c r="B17" s="37"/>
      <c r="C17" s="100" t="s">
        <v>135</v>
      </c>
      <c r="D17" s="165">
        <f>SUM(D7:D15)</f>
        <v>10089</v>
      </c>
      <c r="E17" s="166"/>
      <c r="F17" s="167"/>
      <c r="G17" s="38"/>
      <c r="H17" s="5"/>
    </row>
    <row r="18" spans="2:8" ht="14.4" thickTop="1" thickBot="1" x14ac:dyDescent="0.3">
      <c r="B18" s="37"/>
      <c r="C18" s="101" t="s">
        <v>112</v>
      </c>
      <c r="D18" s="165">
        <f>(SUM(F7:F15))</f>
        <v>1979.5</v>
      </c>
      <c r="E18" s="166"/>
      <c r="F18" s="167"/>
      <c r="G18" s="38"/>
      <c r="H18" s="5"/>
    </row>
    <row r="19" spans="2:8" ht="15" thickTop="1" thickBot="1" x14ac:dyDescent="0.3">
      <c r="B19" s="37"/>
      <c r="C19" s="101" t="s">
        <v>113</v>
      </c>
      <c r="D19" s="168">
        <f>D16-D17-D18</f>
        <v>38270.5</v>
      </c>
      <c r="E19" s="169"/>
      <c r="F19" s="170"/>
      <c r="G19" s="38"/>
      <c r="H19" s="5"/>
    </row>
    <row r="20" spans="2:8" ht="14.4" thickTop="1" thickBot="1" x14ac:dyDescent="0.3">
      <c r="B20" s="47"/>
      <c r="C20" s="7"/>
      <c r="D20" s="7"/>
      <c r="E20" s="7"/>
      <c r="F20" s="7"/>
      <c r="G20" s="48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2024-04-28T10:15:22Z</cp:lastPrinted>
  <dcterms:created xsi:type="dcterms:W3CDTF">2012-09-26T15:27:24Z</dcterms:created>
  <dcterms:modified xsi:type="dcterms:W3CDTF">2025-12-26T09:15:53Z</dcterms:modified>
</cp:coreProperties>
</file>