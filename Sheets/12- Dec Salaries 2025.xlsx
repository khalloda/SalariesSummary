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5F9F338D-4C65-4C59-9B66-4D324739F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مرتبات!$A$1:$P$120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0" i="7" l="1"/>
  <c r="L48" i="12" l="1"/>
  <c r="A71" i="16" l="1"/>
  <c r="A119" i="7" l="1"/>
  <c r="D118" i="7"/>
  <c r="D101" i="7"/>
  <c r="D56" i="7"/>
  <c r="D18" i="7"/>
  <c r="D119" i="7" l="1"/>
  <c r="D120" i="7"/>
  <c r="A117" i="12"/>
  <c r="A116" i="12"/>
  <c r="A115" i="12"/>
  <c r="A114" i="12"/>
  <c r="A113" i="12"/>
  <c r="A112" i="12"/>
  <c r="A111" i="12"/>
  <c r="A110" i="12"/>
  <c r="A109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F56" i="7"/>
  <c r="E101" i="7"/>
  <c r="E119" i="7" s="1"/>
  <c r="G120" i="7"/>
  <c r="G119" i="7"/>
  <c r="F118" i="7"/>
  <c r="P118" i="16"/>
  <c r="A4" i="12"/>
  <c r="H119" i="7" l="1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<sst xmlns="http://schemas.openxmlformats.org/spreadsheetml/2006/main" count="249" uniqueCount="169">
  <si>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</si>
  <si>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</si>
  <si>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</si>
  <si>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</si>
  <si>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</si>
  <si>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</si>
  <si>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</si>
  <si>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</si>
  <si>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</si>
  <si>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</si>
  <si>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</si>
  <si>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</si>
  <si>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</si>
  <si>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</si>
  <si>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</si>
  <si>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</si>
  <si>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</si>
  <si>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</si>
  <si>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</si>
  <si>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</si>
  <si>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</si>
  <si>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</si>
  <si>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</si>
  <si>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</si>
  <si>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</si>
  <si>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</si>
  <si>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</si>
  <si>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</si>
  <si>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</si>
  <si>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</si>
  <si>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</si>
  <si>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</si>
  <si>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</si>
  <si>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</si>
  <si>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</si>
  <si>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</si>
  <si>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</si>
  <si>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</si>
  <si>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</si>
  <si>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</si>
  <si>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</si>
  <si>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</si>
  <si>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</si>
  <si>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</si>
  <si>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</si>
  <si>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</si>
  <si>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</si>
  <si>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</si>
  <si>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</si>
  <si>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</si>
  <si>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</si>
  <si>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</si>
  <si>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</si>
  <si>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</si>
  <si>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</si>
  <si>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</si>
  <si>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</si>
  <si>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</si>
  <si>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</si>
  <si>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</si>
  <si>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</si>
  <si>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</si>
  <si>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</si>
  <si>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</si>
  <si>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</si>
  <si>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</si>
  <si>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</si>
  <si>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</si>
  <si>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</si>
  <si>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</si>
  <si>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</si>
  <si>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</si>
  <si>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</si>
  <si>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</si>
  <si>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</si>
  <si>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</si>
  <si>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</si>
  <si>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</si>
  <si>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</si>
  <si>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</si>
  <si>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</si>
  <si>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</si>
  <si>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</si>
  <si>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</si>
  <si>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</si>
  <si>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</si>
  <si>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</si>
  <si>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</si>
  <si>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</si>
  <si>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</si>
  <si>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</si>
  <si>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</si>
  <si>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</si>
  <si>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</si>
  <si>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</si>
  <si>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</si>
  <si>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</si>
  <si>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</si>
  <si>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</si>
  <si>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</si>
  <si>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</si>
  <si>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</si>
  <si>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</si>
  <si>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</si>
  <si>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</si>
  <si>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</si>
  <si>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</si>
  <si>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</si>
  <si>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</si>
  <si>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</si>
  <si>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</si>
  <si>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</si>
  <si>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</si>
  <si>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</si>
  <si>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</si>
  <si>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</si>
  <si>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</si>
  <si>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</si>
  <si>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</si>
  <si>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</si>
  <si>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</si>
  <si>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</si>
  <si>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</si>
  <si>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</si>
  <si>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</si>
  <si>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</si>
  <si>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</si>
  <si>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</si>
  <si>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</si>
  <si>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</si>
  <si>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</si>
  <si>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</si>
  <si>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</si>
  <si>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</si>
  <si>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</si>
  <si>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</si>
  <si>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</si>
  <si>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</si>
  <si>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</si>
  <si>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</si>
  <si>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</si>
  <si>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</si>
  <si>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</si>
  <si>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</si>
  <si>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</si>
  <si>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د/ أحمد بغدادي رشدي محمد</t>
  </si>
  <si>
    <t>CSH</t>
  </si>
  <si>
    <t>TRF</t>
  </si>
  <si>
    <t>أ/ نجوى إبراهيم محمود غنيم</t>
  </si>
  <si>
    <t>عمرو محمد عبدالحليم أبو سليم</t>
  </si>
  <si>
    <t xml:space="preserve">ضرائب </t>
  </si>
  <si>
    <t>شهر نوفمبر 2025</t>
  </si>
  <si>
    <t>ديسمبر 2025</t>
  </si>
  <si>
    <t>شهر ديسمبر 2025</t>
  </si>
  <si>
    <t>Refund for taxes deductions 3/3</t>
  </si>
  <si>
    <t>الخروج من التأمينات شهر بعد تاريخ انتهاء العمل</t>
  </si>
  <si>
    <t>Wife insurance 12/12</t>
  </si>
  <si>
    <t>Last day 11-12-2025</t>
  </si>
  <si>
    <t>unpaid emergency 24-12 and Nov morning late 2 days 19h late</t>
  </si>
  <si>
    <t>unpaid emergency 10-12 and Nov morning late 4 days 30h 26m late</t>
  </si>
  <si>
    <t xml:space="preserve"> Nov morning late 4 days 31h 14m late</t>
  </si>
  <si>
    <t xml:space="preserve"> Nov morning late 1 day 13h late</t>
  </si>
  <si>
    <t xml:space="preserve"> Nov morning late 1 day 12h 13m late</t>
  </si>
  <si>
    <t>محمد حسين محمد محمد</t>
  </si>
  <si>
    <t>He joined 21-12-2025</t>
  </si>
  <si>
    <t>مستشار محمد ماهر عبدالواحد</t>
  </si>
  <si>
    <t>المستشار محمد ماهر عبدالواحد</t>
  </si>
  <si>
    <t>He ejoined 21-12-2025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</si>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</sst>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27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6" fillId="3" borderId="1" xfId="1" applyFont="1" applyFill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3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/>
    <xf numFmtId="165" fontId="1" fillId="11" borderId="1" xfId="1" applyFont="1" applyFill="1" applyBorder="1"/>
    <xf numFmtId="4" fontId="21" fillId="11" borderId="1" xfId="3" applyNumberFormat="1" applyFill="1" applyBorder="1" applyAlignment="1" applyProtection="1">
      <alignment horizontal="center" vertical="center"/>
    </xf>
    <xf numFmtId="165" fontId="21" fillId="11" borderId="1" xfId="3" applyNumberFormat="1" applyFill="1" applyBorder="1" applyAlignment="1" applyProtection="1">
      <alignment horizontal="center" vertical="center"/>
    </xf>
    <xf numFmtId="2" fontId="3" fillId="11" borderId="1" xfId="0" applyNumberFormat="1" applyFont="1" applyFill="1" applyBorder="1"/>
    <xf numFmtId="165" fontId="3" fillId="11" borderId="1" xfId="1" applyFont="1" applyFill="1" applyBorder="1"/>
    <xf numFmtId="167" fontId="28" fillId="22" borderId="0" xfId="1" applyNumberFormat="1" applyFont="1" applyFill="1" applyBorder="1"/>
    <xf numFmtId="167" fontId="23" fillId="22" borderId="0" xfId="1" applyNumberFormat="1" applyFont="1" applyFill="1" applyBorder="1"/>
    <xf numFmtId="0" fontId="26" fillId="9" borderId="0" xfId="0" applyFont="1" applyFill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7" fontId="25" fillId="3" borderId="1" xfId="0" applyNumberFormat="1" applyFont="1" applyFill="1" applyBorder="1" applyAlignment="1">
      <alignment horizontal="center" vertical="center"/>
    </xf>
    <xf numFmtId="165" fontId="31" fillId="23" borderId="0" xfId="1" applyFont="1" applyFill="1"/>
    <xf numFmtId="0" fontId="3" fillId="20" borderId="1" xfId="0" applyFont="1" applyFill="1" applyBorder="1" applyAlignment="1">
      <alignment vertical="center"/>
    </xf>
    <xf numFmtId="165" fontId="3" fillId="20" borderId="0" xfId="1" applyFont="1" applyFill="1"/>
    <xf numFmtId="12" fontId="3" fillId="20" borderId="0" xfId="0" applyNumberFormat="1" applyFont="1" applyFill="1" applyAlignment="1">
      <alignment horizontal="center"/>
    </xf>
    <xf numFmtId="0" fontId="3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vertical="center"/>
    </xf>
    <xf numFmtId="165" fontId="6" fillId="20" borderId="1" xfId="1" applyFont="1" applyFill="1" applyBorder="1"/>
    <xf numFmtId="4" fontId="21" fillId="20" borderId="1" xfId="3" applyNumberFormat="1" applyFill="1" applyBorder="1" applyAlignment="1" applyProtection="1">
      <alignment horizontal="center" vertical="center"/>
    </xf>
    <xf numFmtId="165" fontId="21" fillId="20" borderId="1" xfId="3" applyNumberFormat="1" applyFill="1" applyBorder="1" applyAlignment="1" applyProtection="1">
      <alignment horizontal="center" vertical="center"/>
    </xf>
    <xf numFmtId="165" fontId="3" fillId="20" borderId="1" xfId="1" applyFont="1" applyFill="1" applyBorder="1"/>
    <xf numFmtId="4" fontId="1" fillId="3" borderId="1" xfId="0" applyNumberFormat="1" applyFont="1" applyFill="1" applyBorder="1" applyAlignment="1">
      <alignment horizontal="center" vertical="center"/>
    </xf>
    <xf numFmtId="0" fontId="0" fillId="20" borderId="0" xfId="0" applyFill="1"/>
    <xf numFmtId="0" fontId="28" fillId="20" borderId="1" xfId="0" applyFont="1" applyFill="1" applyBorder="1" applyAlignment="1">
      <alignment vertical="center"/>
    </xf>
    <xf numFmtId="2" fontId="28" fillId="20" borderId="33" xfId="0" applyNumberFormat="1" applyFont="1" applyFill="1" applyBorder="1"/>
    <xf numFmtId="165" fontId="28" fillId="24" borderId="33" xfId="1" applyFont="1" applyFill="1" applyBorder="1"/>
    <xf numFmtId="2" fontId="28" fillId="8" borderId="33" xfId="0" applyNumberFormat="1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vertical="center"/>
    </xf>
    <xf numFmtId="165" fontId="6" fillId="25" borderId="1" xfId="1" applyFont="1" applyFill="1" applyBorder="1"/>
    <xf numFmtId="4" fontId="21" fillId="25" borderId="1" xfId="3" applyNumberFormat="1" applyFill="1" applyBorder="1" applyAlignment="1" applyProtection="1">
      <alignment horizontal="center" vertical="center"/>
    </xf>
    <xf numFmtId="165" fontId="21" fillId="25" borderId="1" xfId="3" applyNumberFormat="1" applyFill="1" applyBorder="1" applyAlignment="1" applyProtection="1">
      <alignment horizontal="center" vertical="center"/>
    </xf>
    <xf numFmtId="165" fontId="3" fillId="25" borderId="1" xfId="1" applyFont="1" applyFill="1" applyBorder="1"/>
    <xf numFmtId="0" fontId="3" fillId="25" borderId="1" xfId="0" applyFont="1" applyFill="1" applyBorder="1" applyAlignment="1">
      <alignment vertical="center"/>
    </xf>
    <xf numFmtId="165" fontId="3" fillId="25" borderId="0" xfId="1" applyFont="1" applyFill="1"/>
    <xf numFmtId="2" fontId="3" fillId="25" borderId="0" xfId="0" applyNumberFormat="1" applyFont="1" applyFill="1" applyAlignment="1">
      <alignment horizontal="center"/>
    </xf>
    <xf numFmtId="12" fontId="3" fillId="0" borderId="0" xfId="0" applyNumberFormat="1" applyFont="1" applyAlignment="1">
      <alignment horizontal="center" vertical="center" wrapText="1"/>
    </xf>
    <xf numFmtId="165" fontId="28" fillId="25" borderId="33" xfId="1" applyFont="1" applyFill="1" applyBorder="1"/>
    <xf numFmtId="165" fontId="3" fillId="0" borderId="0" xfId="1" applyFont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نوفمب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84" zoomScaleNormal="84" zoomScaleSheetLayoutView="75" workbookViewId="0">
      <pane ySplit="3" topLeftCell="A4" activePane="bottomLeft" state="frozen"/>
      <selection pane="bottomLeft" activeCell="C3" sqref="C3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12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44.1" customHeight="1" x14ac:dyDescent="0.4">
      <c r="A1" s="130" t="s">
        <v>152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81">
        <v>45870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79.5" customHeight="1" x14ac:dyDescent="0.3">
      <c r="A3" s="112" t="s">
        <v>18</v>
      </c>
      <c r="B3" s="112" t="s">
        <v>35</v>
      </c>
      <c r="C3" s="112" t="s">
        <v>168</v>
      </c>
      <c r="D3" s="113" t="s">
        <v>34</v>
      </c>
      <c r="E3" s="114" t="s">
        <v>33</v>
      </c>
      <c r="F3" s="114" t="s">
        <v>32</v>
      </c>
      <c r="G3" s="113" t="s">
        <v>57</v>
      </c>
      <c r="H3" s="114" t="s">
        <v>31</v>
      </c>
      <c r="I3" s="113" t="s">
        <v>30</v>
      </c>
      <c r="J3" s="18" t="s">
        <v>12</v>
      </c>
      <c r="K3" s="129" t="s">
        <v>13</v>
      </c>
      <c r="L3" s="112"/>
      <c r="M3" s="112" t="s">
        <v>77</v>
      </c>
      <c r="N3" s="115" t="s">
        <v>2</v>
      </c>
      <c r="O3" s="116" t="s">
        <v>16</v>
      </c>
      <c r="P3" s="113" t="s">
        <v>17</v>
      </c>
    </row>
    <row r="4" spans="1:16" ht="16.8" x14ac:dyDescent="0.25">
      <c r="A4" s="31">
        <v>1</v>
      </c>
      <c r="B4" s="70" t="s">
        <v>128</v>
      </c>
      <c r="C4" s="3"/>
      <c r="D4" s="148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0">
        <f>SUM(D4,VALUE(E4),VALUE(F4),VALUE(G4))</f>
        <v>1422</v>
      </c>
      <c r="K4" s="150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129</v>
      </c>
      <c r="C5" s="25"/>
      <c r="D5" s="151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64">
        <f t="shared" ref="J5:J68" si="0">SUM(D5,VALUE(E5),VALUE(F5),VALUE(G5))</f>
        <v>660776</v>
      </c>
      <c r="K5" s="164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130</v>
      </c>
      <c r="C6" s="25"/>
      <c r="D6" s="151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0</v>
      </c>
      <c r="J6" s="164">
        <f t="shared" si="0"/>
        <v>156526</v>
      </c>
      <c r="K6" s="164">
        <f t="shared" si="1"/>
        <v>120000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82</v>
      </c>
      <c r="C7" s="25"/>
      <c r="D7" s="148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0">
        <f t="shared" si="0"/>
        <v>0</v>
      </c>
      <c r="K7" s="150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82</v>
      </c>
      <c r="C8" s="25"/>
      <c r="D8" s="148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0">
        <f t="shared" si="0"/>
        <v>0</v>
      </c>
      <c r="K8" s="150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82</v>
      </c>
      <c r="C9" s="25"/>
      <c r="D9" s="148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0">
        <f t="shared" si="0"/>
        <v>0</v>
      </c>
      <c r="K9" s="150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82</v>
      </c>
      <c r="C10" s="25"/>
      <c r="D10" s="148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0">
        <f t="shared" si="0"/>
        <v>0</v>
      </c>
      <c r="K10" s="150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82</v>
      </c>
      <c r="C11" s="25"/>
      <c r="D11" s="148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0">
        <f t="shared" si="0"/>
        <v>0</v>
      </c>
      <c r="K11" s="150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82</v>
      </c>
      <c r="C12" s="25"/>
      <c r="D12" s="148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0">
        <f t="shared" si="0"/>
        <v>0</v>
      </c>
      <c r="K12" s="150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82</v>
      </c>
      <c r="C13" s="25"/>
      <c r="D13" s="148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0">
        <f t="shared" si="0"/>
        <v>0</v>
      </c>
      <c r="K13" s="150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82</v>
      </c>
      <c r="C14" s="25"/>
      <c r="D14" s="148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0">
        <f t="shared" si="0"/>
        <v>0</v>
      </c>
      <c r="K14" s="150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82</v>
      </c>
      <c r="C15" s="25"/>
      <c r="D15" s="148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0">
        <f t="shared" si="0"/>
        <v>0</v>
      </c>
      <c r="K15" s="150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82</v>
      </c>
      <c r="C16" s="25"/>
      <c r="D16" s="148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0">
        <f t="shared" si="0"/>
        <v>0</v>
      </c>
      <c r="K16" s="150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82</v>
      </c>
      <c r="C17" s="25"/>
      <c r="D17" s="148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0">
        <f t="shared" si="0"/>
        <v>0</v>
      </c>
      <c r="K17" s="150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2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2">
        <f t="shared" si="2"/>
        <v>818724</v>
      </c>
      <c r="K18" s="152">
        <f t="shared" si="2"/>
        <v>620000</v>
      </c>
      <c r="L18" s="120">
        <f>SUM(K4:K17)</f>
        <v>620000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78</v>
      </c>
      <c r="C19" s="25"/>
      <c r="D19" s="151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0</v>
      </c>
      <c r="J19" s="164">
        <f t="shared" si="0"/>
        <v>57626</v>
      </c>
      <c r="K19" s="164">
        <f t="shared" si="1"/>
        <v>46300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64</v>
      </c>
      <c r="C20" s="25"/>
      <c r="D20" s="151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313</v>
      </c>
      <c r="J20" s="164">
        <f t="shared" si="0"/>
        <v>42963</v>
      </c>
      <c r="K20" s="164">
        <f t="shared" si="1"/>
        <v>34187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91</v>
      </c>
      <c r="C21" s="25"/>
      <c r="D21" s="151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0</v>
      </c>
      <c r="J21" s="164">
        <f t="shared" si="0"/>
        <v>65040</v>
      </c>
      <c r="K21" s="164">
        <f t="shared" si="1"/>
        <v>51750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65</v>
      </c>
      <c r="C22" s="25"/>
      <c r="D22" s="166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7100</v>
      </c>
      <c r="J22" s="164">
        <f t="shared" si="0"/>
        <v>83450</v>
      </c>
      <c r="K22" s="164">
        <f t="shared" si="1"/>
        <v>61900</v>
      </c>
      <c r="L22" s="26"/>
      <c r="M22" s="28"/>
      <c r="N22" s="57"/>
      <c r="O22" s="56"/>
      <c r="P22" s="27"/>
    </row>
    <row r="23" spans="1:16" ht="16.8" x14ac:dyDescent="0.25">
      <c r="A23" s="31">
        <v>5</v>
      </c>
      <c r="B23" s="70" t="s">
        <v>68</v>
      </c>
      <c r="C23" s="25"/>
      <c r="D23" s="151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4">
        <f t="shared" si="0"/>
        <v>69116</v>
      </c>
      <c r="K23" s="164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127</v>
      </c>
      <c r="C24" s="25"/>
      <c r="D24" s="151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2000</v>
      </c>
      <c r="J24" s="164">
        <f t="shared" si="0"/>
        <v>71891</v>
      </c>
      <c r="K24" s="164">
        <f t="shared" si="1"/>
        <v>58000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66</v>
      </c>
      <c r="C25" s="25"/>
      <c r="D25" s="151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687</v>
      </c>
      <c r="J25" s="164">
        <f t="shared" si="0"/>
        <v>42920</v>
      </c>
      <c r="K25" s="164">
        <f t="shared" si="1"/>
        <v>33813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82</v>
      </c>
      <c r="C26" s="25"/>
      <c r="D26" s="151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4">
        <f t="shared" si="0"/>
        <v>0</v>
      </c>
      <c r="K26" s="164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82</v>
      </c>
      <c r="C27" s="25"/>
      <c r="D27" s="151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4">
        <f t="shared" si="0"/>
        <v>0</v>
      </c>
      <c r="K27" s="164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82</v>
      </c>
      <c r="C28" s="25"/>
      <c r="D28" s="151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4">
        <f t="shared" si="0"/>
        <v>0</v>
      </c>
      <c r="K28" s="164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82</v>
      </c>
      <c r="C29" s="25"/>
      <c r="D29" s="151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4">
        <f t="shared" si="0"/>
        <v>0</v>
      </c>
      <c r="K29" s="164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82</v>
      </c>
      <c r="C30" s="78"/>
      <c r="D30" s="151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4">
        <f t="shared" si="0"/>
        <v>0</v>
      </c>
      <c r="K30" s="164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82</v>
      </c>
      <c r="C31" s="25"/>
      <c r="D31" s="151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4">
        <f t="shared" si="0"/>
        <v>0</v>
      </c>
      <c r="K31" s="164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82</v>
      </c>
      <c r="C32" s="25"/>
      <c r="D32" s="151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4">
        <f t="shared" si="0"/>
        <v>0</v>
      </c>
      <c r="K32" s="164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83</v>
      </c>
      <c r="C33" s="30"/>
      <c r="D33" s="151">
        <v>40250</v>
      </c>
      <c r="E33" s="34" t="str">
        <f>HYPERLINK(اضافات!N33)</f>
        <v>14100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64">
        <f t="shared" si="0"/>
        <v>54350</v>
      </c>
      <c r="K33" s="164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67</v>
      </c>
      <c r="C34" s="30"/>
      <c r="D34" s="151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4">
        <f t="shared" si="0"/>
        <v>17639</v>
      </c>
      <c r="K34" s="164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136</v>
      </c>
      <c r="C35" s="30"/>
      <c r="D35" s="151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4">
        <f t="shared" si="0"/>
        <v>16518</v>
      </c>
      <c r="K35" s="164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82</v>
      </c>
      <c r="C36" s="30"/>
      <c r="D36" s="151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4">
        <f t="shared" si="0"/>
        <v>0</v>
      </c>
      <c r="K36" s="164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82</v>
      </c>
      <c r="C37" s="30"/>
      <c r="D37" s="151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4">
        <f t="shared" si="0"/>
        <v>0</v>
      </c>
      <c r="K37" s="164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82</v>
      </c>
      <c r="C38" s="30"/>
      <c r="D38" s="151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4">
        <f t="shared" si="0"/>
        <v>0</v>
      </c>
      <c r="K38" s="164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82</v>
      </c>
      <c r="C39" s="30"/>
      <c r="D39" s="151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4">
        <f t="shared" si="0"/>
        <v>0</v>
      </c>
      <c r="K39" s="164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82</v>
      </c>
      <c r="C40" s="30"/>
      <c r="D40" s="151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4">
        <f t="shared" si="0"/>
        <v>0</v>
      </c>
      <c r="K40" s="164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82</v>
      </c>
      <c r="C41" s="30"/>
      <c r="D41" s="151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4">
        <f t="shared" si="0"/>
        <v>0</v>
      </c>
      <c r="K41" s="164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82</v>
      </c>
      <c r="C42" s="30"/>
      <c r="D42" s="151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4">
        <f t="shared" si="0"/>
        <v>0</v>
      </c>
      <c r="K42" s="164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82</v>
      </c>
      <c r="C43" s="30"/>
      <c r="D43" s="151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4">
        <f t="shared" si="0"/>
        <v>0</v>
      </c>
      <c r="K43" s="164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82</v>
      </c>
      <c r="C44" s="30"/>
      <c r="D44" s="151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4">
        <f t="shared" si="0"/>
        <v>0</v>
      </c>
      <c r="K44" s="164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124</v>
      </c>
      <c r="C45" s="30"/>
      <c r="D45" s="151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5250</v>
      </c>
      <c r="I45" s="93" t="str">
        <f>HYPERLINK(خصومات!L45)</f>
        <v>1834</v>
      </c>
      <c r="J45" s="164">
        <f t="shared" si="0"/>
        <v>12779</v>
      </c>
      <c r="K45" s="164">
        <f t="shared" si="1"/>
        <v>14416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133</v>
      </c>
      <c r="C46" s="30"/>
      <c r="D46" s="151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333</v>
      </c>
      <c r="J46" s="164">
        <f t="shared" si="0"/>
        <v>11655</v>
      </c>
      <c r="K46" s="164">
        <f t="shared" si="1"/>
        <v>9667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198" t="s">
        <v>134</v>
      </c>
      <c r="C47" s="30"/>
      <c r="D47" s="199">
        <v>10000</v>
      </c>
      <c r="E47" s="200" t="str">
        <f>HYPERLINK(اضافات!N47)</f>
        <v>1559</v>
      </c>
      <c r="F47" s="200" t="str">
        <f>HYPERLINK(اضافات!M47)</f>
        <v>0</v>
      </c>
      <c r="G47" s="200" t="str">
        <f>HYPERLINK(اضافات!F47)</f>
        <v>0</v>
      </c>
      <c r="H47" s="200" t="str">
        <f>HYPERLINK(اضافات!O47)</f>
        <v>0</v>
      </c>
      <c r="I47" s="201" t="str">
        <f>HYPERLINK(خصومات!L47)</f>
        <v>6333</v>
      </c>
      <c r="J47" s="202">
        <f t="shared" si="0"/>
        <v>11559</v>
      </c>
      <c r="K47" s="202">
        <f t="shared" si="1"/>
        <v>3667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135</v>
      </c>
      <c r="C48" s="30"/>
      <c r="D48" s="151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1750</v>
      </c>
      <c r="J48" s="164">
        <f t="shared" si="0"/>
        <v>13863</v>
      </c>
      <c r="K48" s="164">
        <f t="shared" si="1"/>
        <v>10250</v>
      </c>
      <c r="L48" s="32"/>
      <c r="M48" s="28"/>
      <c r="N48" s="57"/>
      <c r="O48" s="56"/>
      <c r="P48" s="27"/>
    </row>
    <row r="49" spans="1:16" s="54" customFormat="1" ht="16.8" x14ac:dyDescent="0.25">
      <c r="A49" s="31">
        <v>15</v>
      </c>
      <c r="B49" s="70" t="s">
        <v>149</v>
      </c>
      <c r="C49" s="30"/>
      <c r="D49" s="151">
        <v>8500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64">
        <f t="shared" si="0"/>
        <v>8500</v>
      </c>
      <c r="K49" s="164">
        <f t="shared" si="1"/>
        <v>8500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82</v>
      </c>
      <c r="C50" s="30"/>
      <c r="D50" s="151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0">
        <f t="shared" si="0"/>
        <v>0</v>
      </c>
      <c r="K50" s="150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82</v>
      </c>
      <c r="C51" s="30"/>
      <c r="D51" s="151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0">
        <f t="shared" si="0"/>
        <v>0</v>
      </c>
      <c r="K51" s="150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82</v>
      </c>
      <c r="C52" s="30"/>
      <c r="D52" s="151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0">
        <f t="shared" si="0"/>
        <v>0</v>
      </c>
      <c r="K52" s="150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82</v>
      </c>
      <c r="C53" s="30"/>
      <c r="D53" s="151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0">
        <f t="shared" si="0"/>
        <v>0</v>
      </c>
      <c r="K53" s="150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82</v>
      </c>
      <c r="C54" s="30"/>
      <c r="D54" s="151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0">
        <f t="shared" si="0"/>
        <v>0</v>
      </c>
      <c r="K54" s="150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82</v>
      </c>
      <c r="C55" s="30"/>
      <c r="D55" s="151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0">
        <f t="shared" si="0"/>
        <v>0</v>
      </c>
      <c r="K55" s="150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15</v>
      </c>
      <c r="B56" s="118" t="s">
        <v>79</v>
      </c>
      <c r="C56" s="119"/>
      <c r="D56" s="152">
        <f>SUM(D19:D55)</f>
        <v>471300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2">
        <f t="shared" si="3"/>
        <v>579869</v>
      </c>
      <c r="K56" s="152">
        <f t="shared" si="3"/>
        <v>456200</v>
      </c>
      <c r="L56" s="120">
        <f>SUM(K19:K55)</f>
        <v>456200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71</v>
      </c>
      <c r="C57" s="25"/>
      <c r="D57" s="151">
        <v>128000</v>
      </c>
      <c r="E57" s="34" t="str">
        <f>HYPERLINK(اضافات!N57)</f>
        <v>44284.75</v>
      </c>
      <c r="F57" s="34" t="str">
        <f>HYPERLINK(اضافات!M57)</f>
        <v>2600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10000</v>
      </c>
      <c r="J57" s="164">
        <f t="shared" si="0"/>
        <v>174884.75</v>
      </c>
      <c r="K57" s="164">
        <f t="shared" si="1"/>
        <v>118000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132</v>
      </c>
      <c r="C58" s="25"/>
      <c r="D58" s="151">
        <v>45000</v>
      </c>
      <c r="E58" s="34" t="str">
        <f>HYPERLINK(اضافات!N58)</f>
        <v>14363.75</v>
      </c>
      <c r="F58" s="34" t="str">
        <f>HYPERLINK(اضافات!M58)</f>
        <v>2300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4">
        <f t="shared" si="0"/>
        <v>61663.75</v>
      </c>
      <c r="K58" s="164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95</v>
      </c>
      <c r="C59" s="25"/>
      <c r="D59" s="151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4">
        <f t="shared" si="0"/>
        <v>0</v>
      </c>
      <c r="K59" s="164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95</v>
      </c>
      <c r="C60" s="25"/>
      <c r="D60" s="151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4">
        <f t="shared" si="0"/>
        <v>0</v>
      </c>
      <c r="K60" s="164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95</v>
      </c>
      <c r="C61" s="25"/>
      <c r="D61" s="151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4">
        <f t="shared" si="0"/>
        <v>0</v>
      </c>
      <c r="K61" s="164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70</v>
      </c>
      <c r="C62" s="3"/>
      <c r="D62" s="151">
        <v>38000</v>
      </c>
      <c r="E62" s="85" t="str">
        <f>HYPERLINK(اضافات!N62)</f>
        <v>12522.75</v>
      </c>
      <c r="F62" s="85" t="str">
        <f>HYPERLINK(اضافات!M62)</f>
        <v>2200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4">
        <f t="shared" si="0"/>
        <v>52722.75</v>
      </c>
      <c r="K62" s="164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75</v>
      </c>
      <c r="C63" s="25"/>
      <c r="D63" s="151">
        <v>30000</v>
      </c>
      <c r="E63" s="34" t="str">
        <f>HYPERLINK(اضافات!N63)</f>
        <v>10860.75</v>
      </c>
      <c r="F63" s="34" t="str">
        <f>HYPERLINK(اضافات!M63)</f>
        <v>2000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4">
        <f t="shared" si="0"/>
        <v>42860.75</v>
      </c>
      <c r="K63" s="164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94</v>
      </c>
      <c r="C64" s="25"/>
      <c r="D64" s="151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4">
        <f t="shared" si="0"/>
        <v>0</v>
      </c>
      <c r="K64" s="164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94</v>
      </c>
      <c r="C65" s="25"/>
      <c r="D65" s="151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4">
        <f t="shared" si="0"/>
        <v>0</v>
      </c>
      <c r="K65" s="164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94</v>
      </c>
      <c r="C66" s="25"/>
      <c r="D66" s="151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4">
        <f t="shared" si="0"/>
        <v>0</v>
      </c>
      <c r="K66" s="164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94</v>
      </c>
      <c r="C67" s="25"/>
      <c r="D67" s="151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4">
        <f t="shared" si="0"/>
        <v>0</v>
      </c>
      <c r="K67" s="164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137</v>
      </c>
      <c r="C68" s="25"/>
      <c r="D68" s="151">
        <v>40000</v>
      </c>
      <c r="E68" s="34" t="str">
        <f>HYPERLINK(اضافات!N68)</f>
        <v>13460.75</v>
      </c>
      <c r="F68" s="34" t="str">
        <f>HYPERLINK(اضافات!M68)</f>
        <v>2405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4">
        <f t="shared" si="0"/>
        <v>55865.75</v>
      </c>
      <c r="K68" s="164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131</v>
      </c>
      <c r="C69" s="25"/>
      <c r="D69" s="151">
        <v>18000</v>
      </c>
      <c r="E69" s="34" t="str">
        <f>HYPERLINK(اضافات!N69)</f>
        <v>7871.89</v>
      </c>
      <c r="F69" s="34" t="str">
        <f>HYPERLINK(اضافات!M69)</f>
        <v>2100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4">
        <f t="shared" ref="J69:J117" si="4">SUM(D69,VALUE(E69),VALUE(F69),VALUE(G69))</f>
        <v>27971.89</v>
      </c>
      <c r="K69" s="164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186">
        <v>0</v>
      </c>
      <c r="B70" s="187" t="s">
        <v>96</v>
      </c>
      <c r="C70" s="25"/>
      <c r="D70" s="188">
        <v>0</v>
      </c>
      <c r="E70" s="189" t="str">
        <f>HYPERLINK(اضافات!N70)</f>
        <v>3433.01</v>
      </c>
      <c r="F70" s="189" t="str">
        <f>HYPERLINK(اضافات!M70)</f>
        <v>0</v>
      </c>
      <c r="G70" s="189" t="str">
        <f>HYPERLINK(اضافات!F70)</f>
        <v>0</v>
      </c>
      <c r="H70" s="189" t="str">
        <f>HYPERLINK(اضافات!O70)</f>
        <v>0</v>
      </c>
      <c r="I70" s="190" t="str">
        <f>HYPERLINK(خصومات!L70)</f>
        <v>0</v>
      </c>
      <c r="J70" s="191">
        <f t="shared" si="4"/>
        <v>3433.01</v>
      </c>
      <c r="K70" s="191">
        <f t="shared" si="5"/>
        <v>0</v>
      </c>
      <c r="L70" s="26"/>
      <c r="M70" s="192"/>
      <c r="N70" s="57"/>
      <c r="O70" s="180"/>
      <c r="P70" s="27"/>
    </row>
    <row r="71" spans="1:16" s="51" customFormat="1" ht="16.8" x14ac:dyDescent="0.25">
      <c r="A71" s="31">
        <v>7</v>
      </c>
      <c r="B71" s="70" t="s">
        <v>138</v>
      </c>
      <c r="C71" s="25"/>
      <c r="D71" s="151">
        <v>22000</v>
      </c>
      <c r="E71" s="34" t="str">
        <f>HYPERLINK(اضافات!N71)</f>
        <v>5056</v>
      </c>
      <c r="F71" s="34" t="str">
        <f>HYPERLINK(اضافات!M71)</f>
        <v>2000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4">
        <f t="shared" si="4"/>
        <v>29056</v>
      </c>
      <c r="K71" s="164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8</v>
      </c>
      <c r="B72" s="70" t="s">
        <v>74</v>
      </c>
      <c r="C72" s="25"/>
      <c r="D72" s="151">
        <v>22000</v>
      </c>
      <c r="E72" s="34" t="str">
        <f>HYPERLINK(اضافات!N72)</f>
        <v>9013.75</v>
      </c>
      <c r="F72" s="34" t="str">
        <f>HYPERLINK(اضافات!M72)</f>
        <v>2100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4">
        <f t="shared" si="4"/>
        <v>33113.75</v>
      </c>
      <c r="K72" s="164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9</v>
      </c>
      <c r="B73" s="70" t="s">
        <v>125</v>
      </c>
      <c r="C73" s="25"/>
      <c r="D73" s="151">
        <v>15000</v>
      </c>
      <c r="E73" s="34" t="str">
        <f>HYPERLINK(اضافات!N73)</f>
        <v>5930.15</v>
      </c>
      <c r="F73" s="34" t="str">
        <f>HYPERLINK(اضافات!M73)</f>
        <v>2000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4">
        <f t="shared" si="4"/>
        <v>22930.15</v>
      </c>
      <c r="K73" s="164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10</v>
      </c>
      <c r="B74" s="70" t="s">
        <v>73</v>
      </c>
      <c r="C74" s="25"/>
      <c r="D74" s="151">
        <v>15000</v>
      </c>
      <c r="E74" s="34" t="str">
        <f>HYPERLINK(اضافات!N74)</f>
        <v>6223.15</v>
      </c>
      <c r="F74" s="34" t="str">
        <f>HYPERLINK(اضافات!M74)</f>
        <v>2415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4">
        <f t="shared" si="4"/>
        <v>23638.15</v>
      </c>
      <c r="K74" s="164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11</v>
      </c>
      <c r="B75" s="70" t="s">
        <v>144</v>
      </c>
      <c r="C75" s="25"/>
      <c r="D75" s="151">
        <v>14000</v>
      </c>
      <c r="E75" s="34" t="str">
        <f>HYPERLINK(اضافات!N75)</f>
        <v>5852</v>
      </c>
      <c r="F75" s="34" t="str">
        <f>HYPERLINK(اضافات!M75)</f>
        <v>2315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4">
        <f t="shared" si="4"/>
        <v>22167</v>
      </c>
      <c r="K75" s="164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12</v>
      </c>
      <c r="B76" s="70" t="s">
        <v>139</v>
      </c>
      <c r="C76" s="25"/>
      <c r="D76" s="151">
        <v>13500</v>
      </c>
      <c r="E76" s="34" t="str">
        <f>HYPERLINK(اضافات!N76)</f>
        <v>5618</v>
      </c>
      <c r="F76" s="34" t="str">
        <f>HYPERLINK(اضافات!M76)</f>
        <v>2500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4">
        <f t="shared" si="4"/>
        <v>21618</v>
      </c>
      <c r="K76" s="164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13</v>
      </c>
      <c r="B77" s="70" t="s">
        <v>140</v>
      </c>
      <c r="C77" s="25"/>
      <c r="D77" s="151">
        <v>12000</v>
      </c>
      <c r="E77" s="34" t="str">
        <f>HYPERLINK(اضافات!N77)</f>
        <v>4772</v>
      </c>
      <c r="F77" s="34" t="str">
        <f>HYPERLINK(اضافات!M77)</f>
        <v>2000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4">
        <f t="shared" si="4"/>
        <v>18772</v>
      </c>
      <c r="K77" s="164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14</v>
      </c>
      <c r="B78" s="70" t="s">
        <v>141</v>
      </c>
      <c r="C78" s="25"/>
      <c r="D78" s="151">
        <v>11000</v>
      </c>
      <c r="E78" s="34" t="str">
        <f>HYPERLINK(اضافات!N78)</f>
        <v>4893</v>
      </c>
      <c r="F78" s="34" t="str">
        <f>HYPERLINK(اضافات!M78)</f>
        <v>2300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4">
        <f t="shared" si="4"/>
        <v>18193</v>
      </c>
      <c r="K78" s="164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15</v>
      </c>
      <c r="B79" s="70" t="s">
        <v>76</v>
      </c>
      <c r="C79" s="25"/>
      <c r="D79" s="151">
        <v>11000</v>
      </c>
      <c r="E79" s="34" t="str">
        <f>HYPERLINK(اضافات!N79)</f>
        <v>4288</v>
      </c>
      <c r="F79" s="34" t="str">
        <f>HYPERLINK(اضافات!M79)</f>
        <v>2200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4">
        <f t="shared" si="4"/>
        <v>17488</v>
      </c>
      <c r="K79" s="164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1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4">
        <f t="shared" si="4"/>
        <v>0</v>
      </c>
      <c r="K80" s="164">
        <f t="shared" si="5"/>
        <v>0</v>
      </c>
      <c r="L80" s="26"/>
      <c r="M80" s="28" t="s">
        <v>146</v>
      </c>
      <c r="N80" s="57"/>
      <c r="O80" s="56"/>
      <c r="P80" s="27"/>
    </row>
    <row r="81" spans="1:16" s="55" customFormat="1" ht="16.8" x14ac:dyDescent="0.25">
      <c r="A81" s="31">
        <v>16</v>
      </c>
      <c r="B81" s="70" t="s">
        <v>142</v>
      </c>
      <c r="C81" s="25"/>
      <c r="D81" s="151">
        <v>16000</v>
      </c>
      <c r="E81" s="34" t="str">
        <f>HYPERLINK(اضافات!N81)</f>
        <v>6857</v>
      </c>
      <c r="F81" s="34" t="str">
        <f>HYPERLINK(اضافات!M81)</f>
        <v>2550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4">
        <f t="shared" si="4"/>
        <v>25407</v>
      </c>
      <c r="K81" s="164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17</v>
      </c>
      <c r="B82" s="70" t="s">
        <v>126</v>
      </c>
      <c r="C82" s="25"/>
      <c r="D82" s="151">
        <v>10000</v>
      </c>
      <c r="E82" s="34" t="str">
        <f>HYPERLINK(اضافات!N82)</f>
        <v>3711</v>
      </c>
      <c r="F82" s="34" t="str">
        <f>HYPERLINK(اضافات!M82)</f>
        <v>2000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4">
        <f t="shared" si="4"/>
        <v>15711</v>
      </c>
      <c r="K82" s="164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18</v>
      </c>
      <c r="B83" s="70" t="s">
        <v>143</v>
      </c>
      <c r="C83" s="25"/>
      <c r="D83" s="166">
        <v>9000</v>
      </c>
      <c r="E83" s="34" t="str">
        <f>HYPERLINK(اضافات!N83)</f>
        <v>2286</v>
      </c>
      <c r="F83" s="34" t="str">
        <f>HYPERLINK(اضافات!M83)</f>
        <v>2000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4">
        <f t="shared" si="4"/>
        <v>13286</v>
      </c>
      <c r="K83" s="164">
        <f t="shared" si="5"/>
        <v>9000</v>
      </c>
      <c r="L83" s="26"/>
      <c r="M83" s="28"/>
      <c r="N83" s="57"/>
      <c r="O83" s="180"/>
      <c r="P83" s="27"/>
    </row>
    <row r="84" spans="1:16" s="55" customFormat="1" ht="16.8" x14ac:dyDescent="0.25">
      <c r="A84" s="169">
        <v>19</v>
      </c>
      <c r="B84" s="170" t="s">
        <v>148</v>
      </c>
      <c r="C84" s="171"/>
      <c r="D84" s="172">
        <v>3700</v>
      </c>
      <c r="E84" s="173" t="str">
        <f>HYPERLINK(اضافات!N84)</f>
        <v>1102</v>
      </c>
      <c r="F84" s="173" t="str">
        <f>HYPERLINK(اضافات!M84)</f>
        <v>0</v>
      </c>
      <c r="G84" s="173" t="str">
        <f>HYPERLINK(اضافات!F84)</f>
        <v>0</v>
      </c>
      <c r="H84" s="173" t="str">
        <f>HYPERLINK(اضافات!O84)</f>
        <v>0</v>
      </c>
      <c r="I84" s="174" t="str">
        <f>HYPERLINK(خصومات!L84)</f>
        <v>3700</v>
      </c>
      <c r="J84" s="175">
        <f t="shared" si="4"/>
        <v>4802</v>
      </c>
      <c r="K84" s="176">
        <f t="shared" si="5"/>
        <v>0</v>
      </c>
      <c r="L84" s="26"/>
      <c r="M84" s="28"/>
      <c r="N84" s="57"/>
      <c r="O84" s="56"/>
      <c r="P84" s="27"/>
    </row>
    <row r="85" spans="1:16" s="55" customFormat="1" x14ac:dyDescent="0.25">
      <c r="A85" s="31">
        <v>20</v>
      </c>
      <c r="B85" s="82" t="s">
        <v>163</v>
      </c>
      <c r="C85" s="25"/>
      <c r="D85" s="151">
        <v>13000</v>
      </c>
      <c r="E85" s="34" t="str">
        <f>HYPERLINK(اضافات!N85)</f>
        <v>5171.5</v>
      </c>
      <c r="F85" s="34" t="str">
        <f>HYPERLINK(اضافات!M85)</f>
        <v>2100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9100</v>
      </c>
      <c r="J85" s="164">
        <f t="shared" si="4"/>
        <v>20271.5</v>
      </c>
      <c r="K85" s="164">
        <f t="shared" si="5"/>
        <v>3900</v>
      </c>
      <c r="L85" s="26"/>
      <c r="M85" s="28"/>
      <c r="N85" s="57"/>
      <c r="O85" s="180" t="s">
        <v>167</v>
      </c>
      <c r="P85" s="27"/>
    </row>
    <row r="86" spans="1:16" s="55" customFormat="1" ht="16.8" hidden="1" x14ac:dyDescent="0.25">
      <c r="A86" s="31"/>
      <c r="B86" s="70" t="s">
        <v>82</v>
      </c>
      <c r="C86" s="25"/>
      <c r="D86" s="151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0">
        <f t="shared" si="4"/>
        <v>0</v>
      </c>
      <c r="K86" s="150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82</v>
      </c>
      <c r="C87" s="25"/>
      <c r="D87" s="151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0">
        <f t="shared" si="4"/>
        <v>0</v>
      </c>
      <c r="K87" s="150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82</v>
      </c>
      <c r="C88" s="25"/>
      <c r="D88" s="151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0">
        <f t="shared" si="4"/>
        <v>0</v>
      </c>
      <c r="K88" s="150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82</v>
      </c>
      <c r="C89" s="25"/>
      <c r="D89" s="151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0">
        <f t="shared" si="4"/>
        <v>0</v>
      </c>
      <c r="K89" s="150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82</v>
      </c>
      <c r="C90" s="25"/>
      <c r="D90" s="151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0">
        <f t="shared" si="4"/>
        <v>0</v>
      </c>
      <c r="K90" s="150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82</v>
      </c>
      <c r="C91" s="25"/>
      <c r="D91" s="151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0">
        <f t="shared" si="4"/>
        <v>0</v>
      </c>
      <c r="K91" s="150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82</v>
      </c>
      <c r="C92" s="25"/>
      <c r="D92" s="151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0">
        <f t="shared" si="4"/>
        <v>0</v>
      </c>
      <c r="K92" s="150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82</v>
      </c>
      <c r="C93" s="25"/>
      <c r="D93" s="151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0">
        <f t="shared" si="4"/>
        <v>0</v>
      </c>
      <c r="K93" s="150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82</v>
      </c>
      <c r="C94" s="25"/>
      <c r="D94" s="151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0">
        <f t="shared" si="4"/>
        <v>0</v>
      </c>
      <c r="K94" s="150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82</v>
      </c>
      <c r="C95" s="25"/>
      <c r="D95" s="151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0">
        <f t="shared" si="4"/>
        <v>0</v>
      </c>
      <c r="K95" s="150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82</v>
      </c>
      <c r="C96" s="25"/>
      <c r="D96" s="151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0">
        <f t="shared" si="4"/>
        <v>0</v>
      </c>
      <c r="K96" s="150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82</v>
      </c>
      <c r="C97" s="25"/>
      <c r="D97" s="151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0">
        <f t="shared" si="4"/>
        <v>0</v>
      </c>
      <c r="K97" s="150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82</v>
      </c>
      <c r="C98" s="25"/>
      <c r="D98" s="151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0">
        <f t="shared" si="4"/>
        <v>0</v>
      </c>
      <c r="K98" s="150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82</v>
      </c>
      <c r="C99" s="25"/>
      <c r="D99" s="151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0">
        <f t="shared" si="4"/>
        <v>0</v>
      </c>
      <c r="K99" s="150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82</v>
      </c>
      <c r="C100" s="25"/>
      <c r="D100" s="151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0">
        <f t="shared" si="4"/>
        <v>0</v>
      </c>
      <c r="K100" s="150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2">
        <f>SUM(D57:D100)</f>
        <v>486200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49">
        <f t="shared" si="6"/>
        <v>705856.20000000007</v>
      </c>
      <c r="K101" s="149">
        <f t="shared" si="6"/>
        <v>461479.5</v>
      </c>
      <c r="L101" s="120">
        <f>SUM(K57:K100)</f>
        <v>461479.5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85</v>
      </c>
      <c r="C102" s="25"/>
      <c r="D102" s="151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4">
        <f t="shared" si="4"/>
        <v>45000</v>
      </c>
      <c r="K102" s="164">
        <f t="shared" ref="K102:K117" si="7">VALUE(D102)+VALUE(G102)+VALUE(H102)-VALUE(I102)</f>
        <v>45000</v>
      </c>
      <c r="L102" s="26"/>
      <c r="M102" s="28" t="s">
        <v>146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86</v>
      </c>
      <c r="C103" s="25"/>
      <c r="D103" s="151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4">
        <f t="shared" si="4"/>
        <v>30000</v>
      </c>
      <c r="K103" s="164">
        <f t="shared" si="7"/>
        <v>30000</v>
      </c>
      <c r="L103" s="26"/>
      <c r="M103" s="28" t="s">
        <v>146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87</v>
      </c>
      <c r="C104" s="25"/>
      <c r="D104" s="151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4">
        <f t="shared" si="4"/>
        <v>35000</v>
      </c>
      <c r="K104" s="164">
        <f t="shared" si="7"/>
        <v>35000</v>
      </c>
      <c r="L104" s="26"/>
      <c r="M104" s="28" t="s">
        <v>146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88</v>
      </c>
      <c r="C105" s="25"/>
      <c r="D105" s="151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4">
        <f t="shared" si="4"/>
        <v>23045</v>
      </c>
      <c r="K105" s="164">
        <f t="shared" si="7"/>
        <v>20000</v>
      </c>
      <c r="L105" s="26"/>
      <c r="M105" s="28" t="s">
        <v>147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72</v>
      </c>
      <c r="C106" s="163"/>
      <c r="D106" s="166">
        <v>32000</v>
      </c>
      <c r="E106" s="34" t="str">
        <f>HYPERLINK(اضافات!N106)</f>
        <v>0</v>
      </c>
      <c r="F106" s="34" t="str">
        <f>HYPERLINK(اضافات!M106)</f>
        <v>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1227</v>
      </c>
      <c r="J106" s="164">
        <f t="shared" si="4"/>
        <v>32000</v>
      </c>
      <c r="K106" s="164">
        <f t="shared" si="7"/>
        <v>30773</v>
      </c>
      <c r="L106" s="26"/>
      <c r="M106" s="28" t="s">
        <v>146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145</v>
      </c>
      <c r="C107" s="25"/>
      <c r="D107" s="151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4">
        <f t="shared" si="4"/>
        <v>25000</v>
      </c>
      <c r="K107" s="164">
        <f t="shared" si="7"/>
        <v>25000</v>
      </c>
      <c r="L107" s="26"/>
      <c r="M107" s="28" t="s">
        <v>146</v>
      </c>
      <c r="N107" s="57"/>
      <c r="O107" s="56"/>
      <c r="P107" s="27"/>
    </row>
    <row r="108" spans="1:16" s="55" customFormat="1" ht="16.8" x14ac:dyDescent="0.25">
      <c r="A108" s="31">
        <v>7</v>
      </c>
      <c r="B108" s="70" t="s">
        <v>166</v>
      </c>
      <c r="C108" s="25"/>
      <c r="D108" s="151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4">
        <f t="shared" si="4"/>
        <v>0</v>
      </c>
      <c r="K108" s="164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82</v>
      </c>
      <c r="C109" s="25"/>
      <c r="D109" s="148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0">
        <f t="shared" si="4"/>
        <v>0</v>
      </c>
      <c r="K109" s="150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82</v>
      </c>
      <c r="C110" s="25"/>
      <c r="D110" s="148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0">
        <f t="shared" si="4"/>
        <v>0</v>
      </c>
      <c r="K110" s="150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82</v>
      </c>
      <c r="C111" s="25"/>
      <c r="D111" s="148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0">
        <f t="shared" si="4"/>
        <v>0</v>
      </c>
      <c r="K111" s="150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82</v>
      </c>
      <c r="C112" s="25"/>
      <c r="D112" s="148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0">
        <f t="shared" si="4"/>
        <v>0</v>
      </c>
      <c r="K112" s="150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82</v>
      </c>
      <c r="C113" s="25"/>
      <c r="D113" s="148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0">
        <f t="shared" si="4"/>
        <v>0</v>
      </c>
      <c r="K113" s="150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82</v>
      </c>
      <c r="C114" s="25"/>
      <c r="D114" s="148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0">
        <f t="shared" si="4"/>
        <v>0</v>
      </c>
      <c r="K114" s="150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82</v>
      </c>
      <c r="C115" s="25"/>
      <c r="D115" s="148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0">
        <f t="shared" si="4"/>
        <v>0</v>
      </c>
      <c r="K115" s="150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82</v>
      </c>
      <c r="C116" s="25"/>
      <c r="D116" s="148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0">
        <f t="shared" si="4"/>
        <v>0</v>
      </c>
      <c r="K116" s="150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82</v>
      </c>
      <c r="C117" s="25"/>
      <c r="D117" s="148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0">
        <f t="shared" si="4"/>
        <v>0</v>
      </c>
      <c r="K117" s="150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84</v>
      </c>
      <c r="C118" s="119"/>
      <c r="D118" s="152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2">
        <f t="shared" si="8"/>
        <v>190045</v>
      </c>
      <c r="K118" s="152">
        <f t="shared" si="8"/>
        <v>185773</v>
      </c>
      <c r="L118" s="120">
        <f>SUM(K102:K117)</f>
        <v>185773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38</v>
      </c>
      <c r="B119" s="75" t="s">
        <v>81</v>
      </c>
      <c r="C119" s="74"/>
      <c r="D119" s="153">
        <f>SUM(D18,D56,D101)</f>
        <v>1577500</v>
      </c>
      <c r="E119" s="74">
        <f t="shared" ref="E119:J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3">
        <f t="shared" si="10"/>
        <v>2104449.2000000002</v>
      </c>
      <c r="K119" s="153">
        <f>SUM(K18,K56,K101)</f>
        <v>1537679.5</v>
      </c>
      <c r="L119" s="74">
        <f>SUM(L18,L56,L101)</f>
        <v>1537679.5</v>
      </c>
      <c r="M119" s="74"/>
      <c r="N119" s="13"/>
      <c r="O119" s="21"/>
      <c r="P119" s="8"/>
    </row>
    <row r="120" spans="1:16" ht="34.799999999999997" x14ac:dyDescent="0.25">
      <c r="A120" s="76">
        <f>SUM(A18,A56,A101,A118)</f>
        <v>44</v>
      </c>
      <c r="B120" s="75" t="s">
        <v>120</v>
      </c>
      <c r="C120" s="74"/>
      <c r="D120" s="154">
        <f t="shared" ref="D120:K120" si="11">SUM(D18,D56,D101,D118)</f>
        <v>1764500</v>
      </c>
      <c r="E120" s="76">
        <f t="shared" si="11"/>
        <v>0</v>
      </c>
      <c r="F120" s="76">
        <f t="shared" si="11"/>
        <v>0</v>
      </c>
      <c r="G120" s="76">
        <f t="shared" si="11"/>
        <v>0</v>
      </c>
      <c r="H120" s="76">
        <f t="shared" si="11"/>
        <v>0</v>
      </c>
      <c r="I120" s="76">
        <f t="shared" si="11"/>
        <v>0</v>
      </c>
      <c r="J120" s="154">
        <f t="shared" si="11"/>
        <v>2294494.2000000002</v>
      </c>
      <c r="K120" s="154">
        <f t="shared" si="11"/>
        <v>1723452.5</v>
      </c>
      <c r="L120" s="76">
        <f>SUM(L18,L56,L101,L118)</f>
        <v>1723452.5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46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opLeftCell="A46" zoomScale="84" zoomScaleNormal="84" workbookViewId="0">
      <selection activeCell="F120" sqref="F120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56.6640625" customWidth="1"/>
  </cols>
  <sheetData>
    <row r="1" spans="1:17" ht="16.2" thickBot="1" x14ac:dyDescent="0.3">
      <c r="A1" s="209" t="s">
        <v>19</v>
      </c>
      <c r="B1" s="210"/>
    </row>
    <row r="2" spans="1:17" ht="66.599999999999994" thickBot="1" x14ac:dyDescent="0.3">
      <c r="A2" s="135" t="s">
        <v>5</v>
      </c>
      <c r="B2" s="136" t="s">
        <v>153</v>
      </c>
      <c r="C2" s="137" t="s">
        <v>36</v>
      </c>
      <c r="D2" s="137" t="s">
        <v>37</v>
      </c>
      <c r="E2" s="137" t="s">
        <v>38</v>
      </c>
      <c r="F2" s="137" t="s">
        <v>57</v>
      </c>
      <c r="G2" s="137" t="s">
        <v>59</v>
      </c>
      <c r="H2" s="137" t="s">
        <v>58</v>
      </c>
      <c r="I2" s="137" t="s">
        <v>39</v>
      </c>
      <c r="J2" s="137" t="s">
        <v>40</v>
      </c>
      <c r="K2" s="137" t="s">
        <v>41</v>
      </c>
      <c r="L2" s="137" t="s">
        <v>42</v>
      </c>
      <c r="M2" s="138" t="s">
        <v>43</v>
      </c>
      <c r="N2" s="138" t="s">
        <v>44</v>
      </c>
      <c r="O2" s="138" t="s">
        <v>45</v>
      </c>
      <c r="P2" s="138" t="s">
        <v>46</v>
      </c>
      <c r="Q2" s="145" t="s">
        <v>16</v>
      </c>
    </row>
    <row r="3" spans="1:17" ht="15.6" x14ac:dyDescent="0.3">
      <c r="A3" s="146"/>
      <c r="B3" s="146" t="s">
        <v>60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7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7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7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7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7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7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7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6" t="s">
        <v>61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67"/>
      <c r="O18" s="146"/>
      <c r="P18" s="167"/>
      <c r="Q18" s="146"/>
    </row>
    <row r="19" spans="1:17" ht="15" x14ac:dyDescent="0.25">
      <c r="A19">
        <f>مرتبات!A19</f>
        <v>1</v>
      </c>
      <c r="B19" s="147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7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7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68">
        <v>11400</v>
      </c>
      <c r="K24" s="168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7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7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7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7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7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5250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14100</v>
      </c>
      <c r="O33" s="80">
        <f t="shared" si="2"/>
        <v>0</v>
      </c>
      <c r="P33" s="97">
        <f t="shared" si="3"/>
        <v>14100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7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7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7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7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7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7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156">
        <v>5250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5250</v>
      </c>
      <c r="P45" s="97">
        <f t="shared" si="3"/>
        <v>7029</v>
      </c>
      <c r="Q45" s="197" t="s">
        <v>154</v>
      </c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7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x14ac:dyDescent="0.25">
      <c r="A49">
        <f>مرتبات!A49</f>
        <v>15</v>
      </c>
      <c r="B49" s="147" t="str">
        <f>مرتبات!B49</f>
        <v>عمرو محمد عبدالحليم أبو سليم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7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7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7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15</v>
      </c>
      <c r="B56" s="146" t="s">
        <v>89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67"/>
      <c r="O56" s="146"/>
      <c r="P56" s="167"/>
      <c r="Q56" s="146"/>
    </row>
    <row r="57" spans="1:17" ht="15" x14ac:dyDescent="0.25">
      <c r="A57">
        <f>مرتبات!A57</f>
        <v>1</v>
      </c>
      <c r="B57" s="147" t="str">
        <f>مرتبات!B57</f>
        <v>أ/دعاء عبد الدايم إبراهيم نصار</v>
      </c>
      <c r="C57" s="97">
        <v>600</v>
      </c>
      <c r="D57" s="97">
        <v>2000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2600</v>
      </c>
      <c r="N57" s="97">
        <f t="shared" si="1"/>
        <v>44284.75</v>
      </c>
      <c r="O57" s="80">
        <f t="shared" si="2"/>
        <v>0</v>
      </c>
      <c r="P57" s="97">
        <f t="shared" si="3"/>
        <v>46884.75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2000</v>
      </c>
      <c r="E58" s="96">
        <v>0</v>
      </c>
      <c r="F58" s="96">
        <v>0</v>
      </c>
      <c r="G58" s="96">
        <v>0</v>
      </c>
      <c r="H58" s="96">
        <v>0</v>
      </c>
      <c r="I58" s="155">
        <v>4313.75</v>
      </c>
      <c r="J58" s="96">
        <v>9559</v>
      </c>
      <c r="K58" s="96">
        <v>491</v>
      </c>
      <c r="L58" s="96">
        <v>0</v>
      </c>
      <c r="M58" s="81">
        <f t="shared" si="0"/>
        <v>2300</v>
      </c>
      <c r="N58" s="96">
        <f t="shared" si="1"/>
        <v>14363.75</v>
      </c>
      <c r="O58" s="81">
        <f t="shared" si="2"/>
        <v>0</v>
      </c>
      <c r="P58" s="96">
        <f t="shared" si="3"/>
        <v>16663.75</v>
      </c>
      <c r="Q58" s="81"/>
    </row>
    <row r="59" spans="1:17" ht="15" hidden="1" x14ac:dyDescent="0.25">
      <c r="A59">
        <f>مرتبات!A59</f>
        <v>0</v>
      </c>
      <c r="B59" s="147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7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2200</v>
      </c>
      <c r="E62" s="96">
        <v>0</v>
      </c>
      <c r="F62" s="96">
        <v>0</v>
      </c>
      <c r="G62" s="96">
        <v>0</v>
      </c>
      <c r="H62" s="96">
        <v>0</v>
      </c>
      <c r="I62" s="155">
        <v>4313.75</v>
      </c>
      <c r="J62" s="96">
        <v>7619</v>
      </c>
      <c r="K62" s="96">
        <v>590</v>
      </c>
      <c r="L62" s="96">
        <v>0</v>
      </c>
      <c r="M62" s="81">
        <f t="shared" si="0"/>
        <v>2200</v>
      </c>
      <c r="N62" s="96">
        <f t="shared" si="1"/>
        <v>12522.75</v>
      </c>
      <c r="O62" s="81">
        <f t="shared" si="2"/>
        <v>0</v>
      </c>
      <c r="P62" s="96">
        <f t="shared" si="3"/>
        <v>14722.75</v>
      </c>
      <c r="Q62" s="81"/>
    </row>
    <row r="63" spans="1:17" ht="15" x14ac:dyDescent="0.25">
      <c r="A63">
        <f>مرتبات!A63</f>
        <v>4</v>
      </c>
      <c r="B63" s="147" t="str">
        <f>مرتبات!B63</f>
        <v>أ/ نيرمين عصمت محمد حجازي</v>
      </c>
      <c r="C63" s="97">
        <v>0</v>
      </c>
      <c r="D63" s="97">
        <v>2000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2000</v>
      </c>
      <c r="N63" s="97">
        <f t="shared" si="1"/>
        <v>10860.75</v>
      </c>
      <c r="O63" s="80">
        <f t="shared" si="2"/>
        <v>0</v>
      </c>
      <c r="P63" s="97">
        <f t="shared" si="3"/>
        <v>12860.75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7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7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2200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2405</v>
      </c>
      <c r="N68" s="96">
        <f t="shared" si="1"/>
        <v>13460.75</v>
      </c>
      <c r="O68" s="81">
        <f t="shared" si="2"/>
        <v>0</v>
      </c>
      <c r="P68" s="96">
        <f t="shared" si="3"/>
        <v>15865.75</v>
      </c>
      <c r="Q68" s="81"/>
    </row>
    <row r="69" spans="1:17" ht="15" x14ac:dyDescent="0.25">
      <c r="A69">
        <f>مرتبات!A69</f>
        <v>6</v>
      </c>
      <c r="B69" s="147" t="str">
        <f>مرتبات!B69</f>
        <v>أ/حازم ابراهيم عبد الحميد محمد فتاتة</v>
      </c>
      <c r="C69" s="97">
        <v>0</v>
      </c>
      <c r="D69" s="97">
        <v>2100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2100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9971.89</v>
      </c>
      <c r="Q69" s="80"/>
    </row>
    <row r="70" spans="1:17" ht="15" x14ac:dyDescent="0.25">
      <c r="A70" s="193">
        <f>مرتبات!A70</f>
        <v>0</v>
      </c>
      <c r="B70" s="194" t="str">
        <f>مرتبات!B70</f>
        <v xml:space="preserve">أ/أحمد سمير حسن السيد </v>
      </c>
      <c r="C70" s="157">
        <v>0</v>
      </c>
      <c r="D70" s="157">
        <v>0</v>
      </c>
      <c r="E70" s="157">
        <v>0</v>
      </c>
      <c r="F70" s="157">
        <v>0</v>
      </c>
      <c r="G70" s="157">
        <v>0</v>
      </c>
      <c r="H70" s="157">
        <v>0</v>
      </c>
      <c r="I70" s="157">
        <v>3433.01</v>
      </c>
      <c r="J70" s="157">
        <v>0</v>
      </c>
      <c r="K70" s="157">
        <v>0</v>
      </c>
      <c r="L70" s="157">
        <v>0</v>
      </c>
      <c r="M70" s="195">
        <f t="shared" si="4"/>
        <v>0</v>
      </c>
      <c r="N70" s="157">
        <f t="shared" si="5"/>
        <v>3433.01</v>
      </c>
      <c r="O70" s="195">
        <f t="shared" si="6"/>
        <v>0</v>
      </c>
      <c r="P70" s="157">
        <f t="shared" si="7"/>
        <v>3433.01</v>
      </c>
      <c r="Q70" s="195" t="s">
        <v>155</v>
      </c>
    </row>
    <row r="71" spans="1:17" ht="15" x14ac:dyDescent="0.25">
      <c r="A71">
        <f>مرتبات!A71</f>
        <v>7</v>
      </c>
      <c r="B71" s="147" t="str">
        <f>مرتبات!B71</f>
        <v>أ/إيمان صبحى شكرى</v>
      </c>
      <c r="C71" s="97">
        <v>0</v>
      </c>
      <c r="D71" s="97">
        <v>2000</v>
      </c>
      <c r="E71" s="97">
        <v>0</v>
      </c>
      <c r="F71" s="97">
        <v>0</v>
      </c>
      <c r="G71" s="97">
        <v>0</v>
      </c>
      <c r="H71" s="97">
        <v>0</v>
      </c>
      <c r="I71" s="196">
        <v>0</v>
      </c>
      <c r="J71" s="97">
        <v>3634</v>
      </c>
      <c r="K71" s="97">
        <v>1422</v>
      </c>
      <c r="L71" s="97">
        <v>0</v>
      </c>
      <c r="M71" s="80">
        <f t="shared" si="4"/>
        <v>2000</v>
      </c>
      <c r="N71" s="97">
        <f t="shared" si="5"/>
        <v>5056</v>
      </c>
      <c r="O71" s="80">
        <f t="shared" si="6"/>
        <v>0</v>
      </c>
      <c r="P71" s="97">
        <f t="shared" si="7"/>
        <v>7056</v>
      </c>
      <c r="Q71" s="80"/>
    </row>
    <row r="72" spans="1:17" ht="15" x14ac:dyDescent="0.25">
      <c r="A72">
        <f>مرتبات!A72</f>
        <v>8</v>
      </c>
      <c r="B72" s="82" t="str">
        <f>مرتبات!B72</f>
        <v>أ/شريف شكرى محمد</v>
      </c>
      <c r="C72" s="96">
        <v>0</v>
      </c>
      <c r="D72" s="96">
        <v>2100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2100</v>
      </c>
      <c r="N72" s="96">
        <f t="shared" si="5"/>
        <v>9013.75</v>
      </c>
      <c r="O72" s="81">
        <f t="shared" si="6"/>
        <v>0</v>
      </c>
      <c r="P72" s="96">
        <f t="shared" si="7"/>
        <v>11113.75</v>
      </c>
      <c r="Q72" s="81"/>
    </row>
    <row r="73" spans="1:17" ht="15" x14ac:dyDescent="0.25">
      <c r="A73">
        <f>مرتبات!A73</f>
        <v>9</v>
      </c>
      <c r="B73" s="147" t="str">
        <f>مرتبات!B73</f>
        <v>أ/محمد حسن محمد كامل</v>
      </c>
      <c r="C73" s="97">
        <v>0</v>
      </c>
      <c r="D73" s="97">
        <v>2000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2000</v>
      </c>
      <c r="N73" s="97">
        <f t="shared" si="5"/>
        <v>5930.15</v>
      </c>
      <c r="O73" s="80">
        <f t="shared" si="6"/>
        <v>0</v>
      </c>
      <c r="P73" s="97">
        <f t="shared" si="7"/>
        <v>7930.15</v>
      </c>
      <c r="Q73" s="80"/>
    </row>
    <row r="74" spans="1:17" ht="15" x14ac:dyDescent="0.25">
      <c r="A74">
        <f>مرتبات!A74</f>
        <v>10</v>
      </c>
      <c r="B74" s="82" t="str">
        <f>مرتبات!B74</f>
        <v>أ/سامي ابراهيم محمد</v>
      </c>
      <c r="C74" s="96">
        <v>315</v>
      </c>
      <c r="D74" s="96">
        <v>2100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2415</v>
      </c>
      <c r="N74" s="96">
        <f t="shared" si="5"/>
        <v>6223.15</v>
      </c>
      <c r="O74" s="81">
        <f t="shared" si="6"/>
        <v>0</v>
      </c>
      <c r="P74" s="96">
        <f t="shared" si="7"/>
        <v>8638.15</v>
      </c>
      <c r="Q74" s="81"/>
    </row>
    <row r="75" spans="1:17" ht="15" x14ac:dyDescent="0.25">
      <c r="A75">
        <f>مرتبات!A75</f>
        <v>11</v>
      </c>
      <c r="B75" s="147" t="str">
        <f>مرتبات!B75</f>
        <v>أ/محمود على محمود حسين</v>
      </c>
      <c r="C75" s="97">
        <v>315</v>
      </c>
      <c r="D75" s="97">
        <v>2000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2315</v>
      </c>
      <c r="N75" s="97">
        <f t="shared" si="5"/>
        <v>5852</v>
      </c>
      <c r="O75" s="80">
        <f t="shared" si="6"/>
        <v>0</v>
      </c>
      <c r="P75" s="97">
        <f t="shared" si="7"/>
        <v>8167</v>
      </c>
      <c r="Q75" s="80"/>
    </row>
    <row r="76" spans="1:17" ht="15" x14ac:dyDescent="0.25">
      <c r="A76">
        <f>مرتبات!A76</f>
        <v>12</v>
      </c>
      <c r="B76" s="82" t="str">
        <f>مرتبات!B76</f>
        <v>أ/عمرو عبد الكريم صقر</v>
      </c>
      <c r="C76" s="96">
        <v>0</v>
      </c>
      <c r="D76" s="96">
        <v>2500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2500</v>
      </c>
      <c r="N76" s="96">
        <f t="shared" si="5"/>
        <v>5618</v>
      </c>
      <c r="O76" s="81">
        <f t="shared" si="6"/>
        <v>0</v>
      </c>
      <c r="P76" s="96">
        <f t="shared" si="7"/>
        <v>8118</v>
      </c>
      <c r="Q76" s="81"/>
    </row>
    <row r="77" spans="1:17" ht="15" x14ac:dyDescent="0.25">
      <c r="A77">
        <f>مرتبات!A77</f>
        <v>13</v>
      </c>
      <c r="B77" s="147" t="str">
        <f>مرتبات!B77</f>
        <v>أ/مختار احمد المجدلي</v>
      </c>
      <c r="C77" s="97">
        <v>0</v>
      </c>
      <c r="D77" s="97">
        <v>2000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2000</v>
      </c>
      <c r="N77" s="97">
        <f t="shared" si="5"/>
        <v>4772</v>
      </c>
      <c r="O77" s="80">
        <f t="shared" si="6"/>
        <v>0</v>
      </c>
      <c r="P77" s="97">
        <f t="shared" si="7"/>
        <v>6772</v>
      </c>
      <c r="Q77" s="80"/>
    </row>
    <row r="78" spans="1:17" ht="15" x14ac:dyDescent="0.25">
      <c r="A78">
        <f>مرتبات!A78</f>
        <v>14</v>
      </c>
      <c r="B78" s="82" t="str">
        <f>مرتبات!B78</f>
        <v>أ/طارق محمد جمعه</v>
      </c>
      <c r="C78" s="96">
        <v>0</v>
      </c>
      <c r="D78" s="96">
        <v>2000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2300</v>
      </c>
      <c r="N78" s="96">
        <f t="shared" si="5"/>
        <v>4893</v>
      </c>
      <c r="O78" s="81">
        <f t="shared" si="6"/>
        <v>0</v>
      </c>
      <c r="P78" s="96">
        <f t="shared" si="7"/>
        <v>7193</v>
      </c>
      <c r="Q78" s="81"/>
    </row>
    <row r="79" spans="1:17" ht="15" x14ac:dyDescent="0.25">
      <c r="A79">
        <f>مرتبات!A79</f>
        <v>15</v>
      </c>
      <c r="B79" s="147" t="str">
        <f>مرتبات!B79</f>
        <v>أ/ أحمد محمد عبدالسلام</v>
      </c>
      <c r="C79" s="97">
        <v>0</v>
      </c>
      <c r="D79" s="97">
        <v>2200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2200</v>
      </c>
      <c r="N79" s="97">
        <f t="shared" si="5"/>
        <v>4288</v>
      </c>
      <c r="O79" s="80">
        <f t="shared" si="6"/>
        <v>0</v>
      </c>
      <c r="P79" s="97">
        <f t="shared" si="7"/>
        <v>6488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7">
        <v>0</v>
      </c>
      <c r="J80" s="157">
        <v>0</v>
      </c>
      <c r="K80" s="157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16</v>
      </c>
      <c r="B81" s="147" t="str">
        <f>مرتبات!B81</f>
        <v>أ/محمد عبدالجواد محمد</v>
      </c>
      <c r="C81" s="97">
        <v>450</v>
      </c>
      <c r="D81" s="97">
        <v>2100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2550</v>
      </c>
      <c r="N81" s="97">
        <f t="shared" si="5"/>
        <v>6857</v>
      </c>
      <c r="O81" s="80">
        <f t="shared" si="6"/>
        <v>0</v>
      </c>
      <c r="P81" s="97">
        <f t="shared" si="7"/>
        <v>9407</v>
      </c>
      <c r="Q81" s="80"/>
    </row>
    <row r="82" spans="1:17" ht="15" x14ac:dyDescent="0.25">
      <c r="A82">
        <f>مرتبات!A82</f>
        <v>17</v>
      </c>
      <c r="B82" s="82" t="str">
        <f>مرتبات!B82</f>
        <v>أ/ منة الله محب عبدالغفار السيد</v>
      </c>
      <c r="C82" s="96">
        <v>0</v>
      </c>
      <c r="D82" s="96">
        <v>2000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2000</v>
      </c>
      <c r="N82" s="96">
        <f t="shared" si="5"/>
        <v>3711</v>
      </c>
      <c r="O82" s="81">
        <f t="shared" si="6"/>
        <v>0</v>
      </c>
      <c r="P82" s="96">
        <f t="shared" si="7"/>
        <v>5711</v>
      </c>
      <c r="Q82" s="81"/>
    </row>
    <row r="83" spans="1:17" ht="15" x14ac:dyDescent="0.25">
      <c r="A83">
        <f>مرتبات!A83</f>
        <v>18</v>
      </c>
      <c r="B83" s="147" t="str">
        <f>مرتبات!B83</f>
        <v>أ/عاصم محمد سعيد عبده</v>
      </c>
      <c r="C83" s="97">
        <v>0</v>
      </c>
      <c r="D83" s="97">
        <v>2000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2000</v>
      </c>
      <c r="N83" s="97">
        <f t="shared" si="5"/>
        <v>2286</v>
      </c>
      <c r="O83" s="80">
        <f t="shared" si="6"/>
        <v>0</v>
      </c>
      <c r="P83" s="97">
        <f t="shared" si="7"/>
        <v>4286</v>
      </c>
      <c r="Q83" s="80"/>
    </row>
    <row r="84" spans="1:17" ht="15" x14ac:dyDescent="0.25">
      <c r="A84">
        <f>مرتبات!A84</f>
        <v>19</v>
      </c>
      <c r="B84" s="82" t="str">
        <f>مرتبات!B84</f>
        <v>أ/ نجوى إبراهيم محمود غنيم</v>
      </c>
      <c r="C84" s="96">
        <v>0</v>
      </c>
      <c r="D84" s="207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x14ac:dyDescent="0.25">
      <c r="A85">
        <f>مرتبات!A85</f>
        <v>20</v>
      </c>
      <c r="B85" s="147" t="str">
        <f>مرتبات!B85</f>
        <v>محمد حسين محمد محمد</v>
      </c>
      <c r="C85" s="97">
        <v>0</v>
      </c>
      <c r="D85" s="97">
        <v>2100</v>
      </c>
      <c r="E85" s="97">
        <v>0</v>
      </c>
      <c r="F85" s="97">
        <v>0</v>
      </c>
      <c r="G85" s="97">
        <v>0</v>
      </c>
      <c r="H85" s="97">
        <v>0</v>
      </c>
      <c r="I85" s="97">
        <v>3867.5</v>
      </c>
      <c r="J85" s="97">
        <v>1304</v>
      </c>
      <c r="K85" s="97">
        <v>0</v>
      </c>
      <c r="L85" s="97">
        <v>0</v>
      </c>
      <c r="M85" s="80">
        <f t="shared" si="4"/>
        <v>2100</v>
      </c>
      <c r="N85" s="97">
        <f t="shared" si="5"/>
        <v>5171.5</v>
      </c>
      <c r="O85" s="80">
        <f t="shared" si="6"/>
        <v>0</v>
      </c>
      <c r="P85" s="97">
        <f t="shared" si="7"/>
        <v>7271.5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7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7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7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7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7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7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7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6" t="s">
        <v>90</v>
      </c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67"/>
      <c r="O101" s="146"/>
      <c r="P101" s="167"/>
      <c r="Q101" s="146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7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7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0</v>
      </c>
      <c r="N106" s="96">
        <f t="shared" si="9"/>
        <v>0</v>
      </c>
      <c r="O106" s="81">
        <f t="shared" si="10"/>
        <v>0</v>
      </c>
      <c r="P106" s="96">
        <f t="shared" si="11"/>
        <v>0</v>
      </c>
      <c r="Q106" s="81"/>
    </row>
    <row r="107" spans="1:17" ht="15" x14ac:dyDescent="0.25">
      <c r="A107">
        <f>مرتبات!A107</f>
        <v>6</v>
      </c>
      <c r="B107" s="147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.6" thickBot="1" x14ac:dyDescent="0.3">
      <c r="A108">
        <f>مرتبات!A108</f>
        <v>7</v>
      </c>
      <c r="B108" s="82" t="s">
        <v>165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7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7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7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7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7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1" t="s">
        <v>63</v>
      </c>
      <c r="C118" s="89">
        <f t="shared" ref="C118:L118" si="12">SUM(C4:C17)+SUM(C19:C55)+SUM(C57:C100)+SUM(C102:C117)</f>
        <v>4925</v>
      </c>
      <c r="D118" s="89">
        <f t="shared" si="12"/>
        <v>39600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5250</v>
      </c>
      <c r="I118" s="89">
        <f t="shared" si="12"/>
        <v>72146.200000000012</v>
      </c>
      <c r="J118" s="89">
        <f t="shared" si="12"/>
        <v>387155</v>
      </c>
      <c r="K118" s="89">
        <f t="shared" si="12"/>
        <v>25868</v>
      </c>
      <c r="L118" s="89">
        <f t="shared" si="12"/>
        <v>0</v>
      </c>
      <c r="M118" s="89">
        <f t="shared" si="8"/>
        <v>44825</v>
      </c>
      <c r="N118" s="89">
        <f t="shared" si="9"/>
        <v>485169.2</v>
      </c>
      <c r="O118" s="90">
        <f t="shared" si="10"/>
        <v>5250</v>
      </c>
      <c r="P118" s="89">
        <f t="shared" si="11"/>
        <v>535244.19999999995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3" zoomScale="87" zoomScaleNormal="87" workbookViewId="0">
      <selection activeCell="H75" sqref="H75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2" t="s">
        <v>14</v>
      </c>
    </row>
    <row r="2" spans="1:13" ht="53.4" thickBot="1" x14ac:dyDescent="0.3">
      <c r="A2" s="135" t="s">
        <v>5</v>
      </c>
      <c r="B2" s="179" t="s">
        <v>151</v>
      </c>
      <c r="C2" s="143" t="s">
        <v>47</v>
      </c>
      <c r="D2" s="143" t="s">
        <v>48</v>
      </c>
      <c r="E2" s="143" t="s">
        <v>49</v>
      </c>
      <c r="F2" s="143" t="s">
        <v>50</v>
      </c>
      <c r="G2" s="143" t="s">
        <v>51</v>
      </c>
      <c r="H2" s="143" t="s">
        <v>52</v>
      </c>
      <c r="I2" s="143" t="s">
        <v>53</v>
      </c>
      <c r="J2" s="143" t="s">
        <v>54</v>
      </c>
      <c r="K2" s="143" t="s">
        <v>55</v>
      </c>
      <c r="L2" s="139" t="s">
        <v>56</v>
      </c>
      <c r="M2" s="40" t="s">
        <v>16</v>
      </c>
    </row>
    <row r="3" spans="1:13" ht="15.6" x14ac:dyDescent="0.3">
      <c r="A3" s="13"/>
      <c r="B3" s="140" t="s">
        <v>60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/>
      <c r="H6" s="64">
        <v>0</v>
      </c>
      <c r="I6" s="64">
        <v>0</v>
      </c>
      <c r="J6" s="64">
        <v>0</v>
      </c>
      <c r="K6" s="64">
        <v>0</v>
      </c>
      <c r="L6" s="64">
        <f t="shared" si="0"/>
        <v>0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0" t="s">
        <v>61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0</v>
      </c>
      <c r="M19" s="158"/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113</v>
      </c>
      <c r="H20" s="64">
        <v>0</v>
      </c>
      <c r="I20" s="64">
        <v>0</v>
      </c>
      <c r="J20" s="64">
        <v>200</v>
      </c>
      <c r="K20" s="64">
        <v>0</v>
      </c>
      <c r="L20" s="64">
        <f t="shared" si="0"/>
        <v>313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/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23"/>
    </row>
    <row r="22" spans="1:13" ht="30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95">
        <v>2300</v>
      </c>
      <c r="I22" s="95">
        <v>4600</v>
      </c>
      <c r="J22" s="208">
        <v>200</v>
      </c>
      <c r="K22" s="64">
        <v>0</v>
      </c>
      <c r="L22" s="95">
        <f t="shared" si="0"/>
        <v>7100</v>
      </c>
      <c r="M22" s="206" t="s">
        <v>158</v>
      </c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2000</v>
      </c>
      <c r="J24" s="64">
        <v>0</v>
      </c>
      <c r="K24" s="64">
        <v>0</v>
      </c>
      <c r="L24" s="64">
        <f t="shared" si="0"/>
        <v>2000</v>
      </c>
      <c r="M24" s="73" t="s">
        <v>161</v>
      </c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487</v>
      </c>
      <c r="H25" s="64">
        <v>0</v>
      </c>
      <c r="I25" s="64">
        <v>0</v>
      </c>
      <c r="J25" s="64">
        <v>200</v>
      </c>
      <c r="K25" s="64"/>
      <c r="L25" s="64">
        <f t="shared" si="0"/>
        <v>687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ht="30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95">
        <v>367</v>
      </c>
      <c r="I45" s="95">
        <v>1467</v>
      </c>
      <c r="J45" s="64">
        <v>0</v>
      </c>
      <c r="K45" s="64">
        <v>0</v>
      </c>
      <c r="L45" s="95">
        <f t="shared" si="0"/>
        <v>1834</v>
      </c>
      <c r="M45" s="206" t="s">
        <v>159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333</v>
      </c>
      <c r="J46" s="64">
        <v>0</v>
      </c>
      <c r="K46" s="64">
        <v>0</v>
      </c>
      <c r="L46" s="64">
        <f t="shared" si="0"/>
        <v>333</v>
      </c>
      <c r="M46" s="72" t="s">
        <v>162</v>
      </c>
    </row>
    <row r="47" spans="1:13" x14ac:dyDescent="0.25">
      <c r="A47" s="98">
        <f>مرتبات!A47</f>
        <v>13</v>
      </c>
      <c r="B47" s="203" t="str">
        <f>مرتبات!B47</f>
        <v>أ/ليلي امين محمد امين طموم</v>
      </c>
      <c r="C47" s="204">
        <v>0</v>
      </c>
      <c r="D47" s="204">
        <v>0</v>
      </c>
      <c r="E47" s="204">
        <v>0</v>
      </c>
      <c r="F47" s="204">
        <v>6333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f t="shared" si="0"/>
        <v>6333</v>
      </c>
      <c r="M47" s="205" t="s">
        <v>157</v>
      </c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1600</v>
      </c>
      <c r="J48" s="64">
        <v>150</v>
      </c>
      <c r="K48" s="64">
        <v>0</v>
      </c>
      <c r="L48" s="64">
        <f t="shared" si="0"/>
        <v>1750</v>
      </c>
      <c r="M48" s="159" t="s">
        <v>160</v>
      </c>
    </row>
    <row r="49" spans="1:13" x14ac:dyDescent="0.25">
      <c r="A49" s="98">
        <f>مرتبات!A49</f>
        <v>15</v>
      </c>
      <c r="B49" s="19" t="str">
        <f>مرتبات!B49</f>
        <v>عمرو محمد عبدالحليم أبو سليم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159"/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78">
        <f>مرتبات!A56</f>
        <v>15</v>
      </c>
      <c r="B56" s="140" t="s">
        <v>89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10000</v>
      </c>
      <c r="F57" s="64"/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10000</v>
      </c>
      <c r="M57" s="160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73"/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8" t="s">
        <v>156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v>0</v>
      </c>
      <c r="B70" s="183" t="str">
        <f>مرتبات!B70</f>
        <v xml:space="preserve">أ/أحمد سمير حسن السيد </v>
      </c>
      <c r="C70" s="184"/>
      <c r="D70" s="184">
        <v>0</v>
      </c>
      <c r="E70" s="184">
        <v>0</v>
      </c>
      <c r="F70" s="184">
        <v>0</v>
      </c>
      <c r="G70" s="184">
        <v>0</v>
      </c>
      <c r="H70" s="184">
        <v>0</v>
      </c>
      <c r="I70" s="184">
        <v>0</v>
      </c>
      <c r="J70" s="184">
        <v>0</v>
      </c>
      <c r="K70" s="184">
        <v>0</v>
      </c>
      <c r="L70" s="184">
        <f t="shared" si="1"/>
        <v>0</v>
      </c>
      <c r="M70" s="185"/>
    </row>
    <row r="71" spans="1:13" x14ac:dyDescent="0.25">
      <c r="A71" s="98">
        <v>7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v>8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8" t="s">
        <v>156</v>
      </c>
    </row>
    <row r="73" spans="1:13" x14ac:dyDescent="0.25">
      <c r="A73" s="98">
        <v>9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59"/>
    </row>
    <row r="74" spans="1:13" x14ac:dyDescent="0.25">
      <c r="A74" s="98">
        <v>10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v>11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v>12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v>13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2"/>
    </row>
    <row r="78" spans="1:13" x14ac:dyDescent="0.25">
      <c r="A78" s="98">
        <v>14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v>15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5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1"/>
    </row>
    <row r="81" spans="1:13" x14ac:dyDescent="0.25">
      <c r="A81" s="98">
        <v>16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v>17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v>18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1"/>
    </row>
    <row r="84" spans="1:13" x14ac:dyDescent="0.25">
      <c r="A84" s="98">
        <v>19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3700</v>
      </c>
      <c r="L84" s="64">
        <f t="shared" si="1"/>
        <v>3700</v>
      </c>
      <c r="M84" s="83"/>
    </row>
    <row r="85" spans="1:13" x14ac:dyDescent="0.25">
      <c r="A85" s="98">
        <v>20</v>
      </c>
      <c r="B85" s="19" t="s">
        <v>163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9100</v>
      </c>
      <c r="I85" s="64">
        <v>0</v>
      </c>
      <c r="J85" s="64">
        <v>0</v>
      </c>
      <c r="K85" s="64">
        <v>0</v>
      </c>
      <c r="L85" s="64">
        <f t="shared" si="1"/>
        <v>9100</v>
      </c>
      <c r="M85" s="73" t="s">
        <v>164</v>
      </c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177">
        <f>مرتبات!A101</f>
        <v>20</v>
      </c>
      <c r="B101" s="140" t="s">
        <v>90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82">
        <v>1227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1227</v>
      </c>
      <c r="M106" s="83"/>
    </row>
    <row r="107" spans="1:13" x14ac:dyDescent="0.25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t="15.6" thickBot="1" x14ac:dyDescent="0.3">
      <c r="A108" s="98">
        <v>7</v>
      </c>
      <c r="B108" s="19" t="str">
        <f>مرتبات!B108</f>
        <v>المستشار محمد ماهر عبدالواحد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v>7</v>
      </c>
      <c r="B118" s="144" t="s">
        <v>62</v>
      </c>
      <c r="C118" s="94">
        <f>SUM(C4:C17)+SUM(C19:C55)+SUM(C57:C100)+SUM(C102:C117)</f>
        <v>1920.5</v>
      </c>
      <c r="D118" s="94">
        <f t="shared" ref="D118:K118" si="2">SUM(D4:D17)+SUM(D19:D55)+SUM(D57:D100)+SUM(D102:D117)</f>
        <v>0</v>
      </c>
      <c r="E118" s="94">
        <f t="shared" si="2"/>
        <v>10000</v>
      </c>
      <c r="F118" s="94">
        <f t="shared" si="2"/>
        <v>6333</v>
      </c>
      <c r="G118" s="94">
        <f t="shared" si="2"/>
        <v>1827</v>
      </c>
      <c r="H118" s="94">
        <f>SUM(H4:H17)+SUM(H19:H55)+SUM(H57:H100)+SUM(H102:H117)</f>
        <v>11767</v>
      </c>
      <c r="I118" s="94">
        <f t="shared" si="2"/>
        <v>10000</v>
      </c>
      <c r="J118" s="94">
        <f t="shared" si="2"/>
        <v>750</v>
      </c>
      <c r="K118" s="94">
        <f t="shared" si="2"/>
        <v>3700</v>
      </c>
      <c r="L118" s="94">
        <f>SUM(C118:K118)</f>
        <v>46297.5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spans="1:13" x14ac:dyDescent="0.25">
      <c r="H120" s="22"/>
    </row>
    <row r="122" spans="1:13" x14ac:dyDescent="0.25">
      <c r="A122" s="22"/>
    </row>
    <row r="188" spans="2:13" ht="15.6" x14ac:dyDescent="0.25">
      <c r="B188" s="61" t="s">
        <v>62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217"/>
      <c r="D3" s="218"/>
      <c r="E3" s="218"/>
      <c r="F3" s="219"/>
      <c r="G3" s="39"/>
      <c r="H3" s="40" t="s">
        <v>27</v>
      </c>
    </row>
    <row r="4" spans="2:8" ht="18.600000000000001" thickTop="1" thickBot="1" x14ac:dyDescent="0.3">
      <c r="B4" s="38"/>
      <c r="C4" s="71" t="s">
        <v>119</v>
      </c>
      <c r="D4" s="109" t="str">
        <f>INDEX(مرتبات!B1:B1066,H4,1)</f>
        <v>أ/محمد عبدالجواد محمد</v>
      </c>
      <c r="E4" s="71" t="s">
        <v>6</v>
      </c>
      <c r="F4" s="110">
        <f>مرتبات!D2</f>
        <v>45870</v>
      </c>
      <c r="G4" s="39"/>
      <c r="H4" s="5">
        <v>81</v>
      </c>
    </row>
    <row r="5" spans="2:8" ht="14.4" thickTop="1" thickBot="1" x14ac:dyDescent="0.3">
      <c r="B5" s="38"/>
      <c r="C5" s="41" t="s">
        <v>69</v>
      </c>
      <c r="D5" s="220">
        <f>SUM((INDEX(مرتبات!D1:D1066,H4,1)),VALUE((INDEX(مرتبات!G1:G1066,H4,1))))</f>
        <v>16000</v>
      </c>
      <c r="E5" s="221"/>
      <c r="F5" s="222"/>
      <c r="G5" s="39"/>
      <c r="H5" s="5"/>
    </row>
    <row r="6" spans="2:8" ht="13.8" thickTop="1" x14ac:dyDescent="0.25">
      <c r="B6" s="38"/>
      <c r="C6" s="223" t="s">
        <v>93</v>
      </c>
      <c r="D6" s="224"/>
      <c r="E6" s="223" t="s">
        <v>8</v>
      </c>
      <c r="F6" s="224"/>
      <c r="G6" s="39"/>
      <c r="H6" s="5"/>
    </row>
    <row r="7" spans="2:8" x14ac:dyDescent="0.25">
      <c r="B7" s="38"/>
      <c r="C7" s="41" t="s">
        <v>20</v>
      </c>
      <c r="D7" s="42">
        <f>INDEX(اضافات!C1:C1069,H4,1)</f>
        <v>450</v>
      </c>
      <c r="E7" s="41" t="s">
        <v>7</v>
      </c>
      <c r="F7" s="43">
        <f>INDEX(خصومات!C1:C1069,H4,1)</f>
        <v>0</v>
      </c>
      <c r="G7" s="39"/>
      <c r="H7" s="5"/>
    </row>
    <row r="8" spans="2:8" x14ac:dyDescent="0.25">
      <c r="B8" s="38"/>
      <c r="C8" s="44" t="s">
        <v>21</v>
      </c>
      <c r="D8" s="42">
        <f>INDEX(اضافات!D1:D1069,H4,1)</f>
        <v>2100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29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22</v>
      </c>
      <c r="D10" s="42">
        <f>INDEX(اضافات!L1:L1069,H4,1)</f>
        <v>0</v>
      </c>
      <c r="E10" s="45" t="s">
        <v>23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150</v>
      </c>
      <c r="D11" s="42">
        <f>INDEX(اضافات!J1:J1069,H4,1)</f>
        <v>2323</v>
      </c>
      <c r="E11" s="45" t="s">
        <v>24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3662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872</v>
      </c>
      <c r="E13" s="45" t="s">
        <v>15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25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26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122</v>
      </c>
      <c r="D16" s="220">
        <f>D5+D7+D8+D9+D10+D11+D12+D13</f>
        <v>25407</v>
      </c>
      <c r="E16" s="221"/>
      <c r="F16" s="222"/>
      <c r="G16" s="39"/>
      <c r="H16" s="5"/>
    </row>
    <row r="17" spans="2:8" ht="14.4" thickTop="1" thickBot="1" x14ac:dyDescent="0.3">
      <c r="B17" s="38"/>
      <c r="C17" s="46" t="s">
        <v>28</v>
      </c>
      <c r="D17" s="220">
        <f>SUM(D7:D15)</f>
        <v>9407</v>
      </c>
      <c r="E17" s="221"/>
      <c r="F17" s="222"/>
      <c r="G17" s="39"/>
      <c r="H17" s="5"/>
    </row>
    <row r="18" spans="2:8" ht="14.4" thickTop="1" thickBot="1" x14ac:dyDescent="0.3">
      <c r="B18" s="38"/>
      <c r="C18" s="47" t="s">
        <v>80</v>
      </c>
      <c r="D18" s="211">
        <f>(SUM(F7:F15))</f>
        <v>0</v>
      </c>
      <c r="E18" s="212"/>
      <c r="F18" s="213"/>
      <c r="G18" s="39"/>
      <c r="H18" s="5"/>
    </row>
    <row r="19" spans="2:8" ht="15" thickTop="1" thickBot="1" x14ac:dyDescent="0.3">
      <c r="B19" s="38"/>
      <c r="C19" s="47" t="s">
        <v>92</v>
      </c>
      <c r="D19" s="214">
        <f>D16-D17-D18</f>
        <v>16000</v>
      </c>
      <c r="E19" s="215"/>
      <c r="F19" s="216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217"/>
      <c r="D3" s="218"/>
      <c r="E3" s="218"/>
      <c r="F3" s="219"/>
      <c r="G3" s="39"/>
      <c r="H3" s="40" t="s">
        <v>27</v>
      </c>
    </row>
    <row r="4" spans="2:8" ht="16.8" thickTop="1" thickBot="1" x14ac:dyDescent="0.3">
      <c r="B4" s="38"/>
      <c r="C4" s="111" t="s">
        <v>98</v>
      </c>
      <c r="D4" s="99" t="str">
        <f>INDEX(مرتبات!B1:B1066,H4,1)</f>
        <v>أ/ناجى رمضان أمين محمد</v>
      </c>
      <c r="E4" s="111" t="s">
        <v>97</v>
      </c>
      <c r="F4" s="99">
        <f>مرتبات!D2</f>
        <v>45870</v>
      </c>
      <c r="G4" s="39"/>
      <c r="H4" s="5">
        <v>19</v>
      </c>
    </row>
    <row r="5" spans="2:8" ht="14.4" thickTop="1" thickBot="1" x14ac:dyDescent="0.3">
      <c r="B5" s="38"/>
      <c r="C5" s="103" t="s">
        <v>99</v>
      </c>
      <c r="D5" s="220">
        <f>SUM((INDEX(مرتبات!D1:D1066,H4,1)),VALUE((INDEX(مرتبات!G1:G1066,H4,1))))</f>
        <v>46300</v>
      </c>
      <c r="E5" s="221"/>
      <c r="F5" s="222"/>
      <c r="G5" s="39"/>
      <c r="H5" s="5"/>
    </row>
    <row r="6" spans="2:8" ht="13.8" thickTop="1" x14ac:dyDescent="0.25">
      <c r="B6" s="38"/>
      <c r="C6" s="225" t="s">
        <v>117</v>
      </c>
      <c r="D6" s="226"/>
      <c r="E6" s="223" t="s">
        <v>100</v>
      </c>
      <c r="F6" s="224"/>
      <c r="G6" s="39"/>
      <c r="H6" s="5"/>
    </row>
    <row r="7" spans="2:8" x14ac:dyDescent="0.25">
      <c r="B7" s="38"/>
      <c r="C7" s="105" t="s">
        <v>102</v>
      </c>
      <c r="D7" s="42">
        <f>INDEX(اضافات!C1:C1069,H4,1)</f>
        <v>0</v>
      </c>
      <c r="E7" s="105" t="s">
        <v>110</v>
      </c>
      <c r="F7" s="104">
        <f>INDEX(خصومات!C1:C1069,H4,1)</f>
        <v>0</v>
      </c>
      <c r="G7" s="39"/>
      <c r="H7" s="5"/>
    </row>
    <row r="8" spans="2:8" x14ac:dyDescent="0.25">
      <c r="B8" s="38"/>
      <c r="C8" s="106" t="s">
        <v>103</v>
      </c>
      <c r="D8" s="42">
        <f>INDEX(اضافات!D1:D1069,H4,1)</f>
        <v>0</v>
      </c>
      <c r="E8" s="106" t="s">
        <v>111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104</v>
      </c>
      <c r="D9" s="42">
        <f>INDEX(اضافات!E1:E1069,H4,1)</f>
        <v>0</v>
      </c>
      <c r="E9" s="107" t="s">
        <v>112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105</v>
      </c>
      <c r="D10" s="42">
        <f>INDEX(اضافات!L1:L1069,H4,1)</f>
        <v>0</v>
      </c>
      <c r="E10" s="107" t="s">
        <v>115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107</v>
      </c>
      <c r="D11" s="42">
        <f>INDEX(اضافات!J1:J1069,H4,1)</f>
        <v>10126</v>
      </c>
      <c r="E11" s="107" t="s">
        <v>114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108</v>
      </c>
      <c r="D12" s="42">
        <f>INDEX(اضافات!I1:I1069,H4,1)</f>
        <v>0</v>
      </c>
      <c r="E12" s="107" t="s">
        <v>109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106</v>
      </c>
      <c r="D13" s="42">
        <f>INDEX(اضافات!K1:K1069,H4,1)</f>
        <v>1200</v>
      </c>
      <c r="E13" s="107" t="s">
        <v>113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118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116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121</v>
      </c>
      <c r="D16" s="220">
        <f>D5+D7+D8+D9+D10+D11+D12+D13</f>
        <v>57626</v>
      </c>
      <c r="E16" s="221"/>
      <c r="F16" s="222"/>
      <c r="G16" s="39"/>
      <c r="H16" s="5"/>
    </row>
    <row r="17" spans="2:8" ht="14.4" thickTop="1" thickBot="1" x14ac:dyDescent="0.3">
      <c r="B17" s="38"/>
      <c r="C17" s="101" t="s">
        <v>123</v>
      </c>
      <c r="D17" s="211">
        <f>SUM(D7:D15)</f>
        <v>11326</v>
      </c>
      <c r="E17" s="212"/>
      <c r="F17" s="213"/>
      <c r="G17" s="39"/>
      <c r="H17" s="5"/>
    </row>
    <row r="18" spans="2:8" ht="14.4" thickTop="1" thickBot="1" x14ac:dyDescent="0.3">
      <c r="B18" s="38"/>
      <c r="C18" s="102" t="s">
        <v>100</v>
      </c>
      <c r="D18" s="211">
        <f>(SUM(F7:F15))</f>
        <v>0</v>
      </c>
      <c r="E18" s="212"/>
      <c r="F18" s="213"/>
      <c r="G18" s="39"/>
      <c r="H18" s="5"/>
    </row>
    <row r="19" spans="2:8" ht="15" thickTop="1" thickBot="1" x14ac:dyDescent="0.3">
      <c r="B19" s="38"/>
      <c r="C19" s="102" t="s">
        <v>101</v>
      </c>
      <c r="D19" s="214">
        <f>D16-D17-D18</f>
        <v>46300</v>
      </c>
      <c r="E19" s="215"/>
      <c r="F19" s="216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2025-12-25T09:50:16Z</cp:lastPrinted>
  <dcterms:created xsi:type="dcterms:W3CDTF">2012-09-26T15:27:24Z</dcterms:created>
  <dcterms:modified xsi:type="dcterms:W3CDTF">2025-12-25T13:31:41Z</dcterms:modified>
</cp:coreProperties>
</file>