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Claude\SalariesSummary\Sheets\"/>
    </mc:Choice>
  </mc:AlternateContent>
  <xr:revisionPtr revIDLastSave="0" documentId="13_ncr:1_{844C170A-61F5-4AD9-A0DE-599D330E9B4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مرتبات" sheetId="7" r:id="rId1"/>
    <sheet name="اضافات" sheetId="16" r:id="rId2"/>
    <sheet name="خصومات" sheetId="12" r:id="rId3"/>
    <sheet name="Pay Clip (AR)" sheetId="14" r:id="rId4"/>
    <sheet name="Pay Clip (EN)" sheetId="15" r:id="rId5"/>
  </sheets>
  <definedNames>
    <definedName name="_xlnm.Print_Area" localSheetId="3">'Pay Clip (AR)'!$B$4:$G$20</definedName>
    <definedName name="_xlnm.Print_Area" localSheetId="4">'Pay Clip (EN)'!$B$4:$G$20</definedName>
    <definedName name="_xlnm.Print_Area" localSheetId="2">خصومات!$A$1:$M$118</definedName>
    <definedName name="_xlnm.Print_Area" localSheetId="0">مرتبات!$A$1:$P$120</definedName>
    <definedName name="_xlnm.Print_Titles" localSheetId="0">مرتبات!$3:$3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0" i="7" l="1"/>
  <c r="L48" i="12" l="1"/>
  <c r="A71" i="16" l="1"/>
  <c r="A119" i="7" l="1"/>
  <c r="D118" i="7"/>
  <c r="D101" i="7"/>
  <c r="D56" i="7"/>
  <c r="D18" i="7"/>
  <c r="D119" i="7" l="1"/>
  <c r="D120" i="7"/>
  <c r="A117" i="12"/>
  <c r="A116" i="12"/>
  <c r="A115" i="12"/>
  <c r="A114" i="12"/>
  <c r="A113" i="12"/>
  <c r="A112" i="12"/>
  <c r="A111" i="12"/>
  <c r="A110" i="12"/>
  <c r="A109" i="12"/>
  <c r="A107" i="12"/>
  <c r="A106" i="12"/>
  <c r="A105" i="12"/>
  <c r="A104" i="12"/>
  <c r="A103" i="12"/>
  <c r="A102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B117" i="16"/>
  <c r="B116" i="16"/>
  <c r="B115" i="16"/>
  <c r="B114" i="16"/>
  <c r="B113" i="16"/>
  <c r="B112" i="16"/>
  <c r="B111" i="16"/>
  <c r="B110" i="16"/>
  <c r="B109" i="16"/>
  <c r="B107" i="16"/>
  <c r="B106" i="16"/>
  <c r="B105" i="16"/>
  <c r="B104" i="16"/>
  <c r="B103" i="16"/>
  <c r="B102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F15" i="15" l="1"/>
  <c r="F14" i="15"/>
  <c r="F13" i="15"/>
  <c r="D13" i="15"/>
  <c r="F12" i="15"/>
  <c r="D12" i="15"/>
  <c r="F11" i="15"/>
  <c r="D11" i="15"/>
  <c r="F10" i="15"/>
  <c r="D10" i="15"/>
  <c r="F9" i="15"/>
  <c r="D9" i="15"/>
  <c r="F8" i="15"/>
  <c r="D8" i="15"/>
  <c r="F7" i="15"/>
  <c r="D7" i="15"/>
  <c r="F4" i="15"/>
  <c r="D4" i="15"/>
  <c r="F15" i="14"/>
  <c r="F14" i="14"/>
  <c r="F13" i="14"/>
  <c r="D13" i="14"/>
  <c r="F12" i="14"/>
  <c r="D12" i="14"/>
  <c r="F11" i="14"/>
  <c r="D11" i="14"/>
  <c r="F10" i="14"/>
  <c r="D10" i="14"/>
  <c r="F9" i="14"/>
  <c r="D9" i="14"/>
  <c r="F8" i="14"/>
  <c r="D8" i="14"/>
  <c r="F7" i="14"/>
  <c r="D7" i="14"/>
  <c r="F4" i="14"/>
  <c r="D4" i="14"/>
  <c r="A4" i="16"/>
  <c r="D17" i="14" l="1"/>
  <c r="D17" i="15"/>
  <c r="D18" i="14"/>
  <c r="D18" i="15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L118" i="16"/>
  <c r="K118" i="16"/>
  <c r="J118" i="16"/>
  <c r="I118" i="16"/>
  <c r="H118" i="16"/>
  <c r="G118" i="16"/>
  <c r="F118" i="16"/>
  <c r="E118" i="16"/>
  <c r="D118" i="16"/>
  <c r="C118" i="16"/>
  <c r="O117" i="16"/>
  <c r="N117" i="16"/>
  <c r="E117" i="7" s="1"/>
  <c r="M117" i="16"/>
  <c r="F117" i="7" s="1"/>
  <c r="O116" i="16"/>
  <c r="H116" i="7" s="1"/>
  <c r="N116" i="16"/>
  <c r="E116" i="7" s="1"/>
  <c r="M116" i="16"/>
  <c r="O115" i="16"/>
  <c r="H115" i="7" s="1"/>
  <c r="N115" i="16"/>
  <c r="E115" i="7" s="1"/>
  <c r="M115" i="16"/>
  <c r="F115" i="7" s="1"/>
  <c r="O114" i="16"/>
  <c r="H114" i="7" s="1"/>
  <c r="N114" i="16"/>
  <c r="E114" i="7" s="1"/>
  <c r="M114" i="16"/>
  <c r="O113" i="16"/>
  <c r="H113" i="7" s="1"/>
  <c r="N113" i="16"/>
  <c r="E113" i="7" s="1"/>
  <c r="M113" i="16"/>
  <c r="F113" i="7" s="1"/>
  <c r="O112" i="16"/>
  <c r="H112" i="7" s="1"/>
  <c r="N112" i="16"/>
  <c r="E112" i="7" s="1"/>
  <c r="M112" i="16"/>
  <c r="O111" i="16"/>
  <c r="H111" i="7" s="1"/>
  <c r="N111" i="16"/>
  <c r="E111" i="7" s="1"/>
  <c r="M111" i="16"/>
  <c r="F111" i="7" s="1"/>
  <c r="O110" i="16"/>
  <c r="H110" i="7" s="1"/>
  <c r="N110" i="16"/>
  <c r="E110" i="7" s="1"/>
  <c r="M110" i="16"/>
  <c r="O109" i="16"/>
  <c r="N109" i="16"/>
  <c r="E109" i="7" s="1"/>
  <c r="M109" i="16"/>
  <c r="F109" i="7" s="1"/>
  <c r="O108" i="16"/>
  <c r="H108" i="7" s="1"/>
  <c r="N108" i="16"/>
  <c r="E108" i="7" s="1"/>
  <c r="M108" i="16"/>
  <c r="O107" i="16"/>
  <c r="H107" i="7" s="1"/>
  <c r="N107" i="16"/>
  <c r="E107" i="7" s="1"/>
  <c r="M107" i="16"/>
  <c r="F107" i="7" s="1"/>
  <c r="O106" i="16"/>
  <c r="H106" i="7" s="1"/>
  <c r="N106" i="16"/>
  <c r="E106" i="7" s="1"/>
  <c r="M106" i="16"/>
  <c r="O105" i="16"/>
  <c r="H105" i="7" s="1"/>
  <c r="N105" i="16"/>
  <c r="E105" i="7" s="1"/>
  <c r="M105" i="16"/>
  <c r="F105" i="7" s="1"/>
  <c r="O104" i="16"/>
  <c r="H104" i="7" s="1"/>
  <c r="N104" i="16"/>
  <c r="E104" i="7" s="1"/>
  <c r="M104" i="16"/>
  <c r="O103" i="16"/>
  <c r="H103" i="7" s="1"/>
  <c r="N103" i="16"/>
  <c r="E103" i="7" s="1"/>
  <c r="M103" i="16"/>
  <c r="F103" i="7" s="1"/>
  <c r="O102" i="16"/>
  <c r="H102" i="7" s="1"/>
  <c r="N102" i="16"/>
  <c r="E102" i="7" s="1"/>
  <c r="M102" i="16"/>
  <c r="O100" i="16"/>
  <c r="H100" i="7" s="1"/>
  <c r="N100" i="16"/>
  <c r="E100" i="7" s="1"/>
  <c r="M100" i="16"/>
  <c r="F100" i="7" s="1"/>
  <c r="O99" i="16"/>
  <c r="H99" i="7" s="1"/>
  <c r="N99" i="16"/>
  <c r="M99" i="16"/>
  <c r="F99" i="7" s="1"/>
  <c r="O98" i="16"/>
  <c r="H98" i="7" s="1"/>
  <c r="N98" i="16"/>
  <c r="E98" i="7" s="1"/>
  <c r="M98" i="16"/>
  <c r="F98" i="7" s="1"/>
  <c r="O97" i="16"/>
  <c r="H97" i="7" s="1"/>
  <c r="N97" i="16"/>
  <c r="E97" i="7" s="1"/>
  <c r="M97" i="16"/>
  <c r="F97" i="7" s="1"/>
  <c r="O96" i="16"/>
  <c r="H96" i="7" s="1"/>
  <c r="N96" i="16"/>
  <c r="E96" i="7" s="1"/>
  <c r="M96" i="16"/>
  <c r="F96" i="7" s="1"/>
  <c r="O95" i="16"/>
  <c r="H95" i="7" s="1"/>
  <c r="N95" i="16"/>
  <c r="M95" i="16"/>
  <c r="F95" i="7" s="1"/>
  <c r="O94" i="16"/>
  <c r="H94" i="7" s="1"/>
  <c r="N94" i="16"/>
  <c r="E94" i="7" s="1"/>
  <c r="M94" i="16"/>
  <c r="F94" i="7" s="1"/>
  <c r="O93" i="16"/>
  <c r="H93" i="7" s="1"/>
  <c r="N93" i="16"/>
  <c r="E93" i="7" s="1"/>
  <c r="M93" i="16"/>
  <c r="O92" i="16"/>
  <c r="H92" i="7" s="1"/>
  <c r="N92" i="16"/>
  <c r="E92" i="7" s="1"/>
  <c r="M92" i="16"/>
  <c r="O91" i="16"/>
  <c r="H91" i="7" s="1"/>
  <c r="N91" i="16"/>
  <c r="M91" i="16"/>
  <c r="F91" i="7" s="1"/>
  <c r="O90" i="16"/>
  <c r="H90" i="7" s="1"/>
  <c r="N90" i="16"/>
  <c r="E90" i="7" s="1"/>
  <c r="M90" i="16"/>
  <c r="O89" i="16"/>
  <c r="H89" i="7" s="1"/>
  <c r="N89" i="16"/>
  <c r="E89" i="7" s="1"/>
  <c r="M89" i="16"/>
  <c r="O88" i="16"/>
  <c r="H88" i="7" s="1"/>
  <c r="N88" i="16"/>
  <c r="E88" i="7" s="1"/>
  <c r="M88" i="16"/>
  <c r="O87" i="16"/>
  <c r="H87" i="7" s="1"/>
  <c r="N87" i="16"/>
  <c r="E87" i="7" s="1"/>
  <c r="M87" i="16"/>
  <c r="F87" i="7" s="1"/>
  <c r="O86" i="16"/>
  <c r="H86" i="7" s="1"/>
  <c r="N86" i="16"/>
  <c r="E86" i="7" s="1"/>
  <c r="M86" i="16"/>
  <c r="F86" i="7" s="1"/>
  <c r="O85" i="16"/>
  <c r="H85" i="7" s="1"/>
  <c r="N85" i="16"/>
  <c r="E85" i="7" s="1"/>
  <c r="M85" i="16"/>
  <c r="O84" i="16"/>
  <c r="H84" i="7" s="1"/>
  <c r="N84" i="16"/>
  <c r="E84" i="7" s="1"/>
  <c r="M84" i="16"/>
  <c r="O83" i="16"/>
  <c r="H83" i="7" s="1"/>
  <c r="N83" i="16"/>
  <c r="M83" i="16"/>
  <c r="F83" i="7" s="1"/>
  <c r="O82" i="16"/>
  <c r="H82" i="7" s="1"/>
  <c r="N82" i="16"/>
  <c r="E82" i="7" s="1"/>
  <c r="M82" i="16"/>
  <c r="O81" i="16"/>
  <c r="H81" i="7" s="1"/>
  <c r="N81" i="16"/>
  <c r="E81" i="7" s="1"/>
  <c r="M81" i="16"/>
  <c r="O80" i="16"/>
  <c r="H80" i="7" s="1"/>
  <c r="N80" i="16"/>
  <c r="E80" i="7" s="1"/>
  <c r="M80" i="16"/>
  <c r="F80" i="7" s="1"/>
  <c r="O79" i="16"/>
  <c r="H79" i="7" s="1"/>
  <c r="N79" i="16"/>
  <c r="E79" i="7" s="1"/>
  <c r="M79" i="16"/>
  <c r="F79" i="7" s="1"/>
  <c r="O78" i="16"/>
  <c r="H78" i="7" s="1"/>
  <c r="N78" i="16"/>
  <c r="E78" i="7" s="1"/>
  <c r="M78" i="16"/>
  <c r="O77" i="16"/>
  <c r="H77" i="7" s="1"/>
  <c r="N77" i="16"/>
  <c r="E77" i="7" s="1"/>
  <c r="M77" i="16"/>
  <c r="O76" i="16"/>
  <c r="H76" i="7" s="1"/>
  <c r="N76" i="16"/>
  <c r="E76" i="7" s="1"/>
  <c r="M76" i="16"/>
  <c r="O75" i="16"/>
  <c r="H75" i="7" s="1"/>
  <c r="N75" i="16"/>
  <c r="M75" i="16"/>
  <c r="F75" i="7" s="1"/>
  <c r="O74" i="16"/>
  <c r="H74" i="7" s="1"/>
  <c r="N74" i="16"/>
  <c r="E74" i="7" s="1"/>
  <c r="M74" i="16"/>
  <c r="O73" i="16"/>
  <c r="H73" i="7" s="1"/>
  <c r="N73" i="16"/>
  <c r="E73" i="7" s="1"/>
  <c r="M73" i="16"/>
  <c r="O72" i="16"/>
  <c r="H72" i="7" s="1"/>
  <c r="N72" i="16"/>
  <c r="E72" i="7" s="1"/>
  <c r="M72" i="16"/>
  <c r="F72" i="7" s="1"/>
  <c r="O71" i="16"/>
  <c r="H71" i="7" s="1"/>
  <c r="N71" i="16"/>
  <c r="E71" i="7" s="1"/>
  <c r="M71" i="16"/>
  <c r="F71" i="7" s="1"/>
  <c r="O70" i="16"/>
  <c r="H70" i="7" s="1"/>
  <c r="N70" i="16"/>
  <c r="E70" i="7" s="1"/>
  <c r="M70" i="16"/>
  <c r="F70" i="7" s="1"/>
  <c r="O69" i="16"/>
  <c r="H69" i="7" s="1"/>
  <c r="N69" i="16"/>
  <c r="E69" i="7" s="1"/>
  <c r="M69" i="16"/>
  <c r="O68" i="16"/>
  <c r="H68" i="7" s="1"/>
  <c r="N68" i="16"/>
  <c r="E68" i="7" s="1"/>
  <c r="M68" i="16"/>
  <c r="F68" i="7" s="1"/>
  <c r="O67" i="16"/>
  <c r="H67" i="7" s="1"/>
  <c r="N67" i="16"/>
  <c r="M67" i="16"/>
  <c r="F67" i="7" s="1"/>
  <c r="O66" i="16"/>
  <c r="H66" i="7" s="1"/>
  <c r="N66" i="16"/>
  <c r="E66" i="7" s="1"/>
  <c r="M66" i="16"/>
  <c r="O65" i="16"/>
  <c r="H65" i="7" s="1"/>
  <c r="N65" i="16"/>
  <c r="M65" i="16"/>
  <c r="F65" i="7" s="1"/>
  <c r="O64" i="16"/>
  <c r="H64" i="7" s="1"/>
  <c r="N64" i="16"/>
  <c r="E64" i="7" s="1"/>
  <c r="M64" i="16"/>
  <c r="F64" i="7" s="1"/>
  <c r="O63" i="16"/>
  <c r="H63" i="7" s="1"/>
  <c r="N63" i="16"/>
  <c r="M63" i="16"/>
  <c r="F63" i="7" s="1"/>
  <c r="O62" i="16"/>
  <c r="H62" i="7" s="1"/>
  <c r="N62" i="16"/>
  <c r="E62" i="7" s="1"/>
  <c r="M62" i="16"/>
  <c r="F62" i="7" s="1"/>
  <c r="O61" i="16"/>
  <c r="H61" i="7" s="1"/>
  <c r="N61" i="16"/>
  <c r="E61" i="7" s="1"/>
  <c r="M61" i="16"/>
  <c r="F61" i="7" s="1"/>
  <c r="O60" i="16"/>
  <c r="H60" i="7" s="1"/>
  <c r="N60" i="16"/>
  <c r="E60" i="7" s="1"/>
  <c r="M60" i="16"/>
  <c r="F60" i="7" s="1"/>
  <c r="O59" i="16"/>
  <c r="H59" i="7" s="1"/>
  <c r="N59" i="16"/>
  <c r="M59" i="16"/>
  <c r="F59" i="7" s="1"/>
  <c r="O58" i="16"/>
  <c r="H58" i="7" s="1"/>
  <c r="N58" i="16"/>
  <c r="E58" i="7" s="1"/>
  <c r="M58" i="16"/>
  <c r="F58" i="7" s="1"/>
  <c r="O57" i="16"/>
  <c r="H57" i="7" s="1"/>
  <c r="N57" i="16"/>
  <c r="M57" i="16"/>
  <c r="F57" i="7" s="1"/>
  <c r="O55" i="16"/>
  <c r="H55" i="7" s="1"/>
  <c r="N55" i="16"/>
  <c r="E55" i="7" s="1"/>
  <c r="M55" i="16"/>
  <c r="O54" i="16"/>
  <c r="N54" i="16"/>
  <c r="E54" i="7" s="1"/>
  <c r="M54" i="16"/>
  <c r="F54" i="7" s="1"/>
  <c r="O53" i="16"/>
  <c r="H53" i="7" s="1"/>
  <c r="N53" i="16"/>
  <c r="E53" i="7" s="1"/>
  <c r="M53" i="16"/>
  <c r="O52" i="16"/>
  <c r="H52" i="7" s="1"/>
  <c r="N52" i="16"/>
  <c r="E52" i="7" s="1"/>
  <c r="M52" i="16"/>
  <c r="O51" i="16"/>
  <c r="H51" i="7" s="1"/>
  <c r="N51" i="16"/>
  <c r="E51" i="7" s="1"/>
  <c r="M51" i="16"/>
  <c r="O50" i="16"/>
  <c r="N50" i="16"/>
  <c r="E50" i="7" s="1"/>
  <c r="M50" i="16"/>
  <c r="F50" i="7" s="1"/>
  <c r="O49" i="16"/>
  <c r="H49" i="7" s="1"/>
  <c r="N49" i="16"/>
  <c r="E49" i="7" s="1"/>
  <c r="M49" i="16"/>
  <c r="F49" i="7" s="1"/>
  <c r="O48" i="16"/>
  <c r="H48" i="7" s="1"/>
  <c r="N48" i="16"/>
  <c r="E48" i="7" s="1"/>
  <c r="M48" i="16"/>
  <c r="O47" i="16"/>
  <c r="H47" i="7" s="1"/>
  <c r="N47" i="16"/>
  <c r="E47" i="7" s="1"/>
  <c r="M47" i="16"/>
  <c r="O46" i="16"/>
  <c r="N46" i="16"/>
  <c r="E46" i="7" s="1"/>
  <c r="M46" i="16"/>
  <c r="F46" i="7" s="1"/>
  <c r="O45" i="16"/>
  <c r="H45" i="7" s="1"/>
  <c r="N45" i="16"/>
  <c r="E45" i="7" s="1"/>
  <c r="M45" i="16"/>
  <c r="O44" i="16"/>
  <c r="H44" i="7" s="1"/>
  <c r="N44" i="16"/>
  <c r="E44" i="7" s="1"/>
  <c r="M44" i="16"/>
  <c r="O43" i="16"/>
  <c r="H43" i="7" s="1"/>
  <c r="N43" i="16"/>
  <c r="E43" i="7" s="1"/>
  <c r="M43" i="16"/>
  <c r="F43" i="7" s="1"/>
  <c r="O42" i="16"/>
  <c r="N42" i="16"/>
  <c r="E42" i="7" s="1"/>
  <c r="M42" i="16"/>
  <c r="F42" i="7" s="1"/>
  <c r="O41" i="16"/>
  <c r="H41" i="7" s="1"/>
  <c r="N41" i="16"/>
  <c r="E41" i="7" s="1"/>
  <c r="M41" i="16"/>
  <c r="O40" i="16"/>
  <c r="H40" i="7" s="1"/>
  <c r="N40" i="16"/>
  <c r="E40" i="7" s="1"/>
  <c r="M40" i="16"/>
  <c r="O39" i="16"/>
  <c r="H39" i="7" s="1"/>
  <c r="N39" i="16"/>
  <c r="E39" i="7" s="1"/>
  <c r="M39" i="16"/>
  <c r="O38" i="16"/>
  <c r="N38" i="16"/>
  <c r="E38" i="7" s="1"/>
  <c r="M38" i="16"/>
  <c r="F38" i="7" s="1"/>
  <c r="O37" i="16"/>
  <c r="H37" i="7" s="1"/>
  <c r="N37" i="16"/>
  <c r="E37" i="7" s="1"/>
  <c r="M37" i="16"/>
  <c r="O36" i="16"/>
  <c r="H36" i="7" s="1"/>
  <c r="N36" i="16"/>
  <c r="E36" i="7" s="1"/>
  <c r="M36" i="16"/>
  <c r="O35" i="16"/>
  <c r="H35" i="7" s="1"/>
  <c r="N35" i="16"/>
  <c r="E35" i="7" s="1"/>
  <c r="M35" i="16"/>
  <c r="F35" i="7" s="1"/>
  <c r="O34" i="16"/>
  <c r="N34" i="16"/>
  <c r="E34" i="7" s="1"/>
  <c r="M34" i="16"/>
  <c r="F34" i="7" s="1"/>
  <c r="O33" i="16"/>
  <c r="H33" i="7" s="1"/>
  <c r="N33" i="16"/>
  <c r="E33" i="7" s="1"/>
  <c r="M33" i="16"/>
  <c r="F33" i="7" s="1"/>
  <c r="O32" i="16"/>
  <c r="H32" i="7" s="1"/>
  <c r="N32" i="16"/>
  <c r="E32" i="7" s="1"/>
  <c r="M32" i="16"/>
  <c r="O31" i="16"/>
  <c r="H31" i="7" s="1"/>
  <c r="N31" i="16"/>
  <c r="E31" i="7" s="1"/>
  <c r="M31" i="16"/>
  <c r="O30" i="16"/>
  <c r="N30" i="16"/>
  <c r="E30" i="7" s="1"/>
  <c r="M30" i="16"/>
  <c r="F30" i="7" s="1"/>
  <c r="O29" i="16"/>
  <c r="H29" i="7" s="1"/>
  <c r="N29" i="16"/>
  <c r="E29" i="7" s="1"/>
  <c r="M29" i="16"/>
  <c r="O28" i="16"/>
  <c r="H28" i="7" s="1"/>
  <c r="N28" i="16"/>
  <c r="E28" i="7" s="1"/>
  <c r="M28" i="16"/>
  <c r="O27" i="16"/>
  <c r="H27" i="7" s="1"/>
  <c r="N27" i="16"/>
  <c r="E27" i="7" s="1"/>
  <c r="M27" i="16"/>
  <c r="F27" i="7" s="1"/>
  <c r="O26" i="16"/>
  <c r="N26" i="16"/>
  <c r="E26" i="7" s="1"/>
  <c r="M26" i="16"/>
  <c r="F26" i="7" s="1"/>
  <c r="O25" i="16"/>
  <c r="H25" i="7" s="1"/>
  <c r="N25" i="16"/>
  <c r="E25" i="7" s="1"/>
  <c r="M25" i="16"/>
  <c r="O24" i="16"/>
  <c r="H24" i="7" s="1"/>
  <c r="N24" i="16"/>
  <c r="E24" i="7" s="1"/>
  <c r="M24" i="16"/>
  <c r="O23" i="16"/>
  <c r="H23" i="7" s="1"/>
  <c r="N23" i="16"/>
  <c r="E23" i="7" s="1"/>
  <c r="M23" i="16"/>
  <c r="O22" i="16"/>
  <c r="N22" i="16"/>
  <c r="E22" i="7" s="1"/>
  <c r="M22" i="16"/>
  <c r="F22" i="7" s="1"/>
  <c r="O21" i="16"/>
  <c r="H21" i="7" s="1"/>
  <c r="N21" i="16"/>
  <c r="E21" i="7" s="1"/>
  <c r="M21" i="16"/>
  <c r="O20" i="16"/>
  <c r="H20" i="7" s="1"/>
  <c r="N20" i="16"/>
  <c r="E20" i="7" s="1"/>
  <c r="M20" i="16"/>
  <c r="O19" i="16"/>
  <c r="H19" i="7" s="1"/>
  <c r="N19" i="16"/>
  <c r="E19" i="7" s="1"/>
  <c r="M19" i="16"/>
  <c r="O17" i="16"/>
  <c r="H17" i="7" s="1"/>
  <c r="N17" i="16"/>
  <c r="E17" i="7" s="1"/>
  <c r="M17" i="16"/>
  <c r="O16" i="16"/>
  <c r="H16" i="7" s="1"/>
  <c r="N16" i="16"/>
  <c r="M16" i="16"/>
  <c r="F16" i="7" s="1"/>
  <c r="O15" i="16"/>
  <c r="H15" i="7" s="1"/>
  <c r="N15" i="16"/>
  <c r="E15" i="7" s="1"/>
  <c r="M15" i="16"/>
  <c r="O14" i="16"/>
  <c r="H14" i="7" s="1"/>
  <c r="N14" i="16"/>
  <c r="E14" i="7" s="1"/>
  <c r="M14" i="16"/>
  <c r="O13" i="16"/>
  <c r="H13" i="7" s="1"/>
  <c r="N13" i="16"/>
  <c r="E13" i="7" s="1"/>
  <c r="M13" i="16"/>
  <c r="F13" i="7" s="1"/>
  <c r="O12" i="16"/>
  <c r="H12" i="7" s="1"/>
  <c r="N12" i="16"/>
  <c r="M12" i="16"/>
  <c r="F12" i="7" s="1"/>
  <c r="O11" i="16"/>
  <c r="H11" i="7" s="1"/>
  <c r="N11" i="16"/>
  <c r="E11" i="7" s="1"/>
  <c r="M11" i="16"/>
  <c r="F11" i="7" s="1"/>
  <c r="O10" i="16"/>
  <c r="H10" i="7" s="1"/>
  <c r="N10" i="16"/>
  <c r="E10" i="7" s="1"/>
  <c r="M10" i="16"/>
  <c r="O9" i="16"/>
  <c r="H9" i="7" s="1"/>
  <c r="N9" i="16"/>
  <c r="E9" i="7" s="1"/>
  <c r="M9" i="16"/>
  <c r="O8" i="16"/>
  <c r="H8" i="7" s="1"/>
  <c r="N8" i="16"/>
  <c r="M8" i="16"/>
  <c r="F8" i="7" s="1"/>
  <c r="O7" i="16"/>
  <c r="H7" i="7" s="1"/>
  <c r="N7" i="16"/>
  <c r="E7" i="7" s="1"/>
  <c r="M7" i="16"/>
  <c r="O6" i="16"/>
  <c r="H6" i="7" s="1"/>
  <c r="N6" i="16"/>
  <c r="E6" i="7" s="1"/>
  <c r="M6" i="16"/>
  <c r="O5" i="16"/>
  <c r="H5" i="7" s="1"/>
  <c r="N5" i="16"/>
  <c r="E5" i="7" s="1"/>
  <c r="M5" i="16"/>
  <c r="F5" i="7" s="1"/>
  <c r="O4" i="16"/>
  <c r="H4" i="7" s="1"/>
  <c r="N4" i="16"/>
  <c r="E4" i="7" s="1"/>
  <c r="M4" i="16"/>
  <c r="F4" i="7" s="1"/>
  <c r="G101" i="7" l="1"/>
  <c r="H18" i="7"/>
  <c r="E56" i="7"/>
  <c r="G56" i="7"/>
  <c r="E118" i="7"/>
  <c r="G118" i="7"/>
  <c r="H101" i="7"/>
  <c r="G18" i="7"/>
  <c r="P45" i="16"/>
  <c r="P23" i="16"/>
  <c r="P78" i="16"/>
  <c r="P37" i="16"/>
  <c r="P14" i="16"/>
  <c r="P9" i="16"/>
  <c r="P17" i="16"/>
  <c r="P21" i="16"/>
  <c r="P29" i="16"/>
  <c r="P53" i="16"/>
  <c r="P7" i="16"/>
  <c r="P15" i="16"/>
  <c r="P10" i="16"/>
  <c r="P96" i="16"/>
  <c r="P76" i="16"/>
  <c r="P84" i="16"/>
  <c r="P92" i="16"/>
  <c r="F76" i="7"/>
  <c r="P5" i="16"/>
  <c r="P13" i="16"/>
  <c r="P60" i="16"/>
  <c r="P66" i="16"/>
  <c r="P74" i="16"/>
  <c r="P31" i="16"/>
  <c r="P39" i="16"/>
  <c r="P47" i="16"/>
  <c r="P55" i="16"/>
  <c r="F53" i="7"/>
  <c r="P88" i="16"/>
  <c r="F29" i="7"/>
  <c r="F45" i="7"/>
  <c r="P36" i="16"/>
  <c r="F36" i="7"/>
  <c r="P82" i="16"/>
  <c r="P106" i="16"/>
  <c r="F106" i="7"/>
  <c r="P114" i="16"/>
  <c r="F114" i="7"/>
  <c r="F9" i="7"/>
  <c r="F15" i="7"/>
  <c r="F23" i="7"/>
  <c r="F39" i="7"/>
  <c r="F66" i="7"/>
  <c r="F84" i="7"/>
  <c r="P52" i="16"/>
  <c r="F52" i="7"/>
  <c r="P54" i="16"/>
  <c r="H54" i="7"/>
  <c r="P63" i="16"/>
  <c r="E63" i="7"/>
  <c r="P4" i="16"/>
  <c r="P59" i="16"/>
  <c r="E59" i="7"/>
  <c r="P77" i="16"/>
  <c r="F77" i="7"/>
  <c r="P85" i="16"/>
  <c r="F85" i="7"/>
  <c r="P90" i="16"/>
  <c r="P100" i="16"/>
  <c r="F88" i="7"/>
  <c r="F92" i="7"/>
  <c r="P38" i="16"/>
  <c r="H38" i="7"/>
  <c r="P95" i="16"/>
  <c r="E95" i="7"/>
  <c r="F10" i="7"/>
  <c r="F74" i="7"/>
  <c r="P16" i="16"/>
  <c r="E16" i="7"/>
  <c r="P28" i="16"/>
  <c r="F28" i="7"/>
  <c r="P46" i="16"/>
  <c r="H46" i="7"/>
  <c r="P99" i="16"/>
  <c r="E99" i="7"/>
  <c r="P51" i="16"/>
  <c r="P57" i="16"/>
  <c r="E57" i="7"/>
  <c r="P64" i="16"/>
  <c r="P67" i="16"/>
  <c r="E67" i="7"/>
  <c r="P80" i="16"/>
  <c r="F7" i="7"/>
  <c r="F21" i="7"/>
  <c r="F37" i="7"/>
  <c r="F47" i="7"/>
  <c r="F51" i="7"/>
  <c r="F55" i="7"/>
  <c r="F78" i="7"/>
  <c r="P22" i="16"/>
  <c r="H22" i="7"/>
  <c r="P30" i="16"/>
  <c r="H30" i="7"/>
  <c r="P44" i="16"/>
  <c r="F44" i="7"/>
  <c r="P108" i="16"/>
  <c r="F108" i="7"/>
  <c r="P116" i="16"/>
  <c r="F116" i="7"/>
  <c r="P27" i="16"/>
  <c r="P35" i="16"/>
  <c r="P43" i="16"/>
  <c r="P72" i="16"/>
  <c r="P75" i="16"/>
  <c r="E75" i="7"/>
  <c r="P102" i="16"/>
  <c r="F102" i="7"/>
  <c r="P110" i="16"/>
  <c r="F110" i="7"/>
  <c r="F31" i="7"/>
  <c r="F82" i="7"/>
  <c r="P20" i="16"/>
  <c r="F20" i="7"/>
  <c r="P69" i="16"/>
  <c r="F69" i="7"/>
  <c r="P8" i="16"/>
  <c r="E8" i="7"/>
  <c r="P25" i="16"/>
  <c r="P33" i="16"/>
  <c r="P41" i="16"/>
  <c r="P49" i="16"/>
  <c r="P58" i="16"/>
  <c r="P65" i="16"/>
  <c r="E65" i="7"/>
  <c r="P68" i="16"/>
  <c r="P73" i="16"/>
  <c r="F73" i="7"/>
  <c r="P91" i="16"/>
  <c r="E91" i="7"/>
  <c r="F14" i="7"/>
  <c r="F17" i="7"/>
  <c r="F25" i="7"/>
  <c r="F41" i="7"/>
  <c r="F90" i="7"/>
  <c r="P83" i="16"/>
  <c r="P93" i="16"/>
  <c r="P98" i="16"/>
  <c r="P104" i="16"/>
  <c r="P112" i="16"/>
  <c r="P12" i="16"/>
  <c r="P61" i="16"/>
  <c r="P71" i="16"/>
  <c r="P81" i="16"/>
  <c r="P86" i="16"/>
  <c r="P107" i="16"/>
  <c r="P109" i="16"/>
  <c r="P115" i="16"/>
  <c r="P117" i="16"/>
  <c r="E12" i="7"/>
  <c r="H109" i="7"/>
  <c r="H117" i="7"/>
  <c r="E83" i="7"/>
  <c r="P24" i="16"/>
  <c r="P26" i="16"/>
  <c r="P32" i="16"/>
  <c r="P34" i="16"/>
  <c r="P40" i="16"/>
  <c r="P42" i="16"/>
  <c r="P48" i="16"/>
  <c r="P50" i="16"/>
  <c r="P62" i="16"/>
  <c r="P79" i="16"/>
  <c r="P89" i="16"/>
  <c r="P94" i="16"/>
  <c r="F24" i="7"/>
  <c r="F32" i="7"/>
  <c r="F40" i="7"/>
  <c r="F48" i="7"/>
  <c r="F81" i="7"/>
  <c r="F89" i="7"/>
  <c r="F93" i="7"/>
  <c r="F104" i="7"/>
  <c r="F112" i="7"/>
  <c r="P6" i="16"/>
  <c r="P11" i="16"/>
  <c r="P70" i="16"/>
  <c r="P87" i="16"/>
  <c r="P97" i="16"/>
  <c r="P103" i="16"/>
  <c r="P105" i="16"/>
  <c r="P111" i="16"/>
  <c r="P113" i="16"/>
  <c r="H26" i="7"/>
  <c r="H34" i="7"/>
  <c r="H42" i="7"/>
  <c r="H50" i="7"/>
  <c r="F6" i="7"/>
  <c r="P19" i="16"/>
  <c r="N118" i="16"/>
  <c r="O118" i="16"/>
  <c r="D5" i="15"/>
  <c r="D16" i="15" s="1"/>
  <c r="D19" i="15" s="1"/>
  <c r="D5" i="14"/>
  <c r="D16" i="14" s="1"/>
  <c r="D19" i="14" s="1"/>
  <c r="M118" i="16"/>
  <c r="F19" i="7"/>
  <c r="E18" i="7" l="1"/>
  <c r="H118" i="7"/>
  <c r="F101" i="7"/>
  <c r="H56" i="7"/>
  <c r="H120" i="7" s="1"/>
  <c r="F18" i="7"/>
  <c r="F56" i="7"/>
  <c r="E101" i="7"/>
  <c r="E119" i="7" s="1"/>
  <c r="G120" i="7"/>
  <c r="G119" i="7"/>
  <c r="F118" i="7"/>
  <c r="P118" i="16"/>
  <c r="A4" i="12"/>
  <c r="H119" i="7" l="1"/>
  <c r="F120" i="7"/>
  <c r="F119" i="7"/>
  <c r="E120" i="7"/>
  <c r="H118" i="12"/>
  <c r="B4" i="12"/>
  <c r="K118" i="12"/>
  <c r="J118" i="12"/>
  <c r="I118" i="12"/>
  <c r="G118" i="12"/>
  <c r="F118" i="12"/>
  <c r="E118" i="12"/>
  <c r="D118" i="12"/>
  <c r="C118" i="12"/>
  <c r="L117" i="12"/>
  <c r="I117" i="7" s="1"/>
  <c r="L116" i="12"/>
  <c r="I116" i="7" s="1"/>
  <c r="L115" i="12"/>
  <c r="I115" i="7" s="1"/>
  <c r="L114" i="12"/>
  <c r="I114" i="7" s="1"/>
  <c r="L113" i="12"/>
  <c r="I113" i="7" s="1"/>
  <c r="L112" i="12"/>
  <c r="I112" i="7" s="1"/>
  <c r="L111" i="12"/>
  <c r="I111" i="7" s="1"/>
  <c r="L110" i="12"/>
  <c r="I110" i="7" s="1"/>
  <c r="L109" i="12"/>
  <c r="I109" i="7" s="1"/>
  <c r="L108" i="12"/>
  <c r="I108" i="7" s="1"/>
  <c r="L107" i="12"/>
  <c r="I107" i="7" s="1"/>
  <c r="L106" i="12"/>
  <c r="I106" i="7" s="1"/>
  <c r="L105" i="12"/>
  <c r="I105" i="7" s="1"/>
  <c r="L104" i="12"/>
  <c r="I104" i="7" s="1"/>
  <c r="L103" i="12"/>
  <c r="I103" i="7" s="1"/>
  <c r="L102" i="12"/>
  <c r="I102" i="7" s="1"/>
  <c r="L100" i="12"/>
  <c r="I100" i="7" s="1"/>
  <c r="L99" i="12"/>
  <c r="I99" i="7" s="1"/>
  <c r="L98" i="12"/>
  <c r="I98" i="7" s="1"/>
  <c r="L97" i="12"/>
  <c r="I97" i="7" s="1"/>
  <c r="L96" i="12"/>
  <c r="I96" i="7" s="1"/>
  <c r="L95" i="12"/>
  <c r="I95" i="7" s="1"/>
  <c r="L94" i="12"/>
  <c r="I94" i="7" s="1"/>
  <c r="L93" i="12"/>
  <c r="I93" i="7" s="1"/>
  <c r="L92" i="12"/>
  <c r="I92" i="7" s="1"/>
  <c r="L91" i="12"/>
  <c r="I91" i="7" s="1"/>
  <c r="L90" i="12"/>
  <c r="I90" i="7" s="1"/>
  <c r="L89" i="12"/>
  <c r="I89" i="7" s="1"/>
  <c r="L88" i="12"/>
  <c r="I88" i="7" s="1"/>
  <c r="L87" i="12"/>
  <c r="I87" i="7" s="1"/>
  <c r="L86" i="12"/>
  <c r="I86" i="7" s="1"/>
  <c r="L85" i="12"/>
  <c r="I85" i="7" s="1"/>
  <c r="L84" i="12"/>
  <c r="I84" i="7" s="1"/>
  <c r="L83" i="12"/>
  <c r="I83" i="7" s="1"/>
  <c r="L82" i="12"/>
  <c r="I82" i="7" s="1"/>
  <c r="L81" i="12"/>
  <c r="I81" i="7" s="1"/>
  <c r="L80" i="12"/>
  <c r="I80" i="7" s="1"/>
  <c r="L79" i="12"/>
  <c r="I79" i="7" s="1"/>
  <c r="L78" i="12"/>
  <c r="I78" i="7" s="1"/>
  <c r="L77" i="12"/>
  <c r="I77" i="7" s="1"/>
  <c r="L76" i="12"/>
  <c r="I76" i="7" s="1"/>
  <c r="L75" i="12"/>
  <c r="I75" i="7" s="1"/>
  <c r="L74" i="12"/>
  <c r="I74" i="7" s="1"/>
  <c r="L73" i="12"/>
  <c r="I73" i="7" s="1"/>
  <c r="L72" i="12"/>
  <c r="I72" i="7" s="1"/>
  <c r="L71" i="12"/>
  <c r="I71" i="7" s="1"/>
  <c r="L70" i="12"/>
  <c r="I70" i="7" s="1"/>
  <c r="L69" i="12"/>
  <c r="I69" i="7" s="1"/>
  <c r="L68" i="12"/>
  <c r="I68" i="7" s="1"/>
  <c r="L67" i="12"/>
  <c r="I67" i="7" s="1"/>
  <c r="L66" i="12"/>
  <c r="I66" i="7" s="1"/>
  <c r="L65" i="12"/>
  <c r="I65" i="7" s="1"/>
  <c r="L64" i="12"/>
  <c r="I64" i="7" s="1"/>
  <c r="L63" i="12"/>
  <c r="I63" i="7" s="1"/>
  <c r="L62" i="12"/>
  <c r="I62" i="7" s="1"/>
  <c r="L61" i="12"/>
  <c r="I61" i="7" s="1"/>
  <c r="L60" i="12"/>
  <c r="I60" i="7" s="1"/>
  <c r="L59" i="12"/>
  <c r="I59" i="7" s="1"/>
  <c r="L58" i="12"/>
  <c r="I58" i="7" s="1"/>
  <c r="L57" i="12"/>
  <c r="I57" i="7" s="1"/>
  <c r="L55" i="12"/>
  <c r="I55" i="7" s="1"/>
  <c r="L54" i="12"/>
  <c r="I54" i="7" s="1"/>
  <c r="L53" i="12"/>
  <c r="I53" i="7" s="1"/>
  <c r="L52" i="12"/>
  <c r="I52" i="7" s="1"/>
  <c r="L51" i="12"/>
  <c r="I51" i="7" s="1"/>
  <c r="L50" i="12"/>
  <c r="I50" i="7" s="1"/>
  <c r="L49" i="12"/>
  <c r="I49" i="7" s="1"/>
  <c r="I48" i="7"/>
  <c r="L47" i="12"/>
  <c r="I47" i="7" s="1"/>
  <c r="L46" i="12"/>
  <c r="I46" i="7" s="1"/>
  <c r="L45" i="12"/>
  <c r="I45" i="7" s="1"/>
  <c r="L44" i="12"/>
  <c r="I44" i="7" s="1"/>
  <c r="L43" i="12"/>
  <c r="I43" i="7" s="1"/>
  <c r="L42" i="12"/>
  <c r="I42" i="7" s="1"/>
  <c r="L41" i="12"/>
  <c r="I41" i="7" s="1"/>
  <c r="L40" i="12"/>
  <c r="I40" i="7" s="1"/>
  <c r="L39" i="12"/>
  <c r="I39" i="7" s="1"/>
  <c r="L38" i="12"/>
  <c r="I38" i="7" s="1"/>
  <c r="L37" i="12"/>
  <c r="I37" i="7" s="1"/>
  <c r="L36" i="12"/>
  <c r="I36" i="7" s="1"/>
  <c r="L35" i="12"/>
  <c r="I35" i="7" s="1"/>
  <c r="L34" i="12"/>
  <c r="I34" i="7" s="1"/>
  <c r="L33" i="12"/>
  <c r="I33" i="7" s="1"/>
  <c r="L32" i="12"/>
  <c r="I32" i="7" s="1"/>
  <c r="L31" i="12"/>
  <c r="I31" i="7" s="1"/>
  <c r="L30" i="12"/>
  <c r="I30" i="7" s="1"/>
  <c r="L29" i="12"/>
  <c r="I29" i="7" s="1"/>
  <c r="L28" i="12"/>
  <c r="I28" i="7" s="1"/>
  <c r="L27" i="12"/>
  <c r="I27" i="7" s="1"/>
  <c r="L26" i="12"/>
  <c r="I26" i="7" s="1"/>
  <c r="L25" i="12"/>
  <c r="I25" i="7" s="1"/>
  <c r="L24" i="12"/>
  <c r="I24" i="7" s="1"/>
  <c r="L23" i="12"/>
  <c r="I23" i="7"/>
  <c r="L22" i="12"/>
  <c r="I22" i="7" s="1"/>
  <c r="L21" i="12"/>
  <c r="I21" i="7" s="1"/>
  <c r="L20" i="12"/>
  <c r="I20" i="7" s="1"/>
  <c r="L19" i="12"/>
  <c r="I19" i="7" s="1"/>
  <c r="L17" i="12"/>
  <c r="I17" i="7" s="1"/>
  <c r="L16" i="12"/>
  <c r="I16" i="7" s="1"/>
  <c r="L15" i="12"/>
  <c r="I15" i="7" s="1"/>
  <c r="L14" i="12"/>
  <c r="I14" i="7" s="1"/>
  <c r="L13" i="12"/>
  <c r="I13" i="7" s="1"/>
  <c r="L12" i="12"/>
  <c r="I12" i="7" s="1"/>
  <c r="L11" i="12"/>
  <c r="I11" i="7" s="1"/>
  <c r="L10" i="12"/>
  <c r="I10" i="7" s="1"/>
  <c r="L9" i="12"/>
  <c r="I9" i="7" s="1"/>
  <c r="L8" i="12"/>
  <c r="I8" i="7" s="1"/>
  <c r="L7" i="12"/>
  <c r="I7" i="7" s="1"/>
  <c r="L6" i="12"/>
  <c r="I6" i="7" s="1"/>
  <c r="L5" i="12"/>
  <c r="I5" i="7" s="1"/>
  <c r="L4" i="12"/>
  <c r="I4" i="7" s="1"/>
  <c r="K188" i="12"/>
  <c r="J188" i="12"/>
  <c r="I188" i="12"/>
  <c r="H188" i="12"/>
  <c r="G188" i="12"/>
  <c r="F188" i="12"/>
  <c r="E188" i="12"/>
  <c r="D188" i="12"/>
  <c r="C188" i="12"/>
  <c r="L188" i="12" l="1"/>
  <c r="I56" i="7"/>
  <c r="I18" i="7"/>
  <c r="I118" i="7"/>
  <c r="I101" i="7"/>
  <c r="J6" i="7"/>
  <c r="J83" i="7"/>
  <c r="J87" i="7"/>
  <c r="J95" i="7"/>
  <c r="J44" i="7"/>
  <c r="J55" i="7"/>
  <c r="J17" i="7"/>
  <c r="J40" i="7"/>
  <c r="K60" i="7"/>
  <c r="K25" i="7"/>
  <c r="K29" i="7"/>
  <c r="J41" i="7"/>
  <c r="J42" i="7"/>
  <c r="J50" i="7"/>
  <c r="K57" i="7"/>
  <c r="J29" i="7"/>
  <c r="J99" i="7"/>
  <c r="J104" i="7"/>
  <c r="K27" i="7"/>
  <c r="J4" i="7"/>
  <c r="J13" i="7"/>
  <c r="K21" i="7"/>
  <c r="J34" i="7"/>
  <c r="J38" i="7"/>
  <c r="J62" i="7"/>
  <c r="J74" i="7"/>
  <c r="K85" i="7"/>
  <c r="K93" i="7"/>
  <c r="J116" i="7"/>
  <c r="K114" i="7"/>
  <c r="J112" i="7"/>
  <c r="K104" i="7"/>
  <c r="K108" i="7"/>
  <c r="K102" i="7"/>
  <c r="K106" i="7"/>
  <c r="J114" i="7"/>
  <c r="J115" i="7"/>
  <c r="J117" i="7"/>
  <c r="K65" i="7"/>
  <c r="K89" i="7"/>
  <c r="J65" i="7"/>
  <c r="J69" i="7"/>
  <c r="J77" i="7"/>
  <c r="K71" i="7"/>
  <c r="K99" i="7"/>
  <c r="J72" i="7"/>
  <c r="J97" i="7"/>
  <c r="K68" i="7"/>
  <c r="K72" i="7"/>
  <c r="K51" i="7"/>
  <c r="J30" i="7"/>
  <c r="J52" i="7"/>
  <c r="K43" i="7"/>
  <c r="K53" i="7"/>
  <c r="K31" i="7"/>
  <c r="J37" i="7"/>
  <c r="J51" i="7"/>
  <c r="K38" i="7"/>
  <c r="K55" i="7"/>
  <c r="K33" i="7"/>
  <c r="J45" i="7"/>
  <c r="J49" i="7"/>
  <c r="K34" i="7"/>
  <c r="K45" i="7"/>
  <c r="J53" i="7"/>
  <c r="J9" i="7"/>
  <c r="K9" i="7"/>
  <c r="K107" i="7"/>
  <c r="K110" i="7"/>
  <c r="K113" i="7"/>
  <c r="K103" i="7"/>
  <c r="K117" i="7"/>
  <c r="K78" i="7"/>
  <c r="K77" i="7"/>
  <c r="K83" i="7"/>
  <c r="K98" i="7"/>
  <c r="K92" i="7"/>
  <c r="K67" i="7"/>
  <c r="K69" i="7"/>
  <c r="K76" i="7"/>
  <c r="K63" i="7"/>
  <c r="K64" i="7"/>
  <c r="K74" i="7"/>
  <c r="K79" i="7"/>
  <c r="K90" i="7"/>
  <c r="K94" i="7"/>
  <c r="L118" i="12"/>
  <c r="K58" i="7"/>
  <c r="K62" i="7"/>
  <c r="K26" i="7"/>
  <c r="K42" i="7"/>
  <c r="K41" i="7"/>
  <c r="K49" i="7"/>
  <c r="K22" i="7"/>
  <c r="K52" i="7"/>
  <c r="K46" i="7"/>
  <c r="K30" i="7"/>
  <c r="K36" i="7"/>
  <c r="K37" i="7"/>
  <c r="K32" i="7"/>
  <c r="K47" i="7"/>
  <c r="K7" i="7"/>
  <c r="K11" i="7"/>
  <c r="K15" i="7"/>
  <c r="K14" i="7"/>
  <c r="K8" i="7"/>
  <c r="K5" i="7"/>
  <c r="J5" i="7"/>
  <c r="K20" i="7"/>
  <c r="K35" i="7"/>
  <c r="J25" i="7"/>
  <c r="J39" i="7"/>
  <c r="J31" i="7"/>
  <c r="J58" i="7"/>
  <c r="J60" i="7"/>
  <c r="J64" i="7"/>
  <c r="J68" i="7"/>
  <c r="J57" i="7"/>
  <c r="J32" i="7"/>
  <c r="J35" i="7"/>
  <c r="J8" i="7"/>
  <c r="J16" i="7"/>
  <c r="J20" i="7"/>
  <c r="J28" i="7"/>
  <c r="J36" i="7"/>
  <c r="J79" i="7"/>
  <c r="J81" i="7"/>
  <c r="J75" i="7"/>
  <c r="J82" i="7"/>
  <c r="J47" i="7"/>
  <c r="J14" i="7"/>
  <c r="J15" i="7"/>
  <c r="J19" i="7"/>
  <c r="J22" i="7"/>
  <c r="J24" i="7"/>
  <c r="J33" i="7"/>
  <c r="J59" i="7"/>
  <c r="J78" i="7"/>
  <c r="J94" i="7"/>
  <c r="J7" i="7"/>
  <c r="J10" i="7"/>
  <c r="J23" i="7"/>
  <c r="J12" i="7"/>
  <c r="K24" i="7"/>
  <c r="J54" i="7"/>
  <c r="J67" i="7"/>
  <c r="J71" i="7"/>
  <c r="J89" i="7"/>
  <c r="J93" i="7"/>
  <c r="J100" i="7"/>
  <c r="J109" i="7"/>
  <c r="J84" i="7"/>
  <c r="J73" i="7"/>
  <c r="J80" i="7"/>
  <c r="J88" i="7"/>
  <c r="J92" i="7"/>
  <c r="J98" i="7"/>
  <c r="J107" i="7"/>
  <c r="K10" i="7"/>
  <c r="K17" i="7"/>
  <c r="J43" i="7"/>
  <c r="J48" i="7"/>
  <c r="K80" i="7"/>
  <c r="K87" i="7"/>
  <c r="J102" i="7"/>
  <c r="J26" i="7"/>
  <c r="J11" i="7"/>
  <c r="J76" i="7"/>
  <c r="J86" i="7"/>
  <c r="J96" i="7"/>
  <c r="J105" i="7"/>
  <c r="J106" i="7"/>
  <c r="J113" i="7"/>
  <c r="K48" i="7"/>
  <c r="J108" i="7"/>
  <c r="J111" i="7"/>
  <c r="J46" i="7"/>
  <c r="J90" i="7"/>
  <c r="J103" i="7"/>
  <c r="J91" i="7"/>
  <c r="K6" i="7"/>
  <c r="J21" i="7"/>
  <c r="K28" i="7"/>
  <c r="K44" i="7"/>
  <c r="K54" i="7"/>
  <c r="K61" i="7"/>
  <c r="K75" i="7"/>
  <c r="K81" i="7"/>
  <c r="K84" i="7"/>
  <c r="K91" i="7"/>
  <c r="K97" i="7"/>
  <c r="K100" i="7"/>
  <c r="K111" i="7"/>
  <c r="K115" i="7"/>
  <c r="K12" i="7"/>
  <c r="K82" i="7"/>
  <c r="J85" i="7"/>
  <c r="K88" i="7"/>
  <c r="K95" i="7"/>
  <c r="K105" i="7"/>
  <c r="K112" i="7"/>
  <c r="K116" i="7"/>
  <c r="K4" i="7"/>
  <c r="K13" i="7"/>
  <c r="K16" i="7"/>
  <c r="K19" i="7"/>
  <c r="K23" i="7"/>
  <c r="K39" i="7"/>
  <c r="K40" i="7"/>
  <c r="K50" i="7"/>
  <c r="K59" i="7"/>
  <c r="K66" i="7"/>
  <c r="K70" i="7"/>
  <c r="K73" i="7"/>
  <c r="K86" i="7"/>
  <c r="K96" i="7"/>
  <c r="K109" i="7"/>
  <c r="J110" i="7"/>
  <c r="J66" i="7"/>
  <c r="J70" i="7"/>
  <c r="J61" i="7"/>
  <c r="J63" i="7"/>
  <c r="J27" i="7"/>
  <c r="I120" i="7" l="1"/>
  <c r="I119" i="7"/>
  <c r="K118" i="7"/>
  <c r="K101" i="7"/>
  <c r="J118" i="7"/>
  <c r="J101" i="7"/>
  <c r="K56" i="7"/>
  <c r="J56" i="7"/>
  <c r="K18" i="7"/>
  <c r="J18" i="7"/>
  <c r="L118" i="7"/>
  <c r="L101" i="7"/>
  <c r="L18" i="7"/>
  <c r="L56" i="7"/>
  <c r="K119" i="7" l="1"/>
  <c r="J119" i="7"/>
  <c r="K120" i="7"/>
  <c r="J120" i="7"/>
  <c r="L119" i="7"/>
  <c r="L120" i="7"/>
</calcChain>
</file>

<file path=xl/sharedStrings.xml><?xml version="1.0" encoding="utf-8"?>
<sst xmlns="http://schemas.openxmlformats.org/spreadsheetml/2006/main" count="233" uniqueCount="159">
  <si>
    <t>اجمالي الشركاء</t>
  </si>
  <si>
    <t>اجمالي العاملين</t>
  </si>
  <si>
    <t>رقم الحساب</t>
  </si>
  <si>
    <t>مسحوبات/خصم من المرتب/الاتعاب</t>
  </si>
  <si>
    <t>مسحوبات لبنوك أخرى</t>
  </si>
  <si>
    <t>#</t>
  </si>
  <si>
    <t>الشهر</t>
  </si>
  <si>
    <t>قيمة التأمين الصحي المخصوم</t>
  </si>
  <si>
    <t>خصومات</t>
  </si>
  <si>
    <t>قيمة التأمين الصحي الممنوح</t>
  </si>
  <si>
    <t>ضرائب محامين</t>
  </si>
  <si>
    <t>قيمة التأمين الإجتماعي الممنوح</t>
  </si>
  <si>
    <t>الإجمالي قبل الخصم
GROSS</t>
  </si>
  <si>
    <t>الصافى بعد الخصم
 أو الزيادة
NET</t>
  </si>
  <si>
    <t>خصومات شهرية</t>
  </si>
  <si>
    <t>خصومات تليفون</t>
  </si>
  <si>
    <t>ملحوظات</t>
  </si>
  <si>
    <t>تحويل/شيك</t>
  </si>
  <si>
    <t>م</t>
  </si>
  <si>
    <t>اضافات شهرية</t>
  </si>
  <si>
    <t>بدلات تليفون</t>
  </si>
  <si>
    <t>بدلات انتقال</t>
  </si>
  <si>
    <t>بدلات اخري</t>
  </si>
  <si>
    <t>تأخيرات</t>
  </si>
  <si>
    <t>اجازات غير مدفوعة المرتب</t>
  </si>
  <si>
    <t>خصومات تسجيل ساعات العمل</t>
  </si>
  <si>
    <t>خصومات اخري</t>
  </si>
  <si>
    <t>Row</t>
  </si>
  <si>
    <t>إضافات على المرتب</t>
  </si>
  <si>
    <t>بدلات سكن</t>
  </si>
  <si>
    <t>خصومات / Deductions</t>
  </si>
  <si>
    <t>علاوات / Bouns</t>
  </si>
  <si>
    <t>إضافات مباشرة / Direct Additions</t>
  </si>
  <si>
    <t>إضافات غير مباشرة / In direct additions</t>
  </si>
  <si>
    <t>صافي الاتعاب والمرتبات / Salary</t>
  </si>
  <si>
    <t>الاسماء / Name</t>
  </si>
  <si>
    <t>بدلات تليفون / Phone Allowance</t>
  </si>
  <si>
    <t>بدلات انتقال / Transportation Allowance</t>
  </si>
  <si>
    <t>بدل سكن / Accommodation Allowance</t>
  </si>
  <si>
    <t>قيمة التأمين الإجتماعي الممنوح / Given Social Insurance</t>
  </si>
  <si>
    <t>ضرائب إداريين/محامين / Taxs</t>
  </si>
  <si>
    <t xml:space="preserve">قيمة التأمين الصحي الممنوح \ Given Medical Insurance </t>
  </si>
  <si>
    <t>بدلات اخري / Allowances</t>
  </si>
  <si>
    <t>اجمالي إضافات مباشرة / Total Direct Allownces</t>
  </si>
  <si>
    <t>اجمالي إضافات غير مباشرة / Total InDirect Allownces</t>
  </si>
  <si>
    <t>اجمالي علاوات / Total Bouns</t>
  </si>
  <si>
    <t>اجمالي الإضافات / Total Allowances</t>
  </si>
  <si>
    <t>قيمة التأمين الصحي المخصوم / Deducted Medical Insurance</t>
  </si>
  <si>
    <t>ضرائب محامين / Laywers Taxs</t>
  </si>
  <si>
    <t>مسحوبات لبنوك أخرى / Other bank withdrawal</t>
  </si>
  <si>
    <t>مسحوبات/خصم من المرتب/الاتعاب / Loans or Deductions</t>
  </si>
  <si>
    <t>خصومات تليفون / Phone Deduction</t>
  </si>
  <si>
    <t>اجازات غير مدفوعة المرتب / Unpaid Vacation</t>
  </si>
  <si>
    <t>تأخيرات / Late</t>
  </si>
  <si>
    <t>خصومات تسجيل ساعات العمل / Time sheet</t>
  </si>
  <si>
    <t>خصومات اخري/ Other Deductions</t>
  </si>
  <si>
    <t>اجمالي الخصومات / Total Deductions</t>
  </si>
  <si>
    <t>زيادة سنوية / Yearly Increase</t>
  </si>
  <si>
    <t>مكافئات شهرية / Monthly Bonus</t>
  </si>
  <si>
    <t>مكافئات سنوية / Annual Bonus</t>
  </si>
  <si>
    <t>شركاء</t>
  </si>
  <si>
    <t>محامين</t>
  </si>
  <si>
    <t>مجموع</t>
  </si>
  <si>
    <t>المجموع</t>
  </si>
  <si>
    <t>أ/محمد عبد العزيز عبدالحافظ</t>
  </si>
  <si>
    <t>أ/منة الله البلتاجى</t>
  </si>
  <si>
    <t>أ/محمد حمدى كامل</t>
  </si>
  <si>
    <t>أ/هاني أحمد الدالي</t>
  </si>
  <si>
    <t>أ/نهى عمرو محمد رضوان</t>
  </si>
  <si>
    <t>اتعاب/ راتب</t>
  </si>
  <si>
    <t>أ/خالد محمد حلمى</t>
  </si>
  <si>
    <t>أ/دعاء عبد الدايم إبراهيم نصار</t>
  </si>
  <si>
    <t>أ/ محمد فاروق عبد الحليم</t>
  </si>
  <si>
    <t>أ/سامي ابراهيم محمد</t>
  </si>
  <si>
    <t>أ/شريف شكرى محمد</t>
  </si>
  <si>
    <t>أ/ نيرمين عصمت محمد حجازي</t>
  </si>
  <si>
    <t>أ/ أحمد محمد عبدالسلام</t>
  </si>
  <si>
    <t>طريقة الدفع</t>
  </si>
  <si>
    <t>أ/ناجى رمضان أمين محمد</t>
  </si>
  <si>
    <t>اجمالي المحامين</t>
  </si>
  <si>
    <t xml:space="preserve">بدلات </t>
  </si>
  <si>
    <t>اجمالي صافي الاتعاب والمرتبات فقط بدون المستشارين</t>
  </si>
  <si>
    <t>Spare</t>
  </si>
  <si>
    <t>أ/أحمد سيف الدين أبو بكر سري الدين</t>
  </si>
  <si>
    <t>اجمالي المستشارين</t>
  </si>
  <si>
    <t>أ/هالة فوزي</t>
  </si>
  <si>
    <t>د/أمجد سعيد</t>
  </si>
  <si>
    <t>د/وليد رزق</t>
  </si>
  <si>
    <t>د/أمينة العطيفي</t>
  </si>
  <si>
    <t>عاملين</t>
  </si>
  <si>
    <t>مستشارين</t>
  </si>
  <si>
    <t>أ/ أحمد سعيد أحمد محمد علي</t>
  </si>
  <si>
    <t>الصافي بعد الخصم والإضافة</t>
  </si>
  <si>
    <t>مزايا مخصومة من إجمالي المرتب / اتعاب شهرية</t>
  </si>
  <si>
    <t>Senior Spare</t>
  </si>
  <si>
    <t>Manager Spare</t>
  </si>
  <si>
    <t xml:space="preserve">أ/أحمد سمير حسن السيد </t>
  </si>
  <si>
    <t>Month</t>
  </si>
  <si>
    <t>Name</t>
  </si>
  <si>
    <t>Salary\ Fees</t>
  </si>
  <si>
    <t>Deductions</t>
  </si>
  <si>
    <t>NET</t>
  </si>
  <si>
    <t>Phone Allowance</t>
  </si>
  <si>
    <t>Transportation Allowance</t>
  </si>
  <si>
    <t>Accommodation Allowance</t>
  </si>
  <si>
    <t>Other Allowance</t>
  </si>
  <si>
    <t>Given Medical Insurance</t>
  </si>
  <si>
    <t>Taxs</t>
  </si>
  <si>
    <t>Given Social Insurance</t>
  </si>
  <si>
    <t>Lawyer Tax</t>
  </si>
  <si>
    <t>Deducted Medical Insurance</t>
  </si>
  <si>
    <t>Other bank withdrawal</t>
  </si>
  <si>
    <t>Loans or Deductions</t>
  </si>
  <si>
    <t>Phone Deduction</t>
  </si>
  <si>
    <t>Unpaid Vacation</t>
  </si>
  <si>
    <t>Late Deduction</t>
  </si>
  <si>
    <t>Other Deductions</t>
  </si>
  <si>
    <t>Benefits deducted from the total Monthly Salary/Fees</t>
  </si>
  <si>
    <t>Time sheet Deduction</t>
  </si>
  <si>
    <t>الإسم</t>
  </si>
  <si>
    <t>الاجمالي صافي الاتعاب والمرتبات والمستشاريين</t>
  </si>
  <si>
    <t>Gross</t>
  </si>
  <si>
    <t>الإجمالي بالخصم والإضافة</t>
  </si>
  <si>
    <t>Additions and Allowances</t>
  </si>
  <si>
    <t>أ/حبيبة محمود سمير محمود عيسى</t>
  </si>
  <si>
    <t>أ/محمد حسن محمد كامل</t>
  </si>
  <si>
    <t>أ/ منة الله محب عبدالغفار السيد</t>
  </si>
  <si>
    <t>أ/عبد الله عمرو حافظ</t>
  </si>
  <si>
    <t>د/هانى صلاح الدين محمد سري الدين</t>
  </si>
  <si>
    <t>أ/أميرة محمد على شريف</t>
  </si>
  <si>
    <t>أ/إيهاب حمدى ابراهيم</t>
  </si>
  <si>
    <t>أ/حازم ابراهيم عبد الحميد محمد فتاتة</t>
  </si>
  <si>
    <t>أ/أحمد محمد رزق</t>
  </si>
  <si>
    <t>أ/احمد ابو العباس محمد الاتربي</t>
  </si>
  <si>
    <t>أ/ليلي امين محمد امين طموم</t>
  </si>
  <si>
    <t>أ/كريم ايمن محمد عادل</t>
  </si>
  <si>
    <t>أ/عبدالرحمن أحمد عبدالعزيز حسن</t>
  </si>
  <si>
    <t>أ/مروة شريف عبدالحميد سلامة</t>
  </si>
  <si>
    <t>أ/إيمان صبحى شكرى</t>
  </si>
  <si>
    <t>أ/عمرو عبد الكريم صقر</t>
  </si>
  <si>
    <t>أ/مختار احمد المجدلي</t>
  </si>
  <si>
    <t>أ/طارق محمد جمعه</t>
  </si>
  <si>
    <t>أ/محمد عبدالجواد محمد</t>
  </si>
  <si>
    <t>أ/عاصم محمد سعيد عبده</t>
  </si>
  <si>
    <t>أ/محمود على محمود حسين</t>
  </si>
  <si>
    <t>د/ أحمد بغدادي رشدي محمد</t>
  </si>
  <si>
    <t>أ/ نجوى إبراهيم محمود غنيم</t>
  </si>
  <si>
    <t>عمرو محمد عبدالحليم أبو سليم</t>
  </si>
  <si>
    <t xml:space="preserve">ضرائب </t>
  </si>
  <si>
    <t>شهر نوفمبر 2025</t>
  </si>
  <si>
    <t>ديسمبر 2025</t>
  </si>
  <si>
    <t>شهر ديسمبر 2025</t>
  </si>
  <si>
    <t>Refund for taxes deductions 3/3</t>
  </si>
  <si>
    <t>الخروج من التأمينات شهر بعد تاريخ انتهاء العمل</t>
  </si>
  <si>
    <t>محمد حسين محمد محمد</t>
  </si>
  <si>
    <t>مستشار محمد ماهر عبدالواحد</t>
  </si>
  <si>
    <t>المستشار محمد ماهر عبدالواحد</t>
  </si>
  <si>
    <t>He ejoined 21-12-2025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</si>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</sst>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-* #,##0.00_-;_-* #,##0.00\-;_-* &quot;-&quot;??_-;_-@_-"/>
    <numFmt numFmtId="166" formatCode="0.0"/>
    <numFmt numFmtId="167" formatCode="_-* #,##0_-;_-* #,##0\-;_-* &quot;-&quot;??_-;_-@_-"/>
    <numFmt numFmtId="168" formatCode="[$-20B0000]d\ mmmm\ yyyy;@"/>
    <numFmt numFmtId="169" formatCode="[$-409]d\-mmm\-yyyy;@"/>
  </numFmts>
  <fonts count="31" x14ac:knownFonts="1">
    <font>
      <sz val="10"/>
      <name val="Arial"/>
      <charset val="178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2"/>
      <color indexed="10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2"/>
      <name val="Arial"/>
      <family val="2"/>
    </font>
    <font>
      <sz val="13"/>
      <name val="Arial"/>
      <family val="2"/>
    </font>
    <font>
      <b/>
      <sz val="13"/>
      <name val="Arial"/>
      <family val="2"/>
    </font>
    <font>
      <sz val="12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b/>
      <sz val="10"/>
      <color rgb="FFFF0000"/>
      <name val="Arial"/>
      <family val="2"/>
    </font>
    <font>
      <b/>
      <sz val="12"/>
      <color theme="1"/>
      <name val="Arial"/>
      <family val="2"/>
    </font>
    <font>
      <b/>
      <sz val="10"/>
      <color theme="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4"/>
      <color rgb="FFFF0000"/>
      <name val="Arial"/>
      <family val="2"/>
    </font>
    <font>
      <sz val="12"/>
      <color theme="1"/>
      <name val="Arial"/>
      <family val="2"/>
    </font>
    <font>
      <b/>
      <sz val="8"/>
      <name val="Arial"/>
      <family val="2"/>
    </font>
    <font>
      <b/>
      <sz val="16"/>
      <color theme="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0066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E7194A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theme="0" tint="-0.14999847407452621"/>
      </patternFill>
    </fill>
    <fill>
      <patternFill patternType="solid">
        <fgColor rgb="FF00B0F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0" fillId="0" borderId="0"/>
  </cellStyleXfs>
  <cellXfs count="198">
    <xf numFmtId="0" fontId="0" fillId="0" borderId="0" xfId="0"/>
    <xf numFmtId="4" fontId="3" fillId="0" borderId="0" xfId="0" applyNumberFormat="1" applyFont="1"/>
    <xf numFmtId="0" fontId="7" fillId="0" borderId="0" xfId="0" applyFont="1"/>
    <xf numFmtId="0" fontId="0" fillId="0" borderId="1" xfId="0" applyBorder="1"/>
    <xf numFmtId="0" fontId="7" fillId="0" borderId="1" xfId="0" applyFont="1" applyBorder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2" xfId="0" applyBorder="1"/>
    <xf numFmtId="0" fontId="4" fillId="0" borderId="0" xfId="0" applyFont="1"/>
    <xf numFmtId="0" fontId="3" fillId="0" borderId="0" xfId="0" applyFont="1"/>
    <xf numFmtId="4" fontId="6" fillId="0" borderId="1" xfId="0" applyNumberFormat="1" applyFont="1" applyBorder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4" fontId="22" fillId="0" borderId="0" xfId="0" applyNumberFormat="1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/>
    <xf numFmtId="2" fontId="13" fillId="0" borderId="0" xfId="0" applyNumberFormat="1" applyFont="1"/>
    <xf numFmtId="0" fontId="0" fillId="3" borderId="1" xfId="0" applyFill="1" applyBorder="1"/>
    <xf numFmtId="4" fontId="0" fillId="3" borderId="1" xfId="0" applyNumberFormat="1" applyFill="1" applyBorder="1" applyAlignment="1">
      <alignment horizontal="center" vertical="center"/>
    </xf>
    <xf numFmtId="0" fontId="7" fillId="3" borderId="1" xfId="0" applyFont="1" applyFill="1" applyBorder="1"/>
    <xf numFmtId="4" fontId="6" fillId="3" borderId="1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 readingOrder="2"/>
    </xf>
    <xf numFmtId="4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center" vertical="center"/>
    </xf>
    <xf numFmtId="2" fontId="15" fillId="0" borderId="0" xfId="0" applyNumberFormat="1" applyFont="1"/>
    <xf numFmtId="4" fontId="21" fillId="3" borderId="1" xfId="3" applyNumberFormat="1" applyFill="1" applyBorder="1" applyAlignment="1" applyProtection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6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right" vertical="center" indent="1"/>
    </xf>
    <xf numFmtId="4" fontId="0" fillId="0" borderId="8" xfId="0" applyNumberFormat="1" applyBorder="1" applyAlignment="1">
      <alignment horizontal="right" vertical="center"/>
    </xf>
    <xf numFmtId="4" fontId="0" fillId="0" borderId="8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indent="1"/>
    </xf>
    <xf numFmtId="0" fontId="7" fillId="0" borderId="9" xfId="0" applyFont="1" applyBorder="1" applyAlignment="1">
      <alignment horizontal="right" vertical="center" indent="1"/>
    </xf>
    <xf numFmtId="0" fontId="7" fillId="0" borderId="10" xfId="0" applyFont="1" applyBorder="1" applyAlignment="1">
      <alignment horizontal="right" vertical="center" indent="1"/>
    </xf>
    <xf numFmtId="0" fontId="7" fillId="0" borderId="11" xfId="0" applyFont="1" applyBorder="1" applyAlignment="1">
      <alignment horizontal="right" vertical="center" indent="1"/>
    </xf>
    <xf numFmtId="0" fontId="0" fillId="0" borderId="12" xfId="0" applyBorder="1"/>
    <xf numFmtId="0" fontId="0" fillId="0" borderId="13" xfId="0" applyBorder="1"/>
    <xf numFmtId="0" fontId="0" fillId="3" borderId="0" xfId="0" applyFill="1"/>
    <xf numFmtId="0" fontId="8" fillId="3" borderId="0" xfId="0" applyFont="1" applyFill="1"/>
    <xf numFmtId="0" fontId="5" fillId="3" borderId="0" xfId="0" applyFont="1" applyFill="1"/>
    <xf numFmtId="0" fontId="14" fillId="3" borderId="0" xfId="0" applyFont="1" applyFill="1" applyAlignment="1">
      <alignment horizontal="center"/>
    </xf>
    <xf numFmtId="0" fontId="3" fillId="3" borderId="0" xfId="0" applyFont="1" applyFill="1"/>
    <xf numFmtId="0" fontId="12" fillId="3" borderId="0" xfId="0" applyFont="1" applyFill="1"/>
    <xf numFmtId="1" fontId="7" fillId="3" borderId="14" xfId="0" applyNumberFormat="1" applyFont="1" applyFill="1" applyBorder="1" applyAlignment="1">
      <alignment horizontal="left"/>
    </xf>
    <xf numFmtId="49" fontId="3" fillId="3" borderId="15" xfId="0" applyNumberFormat="1" applyFont="1" applyFill="1" applyBorder="1" applyAlignment="1">
      <alignment horizontal="center" vertical="center"/>
    </xf>
    <xf numFmtId="12" fontId="3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2" fontId="16" fillId="0" borderId="0" xfId="0" applyNumberFormat="1" applyFont="1"/>
    <xf numFmtId="0" fontId="4" fillId="4" borderId="16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66" fontId="16" fillId="0" borderId="0" xfId="0" applyNumberFormat="1" applyFont="1"/>
    <xf numFmtId="165" fontId="3" fillId="0" borderId="0" xfId="1" applyFont="1"/>
    <xf numFmtId="165" fontId="16" fillId="0" borderId="0" xfId="1" applyFont="1" applyBorder="1"/>
    <xf numFmtId="0" fontId="6" fillId="0" borderId="1" xfId="0" applyFont="1" applyBorder="1"/>
    <xf numFmtId="0" fontId="0" fillId="0" borderId="1" xfId="0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 wrapText="1"/>
    </xf>
    <xf numFmtId="0" fontId="17" fillId="3" borderId="1" xfId="0" applyFont="1" applyFill="1" applyBorder="1" applyAlignment="1">
      <alignment vertical="center"/>
    </xf>
    <xf numFmtId="0" fontId="2" fillId="3" borderId="11" xfId="0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/>
    </xf>
    <xf numFmtId="4" fontId="2" fillId="7" borderId="1" xfId="0" applyNumberFormat="1" applyFont="1" applyFill="1" applyBorder="1" applyAlignment="1">
      <alignment vertical="center"/>
    </xf>
    <xf numFmtId="4" fontId="2" fillId="7" borderId="1" xfId="0" applyNumberFormat="1" applyFont="1" applyFill="1" applyBorder="1" applyAlignment="1">
      <alignment horizontal="right" vertical="center" wrapText="1"/>
    </xf>
    <xf numFmtId="4" fontId="27" fillId="7" borderId="1" xfId="0" applyNumberFormat="1" applyFont="1" applyFill="1" applyBorder="1" applyAlignment="1">
      <alignment vertical="center"/>
    </xf>
    <xf numFmtId="165" fontId="16" fillId="0" borderId="0" xfId="1" applyFont="1" applyBorder="1" applyAlignment="1">
      <alignment vertical="center"/>
    </xf>
    <xf numFmtId="4" fontId="10" fillId="3" borderId="1" xfId="0" applyNumberFormat="1" applyFont="1" applyFill="1" applyBorder="1" applyAlignment="1">
      <alignment horizontal="left" vertical="center"/>
    </xf>
    <xf numFmtId="0" fontId="6" fillId="3" borderId="0" xfId="0" applyFont="1" applyFill="1"/>
    <xf numFmtId="2" fontId="28" fillId="8" borderId="33" xfId="0" applyNumberFormat="1" applyFont="1" applyFill="1" applyBorder="1"/>
    <xf numFmtId="2" fontId="28" fillId="0" borderId="33" xfId="0" applyNumberFormat="1" applyFont="1" applyBorder="1"/>
    <xf numFmtId="0" fontId="28" fillId="0" borderId="1" xfId="0" applyFont="1" applyBorder="1" applyAlignment="1">
      <alignment vertical="center"/>
    </xf>
    <xf numFmtId="2" fontId="19" fillId="0" borderId="0" xfId="0" applyNumberFormat="1" applyFont="1"/>
    <xf numFmtId="0" fontId="3" fillId="0" borderId="1" xfId="0" applyFont="1" applyBorder="1" applyAlignment="1">
      <alignment horizontal="center" vertical="center"/>
    </xf>
    <xf numFmtId="4" fontId="21" fillId="0" borderId="1" xfId="3" applyNumberFormat="1" applyFill="1" applyBorder="1" applyAlignment="1" applyProtection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1" fontId="7" fillId="0" borderId="14" xfId="0" applyNumberFormat="1" applyFont="1" applyBorder="1" applyAlignment="1">
      <alignment horizontal="left"/>
    </xf>
    <xf numFmtId="165" fontId="3" fillId="0" borderId="20" xfId="1" applyFont="1" applyBorder="1"/>
    <xf numFmtId="2" fontId="3" fillId="0" borderId="20" xfId="0" applyNumberFormat="1" applyFont="1" applyBorder="1"/>
    <xf numFmtId="2" fontId="3" fillId="0" borderId="21" xfId="0" applyNumberFormat="1" applyFont="1" applyBorder="1"/>
    <xf numFmtId="2" fontId="16" fillId="0" borderId="23" xfId="0" applyNumberFormat="1" applyFont="1" applyBorder="1" applyAlignment="1">
      <alignment vertical="center"/>
    </xf>
    <xf numFmtId="165" fontId="21" fillId="3" borderId="1" xfId="3" applyNumberFormat="1" applyFill="1" applyBorder="1" applyAlignment="1" applyProtection="1">
      <alignment horizontal="center" vertical="center"/>
    </xf>
    <xf numFmtId="165" fontId="3" fillId="0" borderId="24" xfId="1" applyFont="1" applyBorder="1" applyAlignment="1">
      <alignment vertical="center"/>
    </xf>
    <xf numFmtId="165" fontId="3" fillId="0" borderId="0" xfId="1" applyFont="1" applyAlignment="1">
      <alignment vertical="center"/>
    </xf>
    <xf numFmtId="165" fontId="28" fillId="0" borderId="33" xfId="1" applyFont="1" applyBorder="1"/>
    <xf numFmtId="165" fontId="28" fillId="8" borderId="33" xfId="1" applyFont="1" applyFill="1" applyBorder="1"/>
    <xf numFmtId="167" fontId="28" fillId="0" borderId="0" xfId="1" applyNumberFormat="1" applyFont="1" applyBorder="1"/>
    <xf numFmtId="169" fontId="11" fillId="0" borderId="17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4" fontId="0" fillId="0" borderId="8" xfId="0" applyNumberFormat="1" applyBorder="1" applyAlignment="1">
      <alignment horizontal="center" vertical="center"/>
    </xf>
    <xf numFmtId="0" fontId="29" fillId="0" borderId="8" xfId="0" applyFont="1" applyBorder="1" applyAlignment="1">
      <alignment horizontal="left" vertical="center" indent="1"/>
    </xf>
    <xf numFmtId="0" fontId="29" fillId="0" borderId="1" xfId="0" applyFont="1" applyBorder="1" applyAlignment="1">
      <alignment horizontal="left" vertical="center" indent="1"/>
    </xf>
    <xf numFmtId="0" fontId="29" fillId="0" borderId="9" xfId="0" applyFont="1" applyBorder="1" applyAlignment="1">
      <alignment horizontal="left" vertical="center" indent="1"/>
    </xf>
    <xf numFmtId="17" fontId="0" fillId="0" borderId="4" xfId="0" applyNumberFormat="1" applyBorder="1"/>
    <xf numFmtId="17" fontId="11" fillId="0" borderId="18" xfId="0" applyNumberFormat="1" applyFont="1" applyBorder="1" applyAlignment="1">
      <alignment horizontal="center"/>
    </xf>
    <xf numFmtId="168" fontId="11" fillId="0" borderId="18" xfId="0" applyNumberFormat="1" applyFont="1" applyBorder="1" applyAlignment="1">
      <alignment horizontal="center"/>
    </xf>
    <xf numFmtId="0" fontId="4" fillId="3" borderId="1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15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vertical="center"/>
    </xf>
    <xf numFmtId="4" fontId="18" fillId="10" borderId="1" xfId="0" applyNumberFormat="1" applyFont="1" applyFill="1" applyBorder="1" applyAlignment="1">
      <alignment horizontal="center" vertical="center"/>
    </xf>
    <xf numFmtId="4" fontId="6" fillId="10" borderId="1" xfId="0" applyNumberFormat="1" applyFont="1" applyFill="1" applyBorder="1" applyAlignment="1">
      <alignment horizontal="center" vertical="center"/>
    </xf>
    <xf numFmtId="49" fontId="3" fillId="10" borderId="15" xfId="0" applyNumberFormat="1" applyFont="1" applyFill="1" applyBorder="1" applyAlignment="1">
      <alignment horizontal="center" vertical="center"/>
    </xf>
    <xf numFmtId="1" fontId="7" fillId="10" borderId="14" xfId="0" applyNumberFormat="1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18" fillId="10" borderId="1" xfId="0" applyFont="1" applyFill="1" applyBorder="1" applyAlignment="1">
      <alignment vertical="center"/>
    </xf>
    <xf numFmtId="4" fontId="4" fillId="10" borderId="1" xfId="0" applyNumberFormat="1" applyFont="1" applyFill="1" applyBorder="1" applyAlignment="1">
      <alignment horizontal="center" vertical="center"/>
    </xf>
    <xf numFmtId="0" fontId="7" fillId="10" borderId="14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9" fillId="13" borderId="1" xfId="0" applyFont="1" applyFill="1" applyBorder="1" applyAlignment="1">
      <alignment horizontal="center" vertical="center" wrapText="1"/>
    </xf>
    <xf numFmtId="0" fontId="30" fillId="9" borderId="1" xfId="0" applyFont="1" applyFill="1" applyBorder="1" applyAlignment="1">
      <alignment vertical="center"/>
    </xf>
    <xf numFmtId="0" fontId="5" fillId="9" borderId="1" xfId="0" applyFont="1" applyFill="1" applyBorder="1"/>
    <xf numFmtId="0" fontId="5" fillId="9" borderId="0" xfId="0" applyFont="1" applyFill="1"/>
    <xf numFmtId="0" fontId="25" fillId="15" borderId="1" xfId="0" applyFont="1" applyFill="1" applyBorder="1"/>
    <xf numFmtId="0" fontId="25" fillId="15" borderId="1" xfId="0" applyFont="1" applyFill="1" applyBorder="1" applyAlignment="1">
      <alignment horizontal="center" vertical="center"/>
    </xf>
    <xf numFmtId="0" fontId="26" fillId="9" borderId="32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24" fillId="14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4" fillId="11" borderId="1" xfId="0" applyFont="1" applyFill="1" applyBorder="1" applyAlignment="1">
      <alignment horizontal="center"/>
    </xf>
    <xf numFmtId="0" fontId="4" fillId="11" borderId="19" xfId="0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right" vertical="center"/>
    </xf>
    <xf numFmtId="0" fontId="24" fillId="16" borderId="1" xfId="0" applyFont="1" applyFill="1" applyBorder="1" applyAlignment="1">
      <alignment horizontal="center" vertical="center" wrapText="1"/>
    </xf>
    <xf numFmtId="0" fontId="4" fillId="11" borderId="22" xfId="0" applyFont="1" applyFill="1" applyBorder="1" applyAlignment="1">
      <alignment horizontal="center" vertical="center"/>
    </xf>
    <xf numFmtId="0" fontId="24" fillId="17" borderId="32" xfId="0" applyFont="1" applyFill="1" applyBorder="1" applyAlignment="1">
      <alignment horizontal="center" vertical="center"/>
    </xf>
    <xf numFmtId="0" fontId="23" fillId="11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vertical="center"/>
    </xf>
    <xf numFmtId="2" fontId="6" fillId="0" borderId="1" xfId="1" applyNumberFormat="1" applyFont="1" applyBorder="1"/>
    <xf numFmtId="2" fontId="18" fillId="10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/>
    <xf numFmtId="165" fontId="6" fillId="0" borderId="1" xfId="1" applyFont="1" applyBorder="1"/>
    <xf numFmtId="165" fontId="18" fillId="10" borderId="1" xfId="1" applyFont="1" applyFill="1" applyBorder="1" applyAlignment="1">
      <alignment horizontal="center" vertical="center"/>
    </xf>
    <xf numFmtId="165" fontId="2" fillId="7" borderId="1" xfId="1" applyFont="1" applyFill="1" applyBorder="1" applyAlignment="1">
      <alignment vertical="center"/>
    </xf>
    <xf numFmtId="165" fontId="27" fillId="7" borderId="1" xfId="1" applyFont="1" applyFill="1" applyBorder="1" applyAlignment="1">
      <alignment vertical="center"/>
    </xf>
    <xf numFmtId="165" fontId="28" fillId="18" borderId="33" xfId="1" applyFont="1" applyFill="1" applyBorder="1"/>
    <xf numFmtId="165" fontId="28" fillId="19" borderId="33" xfId="1" applyFont="1" applyFill="1" applyBorder="1"/>
    <xf numFmtId="165" fontId="28" fillId="20" borderId="33" xfId="1" applyFont="1" applyFill="1" applyBorder="1"/>
    <xf numFmtId="1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2" fontId="19" fillId="0" borderId="0" xfId="0" applyNumberFormat="1" applyFont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/>
    </xf>
    <xf numFmtId="165" fontId="3" fillId="3" borderId="1" xfId="1" applyFont="1" applyFill="1" applyBorder="1"/>
    <xf numFmtId="14" fontId="19" fillId="0" borderId="0" xfId="0" applyNumberFormat="1" applyFont="1" applyAlignment="1">
      <alignment horizontal="center" vertical="center" wrapText="1"/>
    </xf>
    <xf numFmtId="165" fontId="23" fillId="11" borderId="1" xfId="1" applyFont="1" applyFill="1" applyBorder="1" applyAlignment="1">
      <alignment horizontal="center"/>
    </xf>
    <xf numFmtId="165" fontId="28" fillId="3" borderId="33" xfId="1" applyFont="1" applyFill="1" applyBorder="1"/>
    <xf numFmtId="167" fontId="23" fillId="21" borderId="0" xfId="1" applyNumberFormat="1" applyFont="1" applyFill="1" applyBorder="1"/>
    <xf numFmtId="0" fontId="26" fillId="9" borderId="0" xfId="0" applyFont="1" applyFill="1" applyAlignment="1">
      <alignment horizontal="center" vertical="center"/>
    </xf>
    <xf numFmtId="1" fontId="7" fillId="3" borderId="14" xfId="0" applyNumberFormat="1" applyFont="1" applyFill="1" applyBorder="1" applyAlignment="1">
      <alignment horizontal="center" vertical="center"/>
    </xf>
    <xf numFmtId="17" fontId="25" fillId="3" borderId="1" xfId="0" applyNumberFormat="1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0" fillId="20" borderId="0" xfId="0" applyFill="1"/>
    <xf numFmtId="0" fontId="28" fillId="20" borderId="1" xfId="0" applyFont="1" applyFill="1" applyBorder="1" applyAlignment="1">
      <alignment vertical="center"/>
    </xf>
    <xf numFmtId="2" fontId="28" fillId="20" borderId="33" xfId="0" applyNumberFormat="1" applyFont="1" applyFill="1" applyBorder="1"/>
    <xf numFmtId="165" fontId="28" fillId="22" borderId="33" xfId="1" applyFont="1" applyFill="1" applyBorder="1"/>
    <xf numFmtId="2" fontId="28" fillId="8" borderId="33" xfId="0" applyNumberFormat="1" applyFont="1" applyFill="1" applyBorder="1" applyAlignment="1">
      <alignment horizontal="center" vertical="center"/>
    </xf>
    <xf numFmtId="12" fontId="3" fillId="0" borderId="0" xfId="0" applyNumberFormat="1" applyFont="1" applyAlignment="1">
      <alignment horizontal="center" vertical="center" wrapText="1"/>
    </xf>
    <xf numFmtId="165" fontId="28" fillId="23" borderId="33" xfId="1" applyFont="1" applyFill="1" applyBorder="1"/>
    <xf numFmtId="165" fontId="3" fillId="0" borderId="0" xfId="1" applyFont="1" applyAlignment="1">
      <alignment horizontal="center" vertical="center"/>
    </xf>
    <xf numFmtId="0" fontId="23" fillId="6" borderId="25" xfId="0" applyFont="1" applyFill="1" applyBorder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4" fontId="7" fillId="0" borderId="26" xfId="0" applyNumberFormat="1" applyFont="1" applyBorder="1" applyAlignment="1">
      <alignment horizontal="center" vertical="center"/>
    </xf>
    <xf numFmtId="4" fontId="7" fillId="0" borderId="17" xfId="0" applyNumberFormat="1" applyFont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/>
    </xf>
    <xf numFmtId="4" fontId="11" fillId="0" borderId="26" xfId="0" applyNumberFormat="1" applyFont="1" applyBorder="1" applyAlignment="1">
      <alignment horizontal="center" vertical="center"/>
    </xf>
    <xf numFmtId="4" fontId="11" fillId="0" borderId="17" xfId="0" applyNumberFormat="1" applyFont="1" applyBorder="1" applyAlignment="1">
      <alignment horizontal="center" vertical="center"/>
    </xf>
    <xf numFmtId="4" fontId="11" fillId="0" borderId="18" xfId="0" applyNumberFormat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4" fontId="0" fillId="0" borderId="26" xfId="0" applyNumberFormat="1" applyBorder="1" applyAlignment="1">
      <alignment horizontal="center" vertical="center"/>
    </xf>
    <xf numFmtId="4" fontId="0" fillId="0" borderId="17" xfId="0" applyNumberFormat="1" applyBorder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29" fillId="0" borderId="30" xfId="0" applyFont="1" applyBorder="1" applyAlignment="1">
      <alignment horizontal="left" vertical="center"/>
    </xf>
    <xf numFmtId="0" fontId="29" fillId="0" borderId="31" xfId="0" applyFont="1" applyBorder="1" applyAlignment="1">
      <alignment horizontal="left" vertical="center"/>
    </xf>
  </cellXfs>
  <cellStyles count="5">
    <cellStyle name="Comma" xfId="1" builtinId="3"/>
    <cellStyle name="Comma 2" xfId="2" xr:uid="{00000000-0005-0000-0000-000001000000}"/>
    <cellStyle name="Hyperlink" xfId="3" builtinId="8"/>
    <cellStyle name="Normal" xfId="0" builtinId="0"/>
    <cellStyle name="Normal 2" xfId="4" xr:uid="{00000000-0005-0000-0000-000004000000}"/>
  </cellStyles>
  <dxfs count="14">
    <dxf>
      <font>
        <strike val="0"/>
        <outline val="0"/>
        <shadow val="0"/>
        <u val="none"/>
        <vertAlign val="baseline"/>
        <sz val="12"/>
        <name val="Arial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name val="Arial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name val="Arial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name val="Arial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solid">
          <fgColor indexed="64"/>
          <bgColor rgb="FFCCFFFF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rial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scheme val="none"/>
      </font>
    </dxf>
  </dxfs>
  <tableStyles count="0" defaultTableStyle="TableStyleMedium9" defaultPivotStyle="PivotStyleLight16"/>
  <colors>
    <mruColors>
      <color rgb="FF00FFFF"/>
      <color rgb="FFE7194A"/>
      <color rgb="FF33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1190624</xdr:colOff>
      <xdr:row>2</xdr:row>
      <xdr:rowOff>28576</xdr:rowOff>
    </xdr:from>
    <xdr:to>
      <xdr:col>4</xdr:col>
      <xdr:colOff>837098</xdr:colOff>
      <xdr:row>2</xdr:row>
      <xdr:rowOff>352049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6525452" y="361951"/>
          <a:ext cx="960924" cy="323473"/>
        </a:xfrm>
        <a:prstGeom prst="rect">
          <a:avLst/>
        </a:prstGeom>
      </xdr:spPr>
    </xdr:pic>
    <xdr:clientData/>
  </xdr:twoCellAnchor>
  <xdr:twoCellAnchor editAs="oneCell">
    <xdr:from>
      <xdr:col>3</xdr:col>
      <xdr:colOff>1190624</xdr:colOff>
      <xdr:row>2</xdr:row>
      <xdr:rowOff>28576</xdr:rowOff>
    </xdr:from>
    <xdr:to>
      <xdr:col>4</xdr:col>
      <xdr:colOff>837098</xdr:colOff>
      <xdr:row>2</xdr:row>
      <xdr:rowOff>352049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6525452" y="361951"/>
          <a:ext cx="960924" cy="3234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1133476</xdr:colOff>
      <xdr:row>2</xdr:row>
      <xdr:rowOff>28575</xdr:rowOff>
    </xdr:from>
    <xdr:to>
      <xdr:col>4</xdr:col>
      <xdr:colOff>771526</xdr:colOff>
      <xdr:row>2</xdr:row>
      <xdr:rowOff>356030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52776" y="361950"/>
          <a:ext cx="952500" cy="327455"/>
        </a:xfrm>
        <a:prstGeom prst="rect">
          <a:avLst/>
        </a:prstGeom>
      </xdr:spPr>
    </xdr:pic>
    <xdr:clientData/>
  </xdr:twoCellAnchor>
  <xdr:twoCellAnchor editAs="oneCell">
    <xdr:from>
      <xdr:col>3</xdr:col>
      <xdr:colOff>1133476</xdr:colOff>
      <xdr:row>2</xdr:row>
      <xdr:rowOff>28575</xdr:rowOff>
    </xdr:from>
    <xdr:to>
      <xdr:col>4</xdr:col>
      <xdr:colOff>771526</xdr:colOff>
      <xdr:row>2</xdr:row>
      <xdr:rowOff>356030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52776" y="361950"/>
          <a:ext cx="952500" cy="32745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00000000}" name="Table19495" displayName="Table19495" ref="B2:M118" totalsRowShown="0" headerRowDxfId="13" dataDxfId="12">
  <autoFilter ref="B2:M118" xr:uid="{00000000-0009-0000-0100-00005E000000}"/>
  <tableColumns count="12">
    <tableColumn id="1" xr3:uid="{00000000-0010-0000-0000-000001000000}" name="شهر نوفمبر 2025" dataDxfId="11"/>
    <tableColumn id="2" xr3:uid="{00000000-0010-0000-0000-000002000000}" name="قيمة التأمين الصحي المخصوم / Deducted Medical Insurance" dataDxfId="10"/>
    <tableColumn id="10" xr3:uid="{00000000-0010-0000-0000-00000A000000}" name="ضرائب محامين / Laywers Taxs" dataDxfId="9"/>
    <tableColumn id="9" xr3:uid="{00000000-0010-0000-0000-000009000000}" name="مسحوبات لبنوك أخرى / Other bank withdrawal" dataDxfId="8"/>
    <tableColumn id="8" xr3:uid="{00000000-0010-0000-0000-000008000000}" name="مسحوبات/خصم من المرتب/الاتعاب / Loans or Deductions" dataDxfId="7"/>
    <tableColumn id="3" xr3:uid="{00000000-0010-0000-0000-000003000000}" name="خصومات تليفون / Phone Deduction" dataDxfId="6"/>
    <tableColumn id="13" xr3:uid="{00000000-0010-0000-0000-00000D000000}" name="اجازات غير مدفوعة المرتب / Unpaid Vacation" dataDxfId="5"/>
    <tableColumn id="6" xr3:uid="{00000000-0010-0000-0000-000006000000}" name="تأخيرات / Late" dataDxfId="4"/>
    <tableColumn id="14" xr3:uid="{00000000-0010-0000-0000-00000E000000}" name="خصومات تسجيل ساعات العمل / Time sheet" dataDxfId="3"/>
    <tableColumn id="15" xr3:uid="{00000000-0010-0000-0000-00000F000000}" name="خصومات اخري/ Other Deductions" dataDxfId="2"/>
    <tableColumn id="12" xr3:uid="{00000000-0010-0000-0000-00000C000000}" name="اجمالي الخصومات / Total Deductions" dataDxfId="1"/>
    <tableColumn id="7" xr3:uid="{00000000-0010-0000-0000-000007000000}" name="ملحوظات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795B909-81F5-486B-90D1-60D10A171CD8}">
  <we:reference id="wa104363616" version="1.0.0.0" store="en-US" storeType="OMEX"/>
  <we:alternateReferences>
    <we:reference id="WA104363616" version="1.0.0.0" store="WA104363616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B2CD9079-AB8B-4C64-9364-9920F0695510}">
  <we:reference id="wa104381504" version="1.0.0.0" store="en-US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P127"/>
  <sheetViews>
    <sheetView rightToLeft="1" zoomScale="84" zoomScaleNormal="84" zoomScaleSheetLayoutView="75" workbookViewId="0">
      <pane ySplit="3" topLeftCell="A4" activePane="bottomLeft" state="frozen"/>
      <selection pane="bottomLeft" activeCell="M120" sqref="M4:M120"/>
    </sheetView>
  </sheetViews>
  <sheetFormatPr defaultColWidth="9.109375" defaultRowHeight="15" x14ac:dyDescent="0.25"/>
  <cols>
    <col min="1" max="1" width="11.109375" customWidth="1"/>
    <col min="2" max="2" width="39.6640625" customWidth="1"/>
    <col min="3" max="3" width="1.33203125" customWidth="1"/>
    <col min="4" max="4" width="22.77734375" customWidth="1"/>
    <col min="5" max="5" width="21.77734375" customWidth="1"/>
    <col min="6" max="6" width="17.109375" customWidth="1"/>
    <col min="7" max="8" width="18.33203125" customWidth="1"/>
    <col min="9" max="9" width="17.88671875" customWidth="1"/>
    <col min="10" max="10" width="19.6640625" customWidth="1"/>
    <col min="11" max="11" width="19.77734375" customWidth="1"/>
    <col min="12" max="12" width="1.77734375" style="5" customWidth="1"/>
    <col min="13" max="13" width="23" style="5" customWidth="1"/>
    <col min="14" max="14" width="25.77734375" style="13" customWidth="1"/>
    <col min="15" max="15" width="43" style="20" customWidth="1"/>
    <col min="16" max="16" width="17.77734375" style="2" customWidth="1"/>
    <col min="17" max="16384" width="9.109375" style="50"/>
  </cols>
  <sheetData>
    <row r="1" spans="1:16" s="52" customFormat="1" ht="44.1" customHeight="1" x14ac:dyDescent="0.4">
      <c r="A1" s="130" t="s">
        <v>150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2"/>
      <c r="O1" s="132"/>
      <c r="P1" s="131"/>
    </row>
    <row r="2" spans="1:16" ht="17.399999999999999" x14ac:dyDescent="0.3">
      <c r="A2" s="133"/>
      <c r="B2" s="134" t="s">
        <v>6</v>
      </c>
      <c r="C2" s="133"/>
      <c r="D2" s="170">
        <v>45870</v>
      </c>
      <c r="E2" s="66"/>
      <c r="F2" s="66"/>
      <c r="G2" s="66"/>
      <c r="H2" s="66"/>
      <c r="I2" s="3"/>
      <c r="J2" s="3"/>
      <c r="K2" s="3"/>
      <c r="L2" s="67"/>
      <c r="M2" s="67"/>
      <c r="P2" s="4"/>
    </row>
    <row r="3" spans="1:16" s="53" customFormat="1" ht="79.5" customHeight="1" x14ac:dyDescent="0.3">
      <c r="A3" s="112" t="s">
        <v>18</v>
      </c>
      <c r="B3" s="112" t="s">
        <v>35</v>
      </c>
      <c r="C3" s="112" t="s">
        <v>158</v>
      </c>
      <c r="D3" s="113" t="s">
        <v>34</v>
      </c>
      <c r="E3" s="114" t="s">
        <v>33</v>
      </c>
      <c r="F3" s="114" t="s">
        <v>32</v>
      </c>
      <c r="G3" s="113" t="s">
        <v>57</v>
      </c>
      <c r="H3" s="114" t="s">
        <v>31</v>
      </c>
      <c r="I3" s="113" t="s">
        <v>30</v>
      </c>
      <c r="J3" s="18" t="s">
        <v>12</v>
      </c>
      <c r="K3" s="129" t="s">
        <v>13</v>
      </c>
      <c r="L3" s="112"/>
      <c r="M3" s="112" t="s">
        <v>77</v>
      </c>
      <c r="N3" s="115" t="s">
        <v>2</v>
      </c>
      <c r="O3" s="116" t="s">
        <v>16</v>
      </c>
      <c r="P3" s="113" t="s">
        <v>17</v>
      </c>
    </row>
    <row r="4" spans="1:16" ht="16.8" x14ac:dyDescent="0.25">
      <c r="A4" s="31">
        <v>1</v>
      </c>
      <c r="B4" s="70" t="s">
        <v>128</v>
      </c>
      <c r="C4" s="3"/>
      <c r="D4" s="148">
        <v>0</v>
      </c>
      <c r="E4" s="34" t="str">
        <f>HYPERLINK(اضافات!N4)</f>
        <v>0</v>
      </c>
      <c r="F4" s="34" t="str">
        <f>HYPERLINK(اضافات!M4)</f>
        <v>0</v>
      </c>
      <c r="G4" s="34" t="str">
        <f>HYPERLINK(اضافات!F4)</f>
        <v>0</v>
      </c>
      <c r="H4" s="34" t="str">
        <f>HYPERLINK(اضافات!O4)</f>
        <v>0</v>
      </c>
      <c r="I4" s="93" t="str">
        <f>HYPERLINK(خصومات!L4)</f>
        <v>0</v>
      </c>
      <c r="J4" s="150">
        <f>SUM(D4,VALUE(E4),VALUE(F4),VALUE(G4))</f>
        <v>0</v>
      </c>
      <c r="K4" s="150">
        <f>VALUE(D4)+VALUE(G4)+VALUE(H4)-VALUE(I4)</f>
        <v>0</v>
      </c>
      <c r="L4" s="26"/>
      <c r="M4" s="28"/>
      <c r="N4" s="57"/>
      <c r="O4" s="56"/>
      <c r="P4" s="27"/>
    </row>
    <row r="5" spans="1:16" ht="16.8" x14ac:dyDescent="0.25">
      <c r="A5" s="31">
        <v>2</v>
      </c>
      <c r="B5" s="70" t="s">
        <v>129</v>
      </c>
      <c r="C5" s="25"/>
      <c r="D5" s="148">
        <v>0</v>
      </c>
      <c r="E5" s="34" t="str">
        <f>HYPERLINK(اضافات!N5)</f>
        <v>0</v>
      </c>
      <c r="F5" s="34" t="str">
        <f>HYPERLINK(اضافات!M5)</f>
        <v>0</v>
      </c>
      <c r="G5" s="34" t="str">
        <f>HYPERLINK(اضافات!F5)</f>
        <v>0</v>
      </c>
      <c r="H5" s="34" t="str">
        <f>HYPERLINK(اضافات!O5)</f>
        <v>0</v>
      </c>
      <c r="I5" s="93" t="str">
        <f>HYPERLINK(خصومات!L5)</f>
        <v>0</v>
      </c>
      <c r="J5" s="163">
        <f t="shared" ref="J5:J68" si="0">SUM(D5,VALUE(E5),VALUE(F5),VALUE(G5))</f>
        <v>0</v>
      </c>
      <c r="K5" s="163">
        <f t="shared" ref="K5:K68" si="1">VALUE(D5)+VALUE(G5)+VALUE(H5)-VALUE(I5)</f>
        <v>0</v>
      </c>
      <c r="L5" s="26"/>
      <c r="M5" s="28"/>
      <c r="N5" s="57"/>
      <c r="O5" s="56"/>
      <c r="P5" s="27"/>
    </row>
    <row r="6" spans="1:16" ht="16.8" x14ac:dyDescent="0.25">
      <c r="A6" s="31">
        <v>3</v>
      </c>
      <c r="B6" s="70" t="s">
        <v>130</v>
      </c>
      <c r="C6" s="25"/>
      <c r="D6" s="148">
        <v>0</v>
      </c>
      <c r="E6" s="34" t="str">
        <f>HYPERLINK(اضافات!N6)</f>
        <v>0</v>
      </c>
      <c r="F6" s="34" t="str">
        <f>HYPERLINK(اضافات!M6)</f>
        <v>0</v>
      </c>
      <c r="G6" s="34" t="str">
        <f>HYPERLINK(اضافات!F6)</f>
        <v>0</v>
      </c>
      <c r="H6" s="34" t="str">
        <f>HYPERLINK(اضافات!O6)</f>
        <v>0</v>
      </c>
      <c r="I6" s="93" t="str">
        <f>HYPERLINK(خصومات!L6)</f>
        <v>0</v>
      </c>
      <c r="J6" s="163">
        <f t="shared" si="0"/>
        <v>0</v>
      </c>
      <c r="K6" s="163">
        <f t="shared" si="1"/>
        <v>0</v>
      </c>
      <c r="L6" s="26"/>
      <c r="M6" s="28"/>
      <c r="N6" s="57"/>
      <c r="O6" s="56"/>
      <c r="P6" s="27"/>
    </row>
    <row r="7" spans="1:16" ht="16.8" hidden="1" x14ac:dyDescent="0.25">
      <c r="A7" s="31"/>
      <c r="B7" s="70" t="s">
        <v>82</v>
      </c>
      <c r="C7" s="25"/>
      <c r="D7" s="148">
        <v>0</v>
      </c>
      <c r="E7" s="34" t="str">
        <f>HYPERLINK(اضافات!N7)</f>
        <v>0</v>
      </c>
      <c r="F7" s="34" t="str">
        <f>HYPERLINK(اضافات!M7)</f>
        <v>0</v>
      </c>
      <c r="G7" s="34" t="str">
        <f>HYPERLINK(اضافات!F7)</f>
        <v>0</v>
      </c>
      <c r="H7" s="34" t="str">
        <f>HYPERLINK(اضافات!O7)</f>
        <v>0</v>
      </c>
      <c r="I7" s="93" t="str">
        <f>HYPERLINK(خصومات!L7)</f>
        <v>0</v>
      </c>
      <c r="J7" s="150">
        <f t="shared" si="0"/>
        <v>0</v>
      </c>
      <c r="K7" s="150">
        <f t="shared" si="1"/>
        <v>0</v>
      </c>
      <c r="L7" s="26"/>
      <c r="M7" s="28"/>
      <c r="N7" s="57"/>
      <c r="O7" s="56"/>
      <c r="P7" s="27"/>
    </row>
    <row r="8" spans="1:16" ht="16.8" hidden="1" x14ac:dyDescent="0.25">
      <c r="A8" s="31"/>
      <c r="B8" s="70" t="s">
        <v>82</v>
      </c>
      <c r="C8" s="25"/>
      <c r="D8" s="148">
        <v>0</v>
      </c>
      <c r="E8" s="34" t="str">
        <f>HYPERLINK(اضافات!N8)</f>
        <v>0</v>
      </c>
      <c r="F8" s="34" t="str">
        <f>HYPERLINK(اضافات!M8)</f>
        <v>0</v>
      </c>
      <c r="G8" s="34" t="str">
        <f>HYPERLINK(اضافات!F8)</f>
        <v>0</v>
      </c>
      <c r="H8" s="34" t="str">
        <f>HYPERLINK(اضافات!O8)</f>
        <v>0</v>
      </c>
      <c r="I8" s="93" t="str">
        <f>HYPERLINK(خصومات!L8)</f>
        <v>0</v>
      </c>
      <c r="J8" s="150">
        <f t="shared" si="0"/>
        <v>0</v>
      </c>
      <c r="K8" s="150">
        <f t="shared" si="1"/>
        <v>0</v>
      </c>
      <c r="L8" s="26"/>
      <c r="M8" s="28"/>
      <c r="N8" s="57"/>
      <c r="O8" s="56"/>
      <c r="P8" s="27"/>
    </row>
    <row r="9" spans="1:16" ht="16.8" hidden="1" x14ac:dyDescent="0.25">
      <c r="A9" s="31"/>
      <c r="B9" s="70" t="s">
        <v>82</v>
      </c>
      <c r="C9" s="25"/>
      <c r="D9" s="148">
        <v>0</v>
      </c>
      <c r="E9" s="34" t="str">
        <f>HYPERLINK(اضافات!N9)</f>
        <v>0</v>
      </c>
      <c r="F9" s="34" t="str">
        <f>HYPERLINK(اضافات!M9)</f>
        <v>0</v>
      </c>
      <c r="G9" s="34" t="str">
        <f>HYPERLINK(اضافات!F9)</f>
        <v>0</v>
      </c>
      <c r="H9" s="34" t="str">
        <f>HYPERLINK(اضافات!O9)</f>
        <v>0</v>
      </c>
      <c r="I9" s="93" t="str">
        <f>HYPERLINK(خصومات!L9)</f>
        <v>0</v>
      </c>
      <c r="J9" s="150">
        <f t="shared" si="0"/>
        <v>0</v>
      </c>
      <c r="K9" s="150">
        <f t="shared" si="1"/>
        <v>0</v>
      </c>
      <c r="L9" s="26"/>
      <c r="M9" s="28"/>
      <c r="N9" s="57"/>
      <c r="O9" s="56"/>
      <c r="P9" s="27"/>
    </row>
    <row r="10" spans="1:16" ht="16.8" hidden="1" x14ac:dyDescent="0.25">
      <c r="A10" s="31"/>
      <c r="B10" s="70" t="s">
        <v>82</v>
      </c>
      <c r="C10" s="25"/>
      <c r="D10" s="148">
        <v>0</v>
      </c>
      <c r="E10" s="34" t="str">
        <f>HYPERLINK(اضافات!N10)</f>
        <v>0</v>
      </c>
      <c r="F10" s="34" t="str">
        <f>HYPERLINK(اضافات!M10)</f>
        <v>0</v>
      </c>
      <c r="G10" s="34" t="str">
        <f>HYPERLINK(اضافات!F10)</f>
        <v>0</v>
      </c>
      <c r="H10" s="34" t="str">
        <f>HYPERLINK(اضافات!O10)</f>
        <v>0</v>
      </c>
      <c r="I10" s="93" t="str">
        <f>HYPERLINK(خصومات!L10)</f>
        <v>0</v>
      </c>
      <c r="J10" s="150">
        <f t="shared" si="0"/>
        <v>0</v>
      </c>
      <c r="K10" s="150">
        <f t="shared" si="1"/>
        <v>0</v>
      </c>
      <c r="L10" s="26"/>
      <c r="M10" s="28"/>
      <c r="N10" s="57"/>
      <c r="O10" s="56"/>
      <c r="P10" s="27"/>
    </row>
    <row r="11" spans="1:16" ht="16.8" hidden="1" x14ac:dyDescent="0.25">
      <c r="A11" s="31"/>
      <c r="B11" s="70" t="s">
        <v>82</v>
      </c>
      <c r="C11" s="25"/>
      <c r="D11" s="148">
        <v>0</v>
      </c>
      <c r="E11" s="34" t="str">
        <f>HYPERLINK(اضافات!N11)</f>
        <v>0</v>
      </c>
      <c r="F11" s="34" t="str">
        <f>HYPERLINK(اضافات!M11)</f>
        <v>0</v>
      </c>
      <c r="G11" s="34" t="str">
        <f>HYPERLINK(اضافات!F11)</f>
        <v>0</v>
      </c>
      <c r="H11" s="34" t="str">
        <f>HYPERLINK(اضافات!O11)</f>
        <v>0</v>
      </c>
      <c r="I11" s="93" t="str">
        <f>HYPERLINK(خصومات!L11)</f>
        <v>0</v>
      </c>
      <c r="J11" s="150">
        <f t="shared" si="0"/>
        <v>0</v>
      </c>
      <c r="K11" s="150">
        <f t="shared" si="1"/>
        <v>0</v>
      </c>
      <c r="L11" s="26"/>
      <c r="M11" s="28"/>
      <c r="N11" s="57"/>
      <c r="O11" s="56"/>
      <c r="P11" s="27"/>
    </row>
    <row r="12" spans="1:16" ht="16.8" hidden="1" x14ac:dyDescent="0.25">
      <c r="A12" s="31"/>
      <c r="B12" s="70" t="s">
        <v>82</v>
      </c>
      <c r="C12" s="25"/>
      <c r="D12" s="148">
        <v>0</v>
      </c>
      <c r="E12" s="34" t="str">
        <f>HYPERLINK(اضافات!N12)</f>
        <v>0</v>
      </c>
      <c r="F12" s="34" t="str">
        <f>HYPERLINK(اضافات!M12)</f>
        <v>0</v>
      </c>
      <c r="G12" s="34" t="str">
        <f>HYPERLINK(اضافات!F12)</f>
        <v>0</v>
      </c>
      <c r="H12" s="34" t="str">
        <f>HYPERLINK(اضافات!O12)</f>
        <v>0</v>
      </c>
      <c r="I12" s="93" t="str">
        <f>HYPERLINK(خصومات!L12)</f>
        <v>0</v>
      </c>
      <c r="J12" s="150">
        <f t="shared" si="0"/>
        <v>0</v>
      </c>
      <c r="K12" s="150">
        <f t="shared" si="1"/>
        <v>0</v>
      </c>
      <c r="L12" s="26"/>
      <c r="M12" s="28"/>
      <c r="N12" s="57"/>
      <c r="O12" s="56"/>
      <c r="P12" s="27"/>
    </row>
    <row r="13" spans="1:16" ht="16.8" hidden="1" x14ac:dyDescent="0.25">
      <c r="A13" s="31"/>
      <c r="B13" s="70" t="s">
        <v>82</v>
      </c>
      <c r="C13" s="25"/>
      <c r="D13" s="148">
        <v>0</v>
      </c>
      <c r="E13" s="34" t="str">
        <f>HYPERLINK(اضافات!N13)</f>
        <v>0</v>
      </c>
      <c r="F13" s="34" t="str">
        <f>HYPERLINK(اضافات!M13)</f>
        <v>0</v>
      </c>
      <c r="G13" s="34" t="str">
        <f>HYPERLINK(اضافات!F13)</f>
        <v>0</v>
      </c>
      <c r="H13" s="34" t="str">
        <f>HYPERLINK(اضافات!O13)</f>
        <v>0</v>
      </c>
      <c r="I13" s="93" t="str">
        <f>HYPERLINK(خصومات!L13)</f>
        <v>0</v>
      </c>
      <c r="J13" s="150">
        <f t="shared" si="0"/>
        <v>0</v>
      </c>
      <c r="K13" s="150">
        <f t="shared" si="1"/>
        <v>0</v>
      </c>
      <c r="L13" s="26"/>
      <c r="M13" s="28"/>
      <c r="N13" s="57"/>
      <c r="O13" s="56"/>
      <c r="P13" s="27"/>
    </row>
    <row r="14" spans="1:16" ht="16.8" hidden="1" x14ac:dyDescent="0.25">
      <c r="A14" s="31"/>
      <c r="B14" s="70" t="s">
        <v>82</v>
      </c>
      <c r="C14" s="25"/>
      <c r="D14" s="148">
        <v>0</v>
      </c>
      <c r="E14" s="34" t="str">
        <f>HYPERLINK(اضافات!N14)</f>
        <v>0</v>
      </c>
      <c r="F14" s="34" t="str">
        <f>HYPERLINK(اضافات!M14)</f>
        <v>0</v>
      </c>
      <c r="G14" s="34" t="str">
        <f>HYPERLINK(اضافات!F14)</f>
        <v>0</v>
      </c>
      <c r="H14" s="34" t="str">
        <f>HYPERLINK(اضافات!O14)</f>
        <v>0</v>
      </c>
      <c r="I14" s="93" t="str">
        <f>HYPERLINK(خصومات!L14)</f>
        <v>0</v>
      </c>
      <c r="J14" s="150">
        <f t="shared" si="0"/>
        <v>0</v>
      </c>
      <c r="K14" s="150">
        <f t="shared" si="1"/>
        <v>0</v>
      </c>
      <c r="L14" s="26"/>
      <c r="M14" s="28"/>
      <c r="N14" s="57"/>
      <c r="O14" s="56"/>
      <c r="P14" s="27"/>
    </row>
    <row r="15" spans="1:16" ht="16.8" hidden="1" x14ac:dyDescent="0.25">
      <c r="A15" s="31"/>
      <c r="B15" s="70" t="s">
        <v>82</v>
      </c>
      <c r="C15" s="25"/>
      <c r="D15" s="148">
        <v>0</v>
      </c>
      <c r="E15" s="34" t="str">
        <f>HYPERLINK(اضافات!N15)</f>
        <v>0</v>
      </c>
      <c r="F15" s="34" t="str">
        <f>HYPERLINK(اضافات!M15)</f>
        <v>0</v>
      </c>
      <c r="G15" s="34" t="str">
        <f>HYPERLINK(اضافات!F15)</f>
        <v>0</v>
      </c>
      <c r="H15" s="34" t="str">
        <f>HYPERLINK(اضافات!O15)</f>
        <v>0</v>
      </c>
      <c r="I15" s="93" t="str">
        <f>HYPERLINK(خصومات!L15)</f>
        <v>0</v>
      </c>
      <c r="J15" s="150">
        <f t="shared" si="0"/>
        <v>0</v>
      </c>
      <c r="K15" s="150">
        <f t="shared" si="1"/>
        <v>0</v>
      </c>
      <c r="L15" s="26"/>
      <c r="M15" s="28"/>
      <c r="N15" s="57"/>
      <c r="O15" s="56"/>
      <c r="P15" s="27"/>
    </row>
    <row r="16" spans="1:16" ht="16.8" hidden="1" x14ac:dyDescent="0.25">
      <c r="A16" s="31"/>
      <c r="B16" s="70" t="s">
        <v>82</v>
      </c>
      <c r="C16" s="25"/>
      <c r="D16" s="148">
        <v>0</v>
      </c>
      <c r="E16" s="34" t="str">
        <f>HYPERLINK(اضافات!N16)</f>
        <v>0</v>
      </c>
      <c r="F16" s="34" t="str">
        <f>HYPERLINK(اضافات!M16)</f>
        <v>0</v>
      </c>
      <c r="G16" s="34" t="str">
        <f>HYPERLINK(اضافات!F16)</f>
        <v>0</v>
      </c>
      <c r="H16" s="34" t="str">
        <f>HYPERLINK(اضافات!O16)</f>
        <v>0</v>
      </c>
      <c r="I16" s="93" t="str">
        <f>HYPERLINK(خصومات!L16)</f>
        <v>0</v>
      </c>
      <c r="J16" s="150">
        <f t="shared" si="0"/>
        <v>0</v>
      </c>
      <c r="K16" s="150">
        <f t="shared" si="1"/>
        <v>0</v>
      </c>
      <c r="L16" s="26"/>
      <c r="M16" s="28"/>
      <c r="N16" s="57"/>
      <c r="O16" s="56"/>
      <c r="P16" s="27"/>
    </row>
    <row r="17" spans="1:16" ht="16.8" hidden="1" x14ac:dyDescent="0.25">
      <c r="A17" s="31"/>
      <c r="B17" s="70" t="s">
        <v>82</v>
      </c>
      <c r="C17" s="25"/>
      <c r="D17" s="148">
        <v>0</v>
      </c>
      <c r="E17" s="34" t="str">
        <f>HYPERLINK(اضافات!N17)</f>
        <v>0</v>
      </c>
      <c r="F17" s="34" t="str">
        <f>HYPERLINK(اضافات!M17)</f>
        <v>0</v>
      </c>
      <c r="G17" s="34" t="str">
        <f>HYPERLINK(اضافات!F17)</f>
        <v>0</v>
      </c>
      <c r="H17" s="34" t="str">
        <f>HYPERLINK(اضافات!O17)</f>
        <v>0</v>
      </c>
      <c r="I17" s="93" t="str">
        <f>HYPERLINK(خصومات!L17)</f>
        <v>0</v>
      </c>
      <c r="J17" s="150">
        <f t="shared" si="0"/>
        <v>0</v>
      </c>
      <c r="K17" s="150">
        <f t="shared" si="1"/>
        <v>0</v>
      </c>
      <c r="L17" s="26"/>
      <c r="M17" s="28"/>
      <c r="N17" s="57"/>
      <c r="O17" s="56"/>
      <c r="P17" s="27"/>
    </row>
    <row r="18" spans="1:16" ht="16.8" x14ac:dyDescent="0.25">
      <c r="A18" s="117">
        <v>3</v>
      </c>
      <c r="B18" s="118" t="s">
        <v>0</v>
      </c>
      <c r="C18" s="119"/>
      <c r="D18" s="152">
        <f>SUM(D4:D17)</f>
        <v>0</v>
      </c>
      <c r="E18" s="120">
        <f t="shared" ref="E18:K18" si="2">SUM(E4:E17)</f>
        <v>0</v>
      </c>
      <c r="F18" s="120">
        <f t="shared" si="2"/>
        <v>0</v>
      </c>
      <c r="G18" s="120">
        <f t="shared" si="2"/>
        <v>0</v>
      </c>
      <c r="H18" s="120">
        <f t="shared" si="2"/>
        <v>0</v>
      </c>
      <c r="I18" s="120">
        <f t="shared" si="2"/>
        <v>0</v>
      </c>
      <c r="J18" s="152">
        <f t="shared" si="2"/>
        <v>0</v>
      </c>
      <c r="K18" s="152">
        <f t="shared" si="2"/>
        <v>0</v>
      </c>
      <c r="L18" s="120">
        <f>SUM(K4:K17)</f>
        <v>0</v>
      </c>
      <c r="M18" s="121"/>
      <c r="N18" s="122"/>
      <c r="O18" s="123"/>
      <c r="P18" s="124"/>
    </row>
    <row r="19" spans="1:16" ht="16.8" x14ac:dyDescent="0.25">
      <c r="A19" s="31">
        <v>1</v>
      </c>
      <c r="B19" s="70" t="s">
        <v>78</v>
      </c>
      <c r="C19" s="25"/>
      <c r="D19" s="148">
        <v>0</v>
      </c>
      <c r="E19" s="34" t="str">
        <f>HYPERLINK(اضافات!N19)</f>
        <v>0</v>
      </c>
      <c r="F19" s="34" t="str">
        <f>HYPERLINK(اضافات!M19)</f>
        <v>0</v>
      </c>
      <c r="G19" s="34" t="str">
        <f>HYPERLINK(اضافات!F19)</f>
        <v>0</v>
      </c>
      <c r="H19" s="34" t="str">
        <f>HYPERLINK(اضافات!O19)</f>
        <v>0</v>
      </c>
      <c r="I19" s="93" t="str">
        <f>HYPERLINK(خصومات!L19)</f>
        <v>0</v>
      </c>
      <c r="J19" s="163">
        <f t="shared" si="0"/>
        <v>0</v>
      </c>
      <c r="K19" s="163">
        <f t="shared" si="1"/>
        <v>0</v>
      </c>
      <c r="L19" s="26"/>
      <c r="M19" s="28"/>
      <c r="N19" s="57"/>
      <c r="O19" s="56"/>
      <c r="P19" s="27"/>
    </row>
    <row r="20" spans="1:16" ht="16.8" x14ac:dyDescent="0.25">
      <c r="A20" s="31">
        <v>2</v>
      </c>
      <c r="B20" s="70" t="s">
        <v>64</v>
      </c>
      <c r="C20" s="25"/>
      <c r="D20" s="148">
        <v>0</v>
      </c>
      <c r="E20" s="34" t="str">
        <f>HYPERLINK(اضافات!N20)</f>
        <v>0</v>
      </c>
      <c r="F20" s="34" t="str">
        <f>HYPERLINK(اضافات!M20)</f>
        <v>0</v>
      </c>
      <c r="G20" s="34" t="str">
        <f>HYPERLINK(اضافات!F20)</f>
        <v>0</v>
      </c>
      <c r="H20" s="34" t="str">
        <f>HYPERLINK(اضافات!O20)</f>
        <v>0</v>
      </c>
      <c r="I20" s="93" t="str">
        <f>HYPERLINK(خصومات!L20)</f>
        <v>0</v>
      </c>
      <c r="J20" s="163">
        <f t="shared" si="0"/>
        <v>0</v>
      </c>
      <c r="K20" s="163">
        <f t="shared" si="1"/>
        <v>0</v>
      </c>
      <c r="L20" s="26"/>
      <c r="M20" s="28"/>
      <c r="N20" s="57"/>
      <c r="O20" s="56"/>
      <c r="P20" s="27"/>
    </row>
    <row r="21" spans="1:16" ht="16.8" x14ac:dyDescent="0.25">
      <c r="A21" s="31">
        <v>3</v>
      </c>
      <c r="B21" s="70" t="s">
        <v>91</v>
      </c>
      <c r="C21" s="25"/>
      <c r="D21" s="148">
        <v>0</v>
      </c>
      <c r="E21" s="34" t="str">
        <f>HYPERLINK(اضافات!N21)</f>
        <v>0</v>
      </c>
      <c r="F21" s="34" t="str">
        <f>HYPERLINK(اضافات!M21)</f>
        <v>0</v>
      </c>
      <c r="G21" s="34" t="str">
        <f>HYPERLINK(اضافات!F21)</f>
        <v>0</v>
      </c>
      <c r="H21" s="34" t="str">
        <f>HYPERLINK(اضافات!O21)</f>
        <v>0</v>
      </c>
      <c r="I21" s="93" t="str">
        <f>HYPERLINK(خصومات!L21)</f>
        <v>0</v>
      </c>
      <c r="J21" s="163">
        <f t="shared" si="0"/>
        <v>0</v>
      </c>
      <c r="K21" s="163">
        <f t="shared" si="1"/>
        <v>0</v>
      </c>
      <c r="L21" s="26"/>
      <c r="M21" s="28"/>
      <c r="N21" s="57"/>
      <c r="O21" s="56"/>
      <c r="P21" s="27"/>
    </row>
    <row r="22" spans="1:16" ht="16.8" x14ac:dyDescent="0.25">
      <c r="A22" s="31">
        <v>4</v>
      </c>
      <c r="B22" s="70" t="s">
        <v>65</v>
      </c>
      <c r="C22" s="25"/>
      <c r="D22" s="148">
        <v>0</v>
      </c>
      <c r="E22" s="34" t="str">
        <f>HYPERLINK(اضافات!N22)</f>
        <v>0</v>
      </c>
      <c r="F22" s="34" t="str">
        <f>HYPERLINK(اضافات!M22)</f>
        <v>0</v>
      </c>
      <c r="G22" s="34" t="str">
        <f>HYPERLINK(اضافات!F22)</f>
        <v>0</v>
      </c>
      <c r="H22" s="34" t="str">
        <f>HYPERLINK(اضافات!O22)</f>
        <v>0</v>
      </c>
      <c r="I22" s="93" t="str">
        <f>HYPERLINK(خصومات!L22)</f>
        <v>0</v>
      </c>
      <c r="J22" s="163">
        <f t="shared" si="0"/>
        <v>0</v>
      </c>
      <c r="K22" s="163">
        <f t="shared" si="1"/>
        <v>0</v>
      </c>
      <c r="L22" s="26"/>
      <c r="M22" s="28"/>
      <c r="N22" s="57"/>
      <c r="O22" s="56"/>
      <c r="P22" s="27"/>
    </row>
    <row r="23" spans="1:16" ht="16.8" x14ac:dyDescent="0.25">
      <c r="A23" s="31">
        <v>5</v>
      </c>
      <c r="B23" s="70" t="s">
        <v>68</v>
      </c>
      <c r="C23" s="25"/>
      <c r="D23" s="148">
        <v>0</v>
      </c>
      <c r="E23" s="34" t="str">
        <f>HYPERLINK(اضافات!N23)</f>
        <v>0</v>
      </c>
      <c r="F23" s="34" t="str">
        <f>HYPERLINK(اضافات!M23)</f>
        <v>0</v>
      </c>
      <c r="G23" s="34" t="str">
        <f>HYPERLINK(اضافات!F23)</f>
        <v>0</v>
      </c>
      <c r="H23" s="34" t="str">
        <f>HYPERLINK(اضافات!O23)</f>
        <v>0</v>
      </c>
      <c r="I23" s="93" t="str">
        <f>HYPERLINK(خصومات!L23)</f>
        <v>0</v>
      </c>
      <c r="J23" s="163">
        <f t="shared" si="0"/>
        <v>0</v>
      </c>
      <c r="K23" s="163">
        <f t="shared" si="1"/>
        <v>0</v>
      </c>
      <c r="L23" s="26"/>
      <c r="M23" s="28"/>
      <c r="N23" s="57"/>
      <c r="O23" s="56"/>
      <c r="P23" s="27"/>
    </row>
    <row r="24" spans="1:16" ht="16.8" x14ac:dyDescent="0.25">
      <c r="A24" s="31">
        <v>6</v>
      </c>
      <c r="B24" s="70" t="s">
        <v>127</v>
      </c>
      <c r="C24" s="25"/>
      <c r="D24" s="148">
        <v>0</v>
      </c>
      <c r="E24" s="34" t="str">
        <f>HYPERLINK(اضافات!N24)</f>
        <v>0</v>
      </c>
      <c r="F24" s="34" t="str">
        <f>HYPERLINK(اضافات!M24)</f>
        <v>0</v>
      </c>
      <c r="G24" s="34" t="str">
        <f>HYPERLINK(اضافات!F24)</f>
        <v>0</v>
      </c>
      <c r="H24" s="34" t="str">
        <f>HYPERLINK(اضافات!O24)</f>
        <v>0</v>
      </c>
      <c r="I24" s="93" t="str">
        <f>HYPERLINK(خصومات!L24)</f>
        <v>0</v>
      </c>
      <c r="J24" s="163">
        <f t="shared" si="0"/>
        <v>0</v>
      </c>
      <c r="K24" s="163">
        <f t="shared" si="1"/>
        <v>0</v>
      </c>
      <c r="L24" s="26"/>
      <c r="M24" s="28"/>
      <c r="N24" s="57"/>
      <c r="O24" s="56"/>
      <c r="P24" s="27"/>
    </row>
    <row r="25" spans="1:16" ht="16.8" x14ac:dyDescent="0.25">
      <c r="A25" s="31">
        <v>7</v>
      </c>
      <c r="B25" s="70" t="s">
        <v>66</v>
      </c>
      <c r="C25" s="25"/>
      <c r="D25" s="148">
        <v>0</v>
      </c>
      <c r="E25" s="34" t="str">
        <f>HYPERLINK(اضافات!N25)</f>
        <v>0</v>
      </c>
      <c r="F25" s="34" t="str">
        <f>HYPERLINK(اضافات!M25)</f>
        <v>0</v>
      </c>
      <c r="G25" s="34" t="str">
        <f>HYPERLINK(اضافات!F25)</f>
        <v>0</v>
      </c>
      <c r="H25" s="34" t="str">
        <f>HYPERLINK(اضافات!O25)</f>
        <v>0</v>
      </c>
      <c r="I25" s="93" t="str">
        <f>HYPERLINK(خصومات!L25)</f>
        <v>0</v>
      </c>
      <c r="J25" s="163">
        <f t="shared" si="0"/>
        <v>0</v>
      </c>
      <c r="K25" s="163">
        <f t="shared" si="1"/>
        <v>0</v>
      </c>
      <c r="L25" s="26"/>
      <c r="M25" s="28"/>
      <c r="N25" s="57"/>
      <c r="O25" s="56"/>
      <c r="P25" s="27"/>
    </row>
    <row r="26" spans="1:16" ht="16.8" hidden="1" x14ac:dyDescent="0.25">
      <c r="A26" s="31"/>
      <c r="B26" s="70" t="s">
        <v>82</v>
      </c>
      <c r="C26" s="25"/>
      <c r="D26" s="148">
        <v>0</v>
      </c>
      <c r="E26" s="34" t="str">
        <f>HYPERLINK(اضافات!N26)</f>
        <v>0</v>
      </c>
      <c r="F26" s="34" t="str">
        <f>HYPERLINK(اضافات!M26)</f>
        <v>0</v>
      </c>
      <c r="G26" s="34" t="str">
        <f>HYPERLINK(اضافات!F26)</f>
        <v>0</v>
      </c>
      <c r="H26" s="34" t="str">
        <f>HYPERLINK(اضافات!O26)</f>
        <v>0</v>
      </c>
      <c r="I26" s="93" t="str">
        <f>HYPERLINK(خصومات!L26)</f>
        <v>0</v>
      </c>
      <c r="J26" s="163">
        <f t="shared" si="0"/>
        <v>0</v>
      </c>
      <c r="K26" s="163">
        <f t="shared" si="1"/>
        <v>0</v>
      </c>
      <c r="L26" s="26"/>
      <c r="M26" s="28"/>
      <c r="N26" s="57"/>
      <c r="O26" s="56"/>
      <c r="P26" s="27"/>
    </row>
    <row r="27" spans="1:16" ht="16.8" hidden="1" x14ac:dyDescent="0.25">
      <c r="A27" s="31"/>
      <c r="B27" s="70" t="s">
        <v>82</v>
      </c>
      <c r="C27" s="25"/>
      <c r="D27" s="148">
        <v>0</v>
      </c>
      <c r="E27" s="34" t="str">
        <f>HYPERLINK(اضافات!N27)</f>
        <v>0</v>
      </c>
      <c r="F27" s="34" t="str">
        <f>HYPERLINK(اضافات!M27)</f>
        <v>0</v>
      </c>
      <c r="G27" s="34" t="str">
        <f>HYPERLINK(اضافات!F27)</f>
        <v>0</v>
      </c>
      <c r="H27" s="34" t="str">
        <f>HYPERLINK(اضافات!O27)</f>
        <v>0</v>
      </c>
      <c r="I27" s="93" t="str">
        <f>HYPERLINK(خصومات!L27)</f>
        <v>0</v>
      </c>
      <c r="J27" s="163">
        <f t="shared" si="0"/>
        <v>0</v>
      </c>
      <c r="K27" s="163">
        <f t="shared" si="1"/>
        <v>0</v>
      </c>
      <c r="L27" s="26"/>
      <c r="M27" s="28"/>
      <c r="N27" s="57"/>
      <c r="O27" s="56"/>
      <c r="P27" s="27"/>
    </row>
    <row r="28" spans="1:16" ht="16.8" hidden="1" x14ac:dyDescent="0.25">
      <c r="A28" s="31"/>
      <c r="B28" s="70" t="s">
        <v>82</v>
      </c>
      <c r="C28" s="25"/>
      <c r="D28" s="148">
        <v>0</v>
      </c>
      <c r="E28" s="34" t="str">
        <f>HYPERLINK(اضافات!N28)</f>
        <v>0</v>
      </c>
      <c r="F28" s="34" t="str">
        <f>HYPERLINK(اضافات!M28)</f>
        <v>0</v>
      </c>
      <c r="G28" s="34" t="str">
        <f>HYPERLINK(اضافات!F28)</f>
        <v>0</v>
      </c>
      <c r="H28" s="34" t="str">
        <f>HYPERLINK(اضافات!O28)</f>
        <v>0</v>
      </c>
      <c r="I28" s="93" t="str">
        <f>HYPERLINK(خصومات!L28)</f>
        <v>0</v>
      </c>
      <c r="J28" s="163">
        <f t="shared" si="0"/>
        <v>0</v>
      </c>
      <c r="K28" s="163">
        <f t="shared" si="1"/>
        <v>0</v>
      </c>
      <c r="L28" s="26"/>
      <c r="M28" s="28"/>
      <c r="N28" s="57"/>
      <c r="O28" s="56"/>
      <c r="P28" s="27"/>
    </row>
    <row r="29" spans="1:16" ht="16.8" hidden="1" x14ac:dyDescent="0.25">
      <c r="A29" s="31"/>
      <c r="B29" s="70" t="s">
        <v>82</v>
      </c>
      <c r="C29" s="25"/>
      <c r="D29" s="148">
        <v>0</v>
      </c>
      <c r="E29" s="34" t="str">
        <f>HYPERLINK(اضافات!N29)</f>
        <v>0</v>
      </c>
      <c r="F29" s="34" t="str">
        <f>HYPERLINK(اضافات!M29)</f>
        <v>0</v>
      </c>
      <c r="G29" s="34" t="str">
        <f>HYPERLINK(اضافات!F29)</f>
        <v>0</v>
      </c>
      <c r="H29" s="34" t="str">
        <f>HYPERLINK(اضافات!O29)</f>
        <v>0</v>
      </c>
      <c r="I29" s="93" t="str">
        <f>HYPERLINK(خصومات!L29)</f>
        <v>0</v>
      </c>
      <c r="J29" s="163">
        <f t="shared" si="0"/>
        <v>0</v>
      </c>
      <c r="K29" s="163">
        <f t="shared" si="1"/>
        <v>0</v>
      </c>
      <c r="L29" s="26"/>
      <c r="M29" s="28"/>
      <c r="N29" s="57"/>
      <c r="O29" s="56"/>
      <c r="P29" s="27"/>
    </row>
    <row r="30" spans="1:16" s="79" customFormat="1" ht="16.8" hidden="1" x14ac:dyDescent="0.25">
      <c r="A30" s="31"/>
      <c r="B30" s="70" t="s">
        <v>82</v>
      </c>
      <c r="C30" s="78"/>
      <c r="D30" s="148">
        <v>0</v>
      </c>
      <c r="E30" s="34" t="str">
        <f>HYPERLINK(اضافات!N30)</f>
        <v>0</v>
      </c>
      <c r="F30" s="34" t="str">
        <f>HYPERLINK(اضافات!M30)</f>
        <v>0</v>
      </c>
      <c r="G30" s="34" t="str">
        <f>HYPERLINK(اضافات!F30)</f>
        <v>0</v>
      </c>
      <c r="H30" s="34" t="str">
        <f>HYPERLINK(اضافات!O30)</f>
        <v>0</v>
      </c>
      <c r="I30" s="93" t="str">
        <f>HYPERLINK(خصومات!L30)</f>
        <v>0</v>
      </c>
      <c r="J30" s="163">
        <f t="shared" si="0"/>
        <v>0</v>
      </c>
      <c r="K30" s="163">
        <f t="shared" si="1"/>
        <v>0</v>
      </c>
      <c r="L30" s="78"/>
      <c r="M30" s="28"/>
      <c r="N30" s="57"/>
      <c r="O30" s="56"/>
      <c r="P30" s="27"/>
    </row>
    <row r="31" spans="1:16" ht="16.8" hidden="1" x14ac:dyDescent="0.25">
      <c r="A31" s="31"/>
      <c r="B31" s="70" t="s">
        <v>82</v>
      </c>
      <c r="C31" s="25"/>
      <c r="D31" s="148">
        <v>0</v>
      </c>
      <c r="E31" s="34" t="str">
        <f>HYPERLINK(اضافات!N31)</f>
        <v>0</v>
      </c>
      <c r="F31" s="34" t="str">
        <f>HYPERLINK(اضافات!M31)</f>
        <v>0</v>
      </c>
      <c r="G31" s="34" t="str">
        <f>HYPERLINK(اضافات!F31)</f>
        <v>0</v>
      </c>
      <c r="H31" s="34" t="str">
        <f>HYPERLINK(اضافات!O31)</f>
        <v>0</v>
      </c>
      <c r="I31" s="93" t="str">
        <f>HYPERLINK(خصومات!L31)</f>
        <v>0</v>
      </c>
      <c r="J31" s="163">
        <f t="shared" si="0"/>
        <v>0</v>
      </c>
      <c r="K31" s="163">
        <f t="shared" si="1"/>
        <v>0</v>
      </c>
      <c r="L31" s="26"/>
      <c r="M31" s="28"/>
      <c r="N31" s="57"/>
      <c r="O31" s="56"/>
      <c r="P31" s="27"/>
    </row>
    <row r="32" spans="1:16" ht="16.8" hidden="1" x14ac:dyDescent="0.25">
      <c r="A32" s="31"/>
      <c r="B32" s="70" t="s">
        <v>82</v>
      </c>
      <c r="C32" s="25"/>
      <c r="D32" s="148">
        <v>0</v>
      </c>
      <c r="E32" s="34" t="str">
        <f>HYPERLINK(اضافات!N32)</f>
        <v>0</v>
      </c>
      <c r="F32" s="34" t="str">
        <f>HYPERLINK(اضافات!M32)</f>
        <v>0</v>
      </c>
      <c r="G32" s="34" t="str">
        <f>HYPERLINK(اضافات!F32)</f>
        <v>0</v>
      </c>
      <c r="H32" s="34" t="str">
        <f>HYPERLINK(اضافات!O32)</f>
        <v>0</v>
      </c>
      <c r="I32" s="93" t="str">
        <f>HYPERLINK(خصومات!L32)</f>
        <v>0</v>
      </c>
      <c r="J32" s="163">
        <f t="shared" si="0"/>
        <v>0</v>
      </c>
      <c r="K32" s="163">
        <f t="shared" si="1"/>
        <v>0</v>
      </c>
      <c r="L32" s="26"/>
      <c r="M32" s="28"/>
      <c r="N32" s="57"/>
      <c r="O32" s="56"/>
      <c r="P32" s="27"/>
    </row>
    <row r="33" spans="1:16" s="54" customFormat="1" ht="16.8" x14ac:dyDescent="0.25">
      <c r="A33" s="31">
        <v>8</v>
      </c>
      <c r="B33" s="70" t="s">
        <v>83</v>
      </c>
      <c r="C33" s="30"/>
      <c r="D33" s="148">
        <v>0</v>
      </c>
      <c r="E33" s="34" t="str">
        <f>HYPERLINK(اضافات!N33)</f>
        <v>0</v>
      </c>
      <c r="F33" s="34" t="str">
        <f>HYPERLINK(اضافات!M33)</f>
        <v>0</v>
      </c>
      <c r="G33" s="34" t="str">
        <f>HYPERLINK(اضافات!F33)</f>
        <v>0</v>
      </c>
      <c r="H33" s="34" t="str">
        <f>HYPERLINK(اضافات!O33)</f>
        <v>0</v>
      </c>
      <c r="I33" s="93" t="str">
        <f>HYPERLINK(خصومات!L33)</f>
        <v>0</v>
      </c>
      <c r="J33" s="163">
        <f t="shared" si="0"/>
        <v>0</v>
      </c>
      <c r="K33" s="163">
        <f t="shared" si="1"/>
        <v>0</v>
      </c>
      <c r="L33" s="32"/>
      <c r="M33" s="28"/>
      <c r="N33" s="57"/>
      <c r="O33" s="56"/>
      <c r="P33" s="27"/>
    </row>
    <row r="34" spans="1:16" s="54" customFormat="1" ht="16.8" x14ac:dyDescent="0.25">
      <c r="A34" s="31">
        <v>9</v>
      </c>
      <c r="B34" s="70" t="s">
        <v>67</v>
      </c>
      <c r="C34" s="30"/>
      <c r="D34" s="148">
        <v>0</v>
      </c>
      <c r="E34" s="34" t="str">
        <f>HYPERLINK(اضافات!N34)</f>
        <v>0</v>
      </c>
      <c r="F34" s="34" t="str">
        <f>HYPERLINK(اضافات!M34)</f>
        <v>0</v>
      </c>
      <c r="G34" s="34" t="str">
        <f>HYPERLINK(اضافات!F34)</f>
        <v>0</v>
      </c>
      <c r="H34" s="34" t="str">
        <f>HYPERLINK(اضافات!O34)</f>
        <v>0</v>
      </c>
      <c r="I34" s="93" t="str">
        <f>HYPERLINK(خصومات!L34)</f>
        <v>0</v>
      </c>
      <c r="J34" s="163">
        <f t="shared" si="0"/>
        <v>0</v>
      </c>
      <c r="K34" s="163">
        <f t="shared" si="1"/>
        <v>0</v>
      </c>
      <c r="L34" s="32"/>
      <c r="M34" s="28"/>
      <c r="N34" s="57"/>
      <c r="O34" s="56"/>
      <c r="P34" s="27"/>
    </row>
    <row r="35" spans="1:16" s="54" customFormat="1" ht="16.8" x14ac:dyDescent="0.25">
      <c r="A35" s="31">
        <v>10</v>
      </c>
      <c r="B35" s="70" t="s">
        <v>136</v>
      </c>
      <c r="C35" s="30"/>
      <c r="D35" s="148">
        <v>0</v>
      </c>
      <c r="E35" s="34" t="str">
        <f>HYPERLINK(اضافات!N35)</f>
        <v>0</v>
      </c>
      <c r="F35" s="34" t="str">
        <f>HYPERLINK(اضافات!M35)</f>
        <v>0</v>
      </c>
      <c r="G35" s="34" t="str">
        <f>HYPERLINK(اضافات!F35)</f>
        <v>0</v>
      </c>
      <c r="H35" s="34" t="str">
        <f>HYPERLINK(اضافات!O35)</f>
        <v>0</v>
      </c>
      <c r="I35" s="93" t="str">
        <f>HYPERLINK(خصومات!L35)</f>
        <v>0</v>
      </c>
      <c r="J35" s="163">
        <f t="shared" si="0"/>
        <v>0</v>
      </c>
      <c r="K35" s="163">
        <f t="shared" si="1"/>
        <v>0</v>
      </c>
      <c r="L35" s="32"/>
      <c r="M35" s="28"/>
      <c r="N35" s="57"/>
      <c r="O35" s="56"/>
      <c r="P35" s="27"/>
    </row>
    <row r="36" spans="1:16" s="54" customFormat="1" ht="16.8" hidden="1" x14ac:dyDescent="0.25">
      <c r="A36" s="31"/>
      <c r="B36" s="70" t="s">
        <v>82</v>
      </c>
      <c r="C36" s="30"/>
      <c r="D36" s="148">
        <v>0</v>
      </c>
      <c r="E36" s="34" t="str">
        <f>HYPERLINK(اضافات!N36)</f>
        <v>0</v>
      </c>
      <c r="F36" s="34" t="str">
        <f>HYPERLINK(اضافات!M36)</f>
        <v>0</v>
      </c>
      <c r="G36" s="34" t="str">
        <f>HYPERLINK(اضافات!F36)</f>
        <v>0</v>
      </c>
      <c r="H36" s="34" t="str">
        <f>HYPERLINK(اضافات!O36)</f>
        <v>0</v>
      </c>
      <c r="I36" s="93" t="str">
        <f>HYPERLINK(خصومات!L36)</f>
        <v>0</v>
      </c>
      <c r="J36" s="163">
        <f t="shared" si="0"/>
        <v>0</v>
      </c>
      <c r="K36" s="163">
        <f t="shared" si="1"/>
        <v>0</v>
      </c>
      <c r="L36" s="32"/>
      <c r="M36" s="28"/>
      <c r="N36" s="57"/>
      <c r="O36" s="56"/>
      <c r="P36" s="27"/>
    </row>
    <row r="37" spans="1:16" s="54" customFormat="1" ht="16.8" hidden="1" x14ac:dyDescent="0.25">
      <c r="A37" s="31"/>
      <c r="B37" s="70" t="s">
        <v>82</v>
      </c>
      <c r="C37" s="30"/>
      <c r="D37" s="148">
        <v>0</v>
      </c>
      <c r="E37" s="34" t="str">
        <f>HYPERLINK(اضافات!N37)</f>
        <v>0</v>
      </c>
      <c r="F37" s="34" t="str">
        <f>HYPERLINK(اضافات!M37)</f>
        <v>0</v>
      </c>
      <c r="G37" s="34" t="str">
        <f>HYPERLINK(اضافات!F37)</f>
        <v>0</v>
      </c>
      <c r="H37" s="34" t="str">
        <f>HYPERLINK(اضافات!O37)</f>
        <v>0</v>
      </c>
      <c r="I37" s="93" t="str">
        <f>HYPERLINK(خصومات!L37)</f>
        <v>0</v>
      </c>
      <c r="J37" s="163">
        <f t="shared" si="0"/>
        <v>0</v>
      </c>
      <c r="K37" s="163">
        <f t="shared" si="1"/>
        <v>0</v>
      </c>
      <c r="L37" s="32"/>
      <c r="M37" s="28"/>
      <c r="N37" s="57"/>
      <c r="O37" s="56"/>
      <c r="P37" s="27"/>
    </row>
    <row r="38" spans="1:16" s="54" customFormat="1" ht="16.8" hidden="1" x14ac:dyDescent="0.25">
      <c r="A38" s="31"/>
      <c r="B38" s="70" t="s">
        <v>82</v>
      </c>
      <c r="C38" s="30"/>
      <c r="D38" s="148">
        <v>0</v>
      </c>
      <c r="E38" s="34" t="str">
        <f>HYPERLINK(اضافات!N38)</f>
        <v>0</v>
      </c>
      <c r="F38" s="34" t="str">
        <f>HYPERLINK(اضافات!M38)</f>
        <v>0</v>
      </c>
      <c r="G38" s="34" t="str">
        <f>HYPERLINK(اضافات!F38)</f>
        <v>0</v>
      </c>
      <c r="H38" s="34" t="str">
        <f>HYPERLINK(اضافات!O38)</f>
        <v>0</v>
      </c>
      <c r="I38" s="93" t="str">
        <f>HYPERLINK(خصومات!L38)</f>
        <v>0</v>
      </c>
      <c r="J38" s="163">
        <f t="shared" si="0"/>
        <v>0</v>
      </c>
      <c r="K38" s="163">
        <f t="shared" si="1"/>
        <v>0</v>
      </c>
      <c r="L38" s="32"/>
      <c r="M38" s="28"/>
      <c r="N38" s="57"/>
      <c r="O38" s="56"/>
      <c r="P38" s="27"/>
    </row>
    <row r="39" spans="1:16" s="54" customFormat="1" ht="16.8" hidden="1" x14ac:dyDescent="0.25">
      <c r="A39" s="31"/>
      <c r="B39" s="70" t="s">
        <v>82</v>
      </c>
      <c r="C39" s="30"/>
      <c r="D39" s="148">
        <v>0</v>
      </c>
      <c r="E39" s="34" t="str">
        <f>HYPERLINK(اضافات!N39)</f>
        <v>0</v>
      </c>
      <c r="F39" s="34" t="str">
        <f>HYPERLINK(اضافات!M39)</f>
        <v>0</v>
      </c>
      <c r="G39" s="34" t="str">
        <f>HYPERLINK(اضافات!F39)</f>
        <v>0</v>
      </c>
      <c r="H39" s="34" t="str">
        <f>HYPERLINK(اضافات!O39)</f>
        <v>0</v>
      </c>
      <c r="I39" s="93" t="str">
        <f>HYPERLINK(خصومات!L39)</f>
        <v>0</v>
      </c>
      <c r="J39" s="163">
        <f t="shared" si="0"/>
        <v>0</v>
      </c>
      <c r="K39" s="163">
        <f t="shared" si="1"/>
        <v>0</v>
      </c>
      <c r="L39" s="32"/>
      <c r="M39" s="28"/>
      <c r="N39" s="57"/>
      <c r="O39" s="56"/>
      <c r="P39" s="27"/>
    </row>
    <row r="40" spans="1:16" s="54" customFormat="1" ht="16.8" hidden="1" x14ac:dyDescent="0.25">
      <c r="A40" s="31"/>
      <c r="B40" s="70" t="s">
        <v>82</v>
      </c>
      <c r="C40" s="30"/>
      <c r="D40" s="148">
        <v>0</v>
      </c>
      <c r="E40" s="34" t="str">
        <f>HYPERLINK(اضافات!N40)</f>
        <v>0</v>
      </c>
      <c r="F40" s="34" t="str">
        <f>HYPERLINK(اضافات!M40)</f>
        <v>0</v>
      </c>
      <c r="G40" s="34" t="str">
        <f>HYPERLINK(اضافات!F40)</f>
        <v>0</v>
      </c>
      <c r="H40" s="34" t="str">
        <f>HYPERLINK(اضافات!O40)</f>
        <v>0</v>
      </c>
      <c r="I40" s="93" t="str">
        <f>HYPERLINK(خصومات!L40)</f>
        <v>0</v>
      </c>
      <c r="J40" s="163">
        <f t="shared" si="0"/>
        <v>0</v>
      </c>
      <c r="K40" s="163">
        <f t="shared" si="1"/>
        <v>0</v>
      </c>
      <c r="L40" s="32"/>
      <c r="M40" s="28"/>
      <c r="N40" s="57"/>
      <c r="O40" s="56"/>
      <c r="P40" s="27"/>
    </row>
    <row r="41" spans="1:16" s="54" customFormat="1" ht="16.8" hidden="1" x14ac:dyDescent="0.25">
      <c r="A41" s="31"/>
      <c r="B41" s="70" t="s">
        <v>82</v>
      </c>
      <c r="C41" s="30"/>
      <c r="D41" s="148">
        <v>0</v>
      </c>
      <c r="E41" s="34" t="str">
        <f>HYPERLINK(اضافات!N41)</f>
        <v>0</v>
      </c>
      <c r="F41" s="34" t="str">
        <f>HYPERLINK(اضافات!M41)</f>
        <v>0</v>
      </c>
      <c r="G41" s="34" t="str">
        <f>HYPERLINK(اضافات!F41)</f>
        <v>0</v>
      </c>
      <c r="H41" s="34" t="str">
        <f>HYPERLINK(اضافات!O41)</f>
        <v>0</v>
      </c>
      <c r="I41" s="93" t="str">
        <f>HYPERLINK(خصومات!L41)</f>
        <v>0</v>
      </c>
      <c r="J41" s="163">
        <f t="shared" si="0"/>
        <v>0</v>
      </c>
      <c r="K41" s="163">
        <f t="shared" si="1"/>
        <v>0</v>
      </c>
      <c r="L41" s="32"/>
      <c r="M41" s="28"/>
      <c r="N41" s="57"/>
      <c r="O41" s="56"/>
      <c r="P41" s="27"/>
    </row>
    <row r="42" spans="1:16" s="54" customFormat="1" ht="16.8" hidden="1" x14ac:dyDescent="0.25">
      <c r="A42" s="31"/>
      <c r="B42" s="70" t="s">
        <v>82</v>
      </c>
      <c r="C42" s="30"/>
      <c r="D42" s="148">
        <v>0</v>
      </c>
      <c r="E42" s="34" t="str">
        <f>HYPERLINK(اضافات!N42)</f>
        <v>0</v>
      </c>
      <c r="F42" s="34" t="str">
        <f>HYPERLINK(اضافات!M42)</f>
        <v>0</v>
      </c>
      <c r="G42" s="34" t="str">
        <f>HYPERLINK(اضافات!F42)</f>
        <v>0</v>
      </c>
      <c r="H42" s="34" t="str">
        <f>HYPERLINK(اضافات!O42)</f>
        <v>0</v>
      </c>
      <c r="I42" s="93" t="str">
        <f>HYPERLINK(خصومات!L42)</f>
        <v>0</v>
      </c>
      <c r="J42" s="163">
        <f t="shared" si="0"/>
        <v>0</v>
      </c>
      <c r="K42" s="163">
        <f t="shared" si="1"/>
        <v>0</v>
      </c>
      <c r="L42" s="32"/>
      <c r="M42" s="28"/>
      <c r="N42" s="57"/>
      <c r="O42" s="56"/>
      <c r="P42" s="27"/>
    </row>
    <row r="43" spans="1:16" s="54" customFormat="1" ht="16.8" hidden="1" x14ac:dyDescent="0.25">
      <c r="A43" s="31"/>
      <c r="B43" s="70" t="s">
        <v>82</v>
      </c>
      <c r="C43" s="30"/>
      <c r="D43" s="148">
        <v>0</v>
      </c>
      <c r="E43" s="34" t="str">
        <f>HYPERLINK(اضافات!N43)</f>
        <v>0</v>
      </c>
      <c r="F43" s="34" t="str">
        <f>HYPERLINK(اضافات!M43)</f>
        <v>0</v>
      </c>
      <c r="G43" s="34" t="str">
        <f>HYPERLINK(اضافات!F43)</f>
        <v>0</v>
      </c>
      <c r="H43" s="34" t="str">
        <f>HYPERLINK(اضافات!O43)</f>
        <v>0</v>
      </c>
      <c r="I43" s="93" t="str">
        <f>HYPERLINK(خصومات!L43)</f>
        <v>0</v>
      </c>
      <c r="J43" s="163">
        <f t="shared" si="0"/>
        <v>0</v>
      </c>
      <c r="K43" s="163">
        <f t="shared" si="1"/>
        <v>0</v>
      </c>
      <c r="L43" s="32"/>
      <c r="M43" s="28"/>
      <c r="N43" s="57"/>
      <c r="O43" s="56"/>
      <c r="P43" s="27"/>
    </row>
    <row r="44" spans="1:16" s="54" customFormat="1" ht="16.8" hidden="1" x14ac:dyDescent="0.25">
      <c r="A44" s="31"/>
      <c r="B44" s="70" t="s">
        <v>82</v>
      </c>
      <c r="C44" s="30"/>
      <c r="D44" s="148">
        <v>0</v>
      </c>
      <c r="E44" s="34" t="str">
        <f>HYPERLINK(اضافات!N44)</f>
        <v>0</v>
      </c>
      <c r="F44" s="34" t="str">
        <f>HYPERLINK(اضافات!M44)</f>
        <v>0</v>
      </c>
      <c r="G44" s="34" t="str">
        <f>HYPERLINK(اضافات!F44)</f>
        <v>0</v>
      </c>
      <c r="H44" s="34" t="str">
        <f>HYPERLINK(اضافات!O44)</f>
        <v>0</v>
      </c>
      <c r="I44" s="93" t="str">
        <f>HYPERLINK(خصومات!L44)</f>
        <v>0</v>
      </c>
      <c r="J44" s="163">
        <f t="shared" si="0"/>
        <v>0</v>
      </c>
      <c r="K44" s="163">
        <f t="shared" si="1"/>
        <v>0</v>
      </c>
      <c r="L44" s="32"/>
      <c r="M44" s="28"/>
      <c r="N44" s="57"/>
      <c r="O44" s="56"/>
      <c r="P44" s="27"/>
    </row>
    <row r="45" spans="1:16" s="54" customFormat="1" ht="16.8" x14ac:dyDescent="0.25">
      <c r="A45" s="31">
        <v>11</v>
      </c>
      <c r="B45" s="70" t="s">
        <v>124</v>
      </c>
      <c r="C45" s="30"/>
      <c r="D45" s="148">
        <v>0</v>
      </c>
      <c r="E45" s="34" t="str">
        <f>HYPERLINK(اضافات!N45)</f>
        <v>0</v>
      </c>
      <c r="F45" s="34" t="str">
        <f>HYPERLINK(اضافات!M45)</f>
        <v>0</v>
      </c>
      <c r="G45" s="34" t="str">
        <f>HYPERLINK(اضافات!F45)</f>
        <v>0</v>
      </c>
      <c r="H45" s="34" t="str">
        <f>HYPERLINK(اضافات!O45)</f>
        <v>0</v>
      </c>
      <c r="I45" s="93" t="str">
        <f>HYPERLINK(خصومات!L45)</f>
        <v>0</v>
      </c>
      <c r="J45" s="163">
        <f t="shared" si="0"/>
        <v>0</v>
      </c>
      <c r="K45" s="163">
        <f t="shared" si="1"/>
        <v>0</v>
      </c>
      <c r="L45" s="32"/>
      <c r="M45" s="28"/>
      <c r="N45" s="57"/>
      <c r="O45" s="56"/>
      <c r="P45" s="27"/>
    </row>
    <row r="46" spans="1:16" s="54" customFormat="1" ht="16.8" x14ac:dyDescent="0.25">
      <c r="A46" s="31">
        <v>12</v>
      </c>
      <c r="B46" s="70" t="s">
        <v>133</v>
      </c>
      <c r="C46" s="30"/>
      <c r="D46" s="148">
        <v>0</v>
      </c>
      <c r="E46" s="34" t="str">
        <f>HYPERLINK(اضافات!N46)</f>
        <v>0</v>
      </c>
      <c r="F46" s="34" t="str">
        <f>HYPERLINK(اضافات!M46)</f>
        <v>0</v>
      </c>
      <c r="G46" s="34" t="str">
        <f>HYPERLINK(اضافات!F46)</f>
        <v>0</v>
      </c>
      <c r="H46" s="34" t="str">
        <f>HYPERLINK(اضافات!O46)</f>
        <v>0</v>
      </c>
      <c r="I46" s="93" t="str">
        <f>HYPERLINK(خصومات!L46)</f>
        <v>0</v>
      </c>
      <c r="J46" s="163">
        <f t="shared" si="0"/>
        <v>0</v>
      </c>
      <c r="K46" s="163">
        <f t="shared" si="1"/>
        <v>0</v>
      </c>
      <c r="L46" s="32"/>
      <c r="M46" s="28"/>
      <c r="N46" s="57"/>
      <c r="O46" s="56"/>
      <c r="P46" s="27"/>
    </row>
    <row r="47" spans="1:16" s="54" customFormat="1" ht="16.8" x14ac:dyDescent="0.25">
      <c r="A47" s="31">
        <v>13</v>
      </c>
      <c r="B47" s="70" t="s">
        <v>134</v>
      </c>
      <c r="C47" s="30"/>
      <c r="D47" s="148">
        <v>0</v>
      </c>
      <c r="E47" s="34" t="str">
        <f>HYPERLINK(اضافات!N47)</f>
        <v>0</v>
      </c>
      <c r="F47" s="34" t="str">
        <f>HYPERLINK(اضافات!M47)</f>
        <v>0</v>
      </c>
      <c r="G47" s="34" t="str">
        <f>HYPERLINK(اضافات!F47)</f>
        <v>0</v>
      </c>
      <c r="H47" s="34" t="str">
        <f>HYPERLINK(اضافات!O47)</f>
        <v>0</v>
      </c>
      <c r="I47" s="93" t="str">
        <f>HYPERLINK(خصومات!L47)</f>
        <v>0</v>
      </c>
      <c r="J47" s="163">
        <f t="shared" si="0"/>
        <v>0</v>
      </c>
      <c r="K47" s="163">
        <f t="shared" si="1"/>
        <v>0</v>
      </c>
      <c r="L47" s="32"/>
      <c r="M47" s="28"/>
      <c r="N47" s="57"/>
      <c r="O47" s="56"/>
      <c r="P47" s="27"/>
    </row>
    <row r="48" spans="1:16" s="54" customFormat="1" ht="16.8" x14ac:dyDescent="0.25">
      <c r="A48" s="31">
        <v>14</v>
      </c>
      <c r="B48" s="70" t="s">
        <v>135</v>
      </c>
      <c r="C48" s="30"/>
      <c r="D48" s="148">
        <v>0</v>
      </c>
      <c r="E48" s="34" t="str">
        <f>HYPERLINK(اضافات!N48)</f>
        <v>0</v>
      </c>
      <c r="F48" s="34" t="str">
        <f>HYPERLINK(اضافات!M48)</f>
        <v>0</v>
      </c>
      <c r="G48" s="34" t="str">
        <f>HYPERLINK(اضافات!F48)</f>
        <v>0</v>
      </c>
      <c r="H48" s="34" t="str">
        <f>HYPERLINK(اضافات!O48)</f>
        <v>0</v>
      </c>
      <c r="I48" s="93" t="str">
        <f>HYPERLINK(خصومات!L48)</f>
        <v>0</v>
      </c>
      <c r="J48" s="163">
        <f t="shared" si="0"/>
        <v>0</v>
      </c>
      <c r="K48" s="163">
        <f t="shared" si="1"/>
        <v>0</v>
      </c>
      <c r="L48" s="32"/>
      <c r="M48" s="28"/>
      <c r="N48" s="57"/>
      <c r="O48" s="56"/>
      <c r="P48" s="27"/>
    </row>
    <row r="49" spans="1:16" s="54" customFormat="1" ht="16.8" x14ac:dyDescent="0.25">
      <c r="A49" s="31">
        <v>15</v>
      </c>
      <c r="B49" s="70" t="s">
        <v>147</v>
      </c>
      <c r="C49" s="30"/>
      <c r="D49" s="148">
        <v>0</v>
      </c>
      <c r="E49" s="34" t="str">
        <f>HYPERLINK(اضافات!N49)</f>
        <v>0</v>
      </c>
      <c r="F49" s="34" t="str">
        <f>HYPERLINK(اضافات!M49)</f>
        <v>0</v>
      </c>
      <c r="G49" s="34" t="str">
        <f>HYPERLINK(اضافات!F49)</f>
        <v>0</v>
      </c>
      <c r="H49" s="34" t="str">
        <f>HYPERLINK(اضافات!O49)</f>
        <v>0</v>
      </c>
      <c r="I49" s="93" t="str">
        <f>HYPERLINK(خصومات!L49)</f>
        <v>0</v>
      </c>
      <c r="J49" s="163">
        <f t="shared" si="0"/>
        <v>0</v>
      </c>
      <c r="K49" s="163">
        <f t="shared" si="1"/>
        <v>0</v>
      </c>
      <c r="L49" s="32"/>
      <c r="M49" s="28"/>
      <c r="N49" s="57"/>
      <c r="O49" s="56"/>
      <c r="P49" s="27"/>
    </row>
    <row r="50" spans="1:16" s="54" customFormat="1" ht="16.8" hidden="1" x14ac:dyDescent="0.25">
      <c r="A50" s="31"/>
      <c r="B50" s="70" t="s">
        <v>82</v>
      </c>
      <c r="C50" s="30"/>
      <c r="D50" s="151">
        <v>0</v>
      </c>
      <c r="E50" s="34" t="str">
        <f>HYPERLINK(اضافات!N50)</f>
        <v>0</v>
      </c>
      <c r="F50" s="34" t="str">
        <f>HYPERLINK(اضافات!M50)</f>
        <v>0</v>
      </c>
      <c r="G50" s="34" t="str">
        <f>HYPERLINK(اضافات!F50)</f>
        <v>0</v>
      </c>
      <c r="H50" s="34" t="str">
        <f>HYPERLINK(اضافات!O50)</f>
        <v>0</v>
      </c>
      <c r="I50" s="93" t="str">
        <f>HYPERLINK(خصومات!L50)</f>
        <v>0</v>
      </c>
      <c r="J50" s="150">
        <f t="shared" si="0"/>
        <v>0</v>
      </c>
      <c r="K50" s="150">
        <f t="shared" si="1"/>
        <v>0</v>
      </c>
      <c r="L50" s="32"/>
      <c r="M50" s="28"/>
      <c r="N50" s="57"/>
      <c r="O50" s="56"/>
      <c r="P50" s="27"/>
    </row>
    <row r="51" spans="1:16" s="54" customFormat="1" ht="16.8" hidden="1" x14ac:dyDescent="0.25">
      <c r="A51" s="31"/>
      <c r="B51" s="70" t="s">
        <v>82</v>
      </c>
      <c r="C51" s="30"/>
      <c r="D51" s="151">
        <v>0</v>
      </c>
      <c r="E51" s="34" t="str">
        <f>HYPERLINK(اضافات!N51)</f>
        <v>0</v>
      </c>
      <c r="F51" s="34" t="str">
        <f>HYPERLINK(اضافات!M51)</f>
        <v>0</v>
      </c>
      <c r="G51" s="34" t="str">
        <f>HYPERLINK(اضافات!F51)</f>
        <v>0</v>
      </c>
      <c r="H51" s="34" t="str">
        <f>HYPERLINK(اضافات!O51)</f>
        <v>0</v>
      </c>
      <c r="I51" s="93" t="str">
        <f>HYPERLINK(خصومات!L51)</f>
        <v>0</v>
      </c>
      <c r="J51" s="150">
        <f t="shared" si="0"/>
        <v>0</v>
      </c>
      <c r="K51" s="150">
        <f t="shared" si="1"/>
        <v>0</v>
      </c>
      <c r="L51" s="32"/>
      <c r="M51" s="28"/>
      <c r="N51" s="57"/>
      <c r="O51" s="56"/>
      <c r="P51" s="27"/>
    </row>
    <row r="52" spans="1:16" s="54" customFormat="1" ht="16.8" hidden="1" x14ac:dyDescent="0.25">
      <c r="A52" s="31"/>
      <c r="B52" s="70" t="s">
        <v>82</v>
      </c>
      <c r="C52" s="30"/>
      <c r="D52" s="151">
        <v>0</v>
      </c>
      <c r="E52" s="34" t="str">
        <f>HYPERLINK(اضافات!N52)</f>
        <v>0</v>
      </c>
      <c r="F52" s="34" t="str">
        <f>HYPERLINK(اضافات!M52)</f>
        <v>0</v>
      </c>
      <c r="G52" s="34" t="str">
        <f>HYPERLINK(اضافات!F52)</f>
        <v>0</v>
      </c>
      <c r="H52" s="34" t="str">
        <f>HYPERLINK(اضافات!O52)</f>
        <v>0</v>
      </c>
      <c r="I52" s="93" t="str">
        <f>HYPERLINK(خصومات!L52)</f>
        <v>0</v>
      </c>
      <c r="J52" s="150">
        <f t="shared" si="0"/>
        <v>0</v>
      </c>
      <c r="K52" s="150">
        <f t="shared" si="1"/>
        <v>0</v>
      </c>
      <c r="L52" s="32"/>
      <c r="M52" s="28"/>
      <c r="N52" s="57"/>
      <c r="O52" s="56"/>
      <c r="P52" s="27"/>
    </row>
    <row r="53" spans="1:16" s="54" customFormat="1" ht="16.8" hidden="1" x14ac:dyDescent="0.25">
      <c r="A53" s="31"/>
      <c r="B53" s="70" t="s">
        <v>82</v>
      </c>
      <c r="C53" s="30"/>
      <c r="D53" s="151">
        <v>0</v>
      </c>
      <c r="E53" s="34" t="str">
        <f>HYPERLINK(اضافات!N53)</f>
        <v>0</v>
      </c>
      <c r="F53" s="34" t="str">
        <f>HYPERLINK(اضافات!M53)</f>
        <v>0</v>
      </c>
      <c r="G53" s="34" t="str">
        <f>HYPERLINK(اضافات!F53)</f>
        <v>0</v>
      </c>
      <c r="H53" s="34" t="str">
        <f>HYPERLINK(اضافات!O53)</f>
        <v>0</v>
      </c>
      <c r="I53" s="93" t="str">
        <f>HYPERLINK(خصومات!L53)</f>
        <v>0</v>
      </c>
      <c r="J53" s="150">
        <f t="shared" si="0"/>
        <v>0</v>
      </c>
      <c r="K53" s="150">
        <f t="shared" si="1"/>
        <v>0</v>
      </c>
      <c r="L53" s="32"/>
      <c r="M53" s="28"/>
      <c r="N53" s="57"/>
      <c r="O53" s="56"/>
      <c r="P53" s="27"/>
    </row>
    <row r="54" spans="1:16" s="54" customFormat="1" ht="16.8" hidden="1" x14ac:dyDescent="0.25">
      <c r="A54" s="31"/>
      <c r="B54" s="70" t="s">
        <v>82</v>
      </c>
      <c r="C54" s="30"/>
      <c r="D54" s="151">
        <v>0</v>
      </c>
      <c r="E54" s="34" t="str">
        <f>HYPERLINK(اضافات!N54)</f>
        <v>0</v>
      </c>
      <c r="F54" s="34" t="str">
        <f>HYPERLINK(اضافات!M54)</f>
        <v>0</v>
      </c>
      <c r="G54" s="34" t="str">
        <f>HYPERLINK(اضافات!F54)</f>
        <v>0</v>
      </c>
      <c r="H54" s="34" t="str">
        <f>HYPERLINK(اضافات!O54)</f>
        <v>0</v>
      </c>
      <c r="I54" s="93" t="str">
        <f>HYPERLINK(خصومات!L54)</f>
        <v>0</v>
      </c>
      <c r="J54" s="150">
        <f t="shared" si="0"/>
        <v>0</v>
      </c>
      <c r="K54" s="150">
        <f t="shared" si="1"/>
        <v>0</v>
      </c>
      <c r="L54" s="32"/>
      <c r="M54" s="28"/>
      <c r="N54" s="57"/>
      <c r="O54" s="56"/>
      <c r="P54" s="27"/>
    </row>
    <row r="55" spans="1:16" s="54" customFormat="1" ht="16.8" hidden="1" x14ac:dyDescent="0.25">
      <c r="A55" s="31"/>
      <c r="B55" s="70" t="s">
        <v>82</v>
      </c>
      <c r="C55" s="30"/>
      <c r="D55" s="151">
        <v>0</v>
      </c>
      <c r="E55" s="34" t="str">
        <f>HYPERLINK(اضافات!N55)</f>
        <v>0</v>
      </c>
      <c r="F55" s="34" t="str">
        <f>HYPERLINK(اضافات!M55)</f>
        <v>0</v>
      </c>
      <c r="G55" s="34" t="str">
        <f>HYPERLINK(اضافات!F55)</f>
        <v>0</v>
      </c>
      <c r="H55" s="34" t="str">
        <f>HYPERLINK(اضافات!O55)</f>
        <v>0</v>
      </c>
      <c r="I55" s="93" t="str">
        <f>HYPERLINK(خصومات!L55)</f>
        <v>0</v>
      </c>
      <c r="J55" s="150">
        <f t="shared" si="0"/>
        <v>0</v>
      </c>
      <c r="K55" s="150">
        <f t="shared" si="1"/>
        <v>0</v>
      </c>
      <c r="L55" s="32"/>
      <c r="M55" s="28"/>
      <c r="N55" s="57"/>
      <c r="O55" s="56"/>
      <c r="P55" s="27"/>
    </row>
    <row r="56" spans="1:16" ht="16.8" x14ac:dyDescent="0.25">
      <c r="A56" s="117">
        <v>15</v>
      </c>
      <c r="B56" s="118" t="s">
        <v>79</v>
      </c>
      <c r="C56" s="119"/>
      <c r="D56" s="152">
        <f>SUM(D19:D55)</f>
        <v>0</v>
      </c>
      <c r="E56" s="120">
        <f t="shared" ref="E56:K56" si="3">SUM(E19:E55)</f>
        <v>0</v>
      </c>
      <c r="F56" s="120">
        <f t="shared" si="3"/>
        <v>0</v>
      </c>
      <c r="G56" s="120">
        <f t="shared" si="3"/>
        <v>0</v>
      </c>
      <c r="H56" s="120">
        <f t="shared" si="3"/>
        <v>0</v>
      </c>
      <c r="I56" s="120">
        <f t="shared" si="3"/>
        <v>0</v>
      </c>
      <c r="J56" s="152">
        <f t="shared" si="3"/>
        <v>0</v>
      </c>
      <c r="K56" s="152">
        <f t="shared" si="3"/>
        <v>0</v>
      </c>
      <c r="L56" s="120">
        <f>SUM(K19:K55)</f>
        <v>0</v>
      </c>
      <c r="M56" s="121"/>
      <c r="N56" s="122"/>
      <c r="O56" s="123"/>
      <c r="P56" s="124"/>
    </row>
    <row r="57" spans="1:16" ht="16.8" x14ac:dyDescent="0.25">
      <c r="A57" s="31">
        <v>1</v>
      </c>
      <c r="B57" s="70" t="s">
        <v>71</v>
      </c>
      <c r="C57" s="25"/>
      <c r="D57" s="148">
        <v>0</v>
      </c>
      <c r="E57" s="34" t="str">
        <f>HYPERLINK(اضافات!N57)</f>
        <v>0</v>
      </c>
      <c r="F57" s="34" t="str">
        <f>HYPERLINK(اضافات!M57)</f>
        <v>0</v>
      </c>
      <c r="G57" s="34" t="str">
        <f>HYPERLINK(اضافات!F57)</f>
        <v>0</v>
      </c>
      <c r="H57" s="34" t="str">
        <f>HYPERLINK(اضافات!O57)</f>
        <v>0</v>
      </c>
      <c r="I57" s="93" t="str">
        <f>HYPERLINK(خصومات!L57)</f>
        <v>0</v>
      </c>
      <c r="J57" s="163">
        <f t="shared" si="0"/>
        <v>0</v>
      </c>
      <c r="K57" s="163">
        <f t="shared" si="1"/>
        <v>0</v>
      </c>
      <c r="L57" s="26"/>
      <c r="M57" s="28"/>
      <c r="N57" s="57"/>
      <c r="O57" s="56"/>
      <c r="P57" s="27"/>
    </row>
    <row r="58" spans="1:16" ht="16.8" x14ac:dyDescent="0.25">
      <c r="A58" s="31">
        <v>2</v>
      </c>
      <c r="B58" s="70" t="s">
        <v>132</v>
      </c>
      <c r="C58" s="25"/>
      <c r="D58" s="148">
        <v>0</v>
      </c>
      <c r="E58" s="34" t="str">
        <f>HYPERLINK(اضافات!N58)</f>
        <v>0</v>
      </c>
      <c r="F58" s="34" t="str">
        <f>HYPERLINK(اضافات!M58)</f>
        <v>0</v>
      </c>
      <c r="G58" s="34" t="str">
        <f>HYPERLINK(اضافات!F58)</f>
        <v>0</v>
      </c>
      <c r="H58" s="34" t="str">
        <f>HYPERLINK(اضافات!O58)</f>
        <v>0</v>
      </c>
      <c r="I58" s="93" t="str">
        <f>HYPERLINK(خصومات!L58)</f>
        <v>0</v>
      </c>
      <c r="J58" s="163">
        <f t="shared" si="0"/>
        <v>0</v>
      </c>
      <c r="K58" s="163">
        <f t="shared" si="1"/>
        <v>0</v>
      </c>
      <c r="L58" s="26"/>
      <c r="M58" s="28"/>
      <c r="N58" s="57"/>
      <c r="O58" s="56"/>
      <c r="P58" s="27"/>
    </row>
    <row r="59" spans="1:16" ht="16.8" hidden="1" x14ac:dyDescent="0.25">
      <c r="A59" s="31"/>
      <c r="B59" s="70" t="s">
        <v>95</v>
      </c>
      <c r="C59" s="25"/>
      <c r="D59" s="148">
        <v>0</v>
      </c>
      <c r="E59" s="34" t="str">
        <f>HYPERLINK(اضافات!N59)</f>
        <v>0</v>
      </c>
      <c r="F59" s="34" t="str">
        <f>HYPERLINK(اضافات!M59)</f>
        <v>0</v>
      </c>
      <c r="G59" s="34" t="str">
        <f>HYPERLINK(اضافات!F59)</f>
        <v>0</v>
      </c>
      <c r="H59" s="34" t="str">
        <f>HYPERLINK(اضافات!O59)</f>
        <v>0</v>
      </c>
      <c r="I59" s="93" t="str">
        <f>HYPERLINK(خصومات!L59)</f>
        <v>0</v>
      </c>
      <c r="J59" s="163">
        <f t="shared" si="0"/>
        <v>0</v>
      </c>
      <c r="K59" s="163">
        <f t="shared" si="1"/>
        <v>0</v>
      </c>
      <c r="L59" s="26"/>
      <c r="M59" s="28"/>
      <c r="N59" s="57"/>
      <c r="O59" s="56"/>
      <c r="P59" s="27"/>
    </row>
    <row r="60" spans="1:16" ht="16.8" hidden="1" x14ac:dyDescent="0.25">
      <c r="A60" s="31"/>
      <c r="B60" s="70" t="s">
        <v>95</v>
      </c>
      <c r="C60" s="25"/>
      <c r="D60" s="148">
        <v>0</v>
      </c>
      <c r="E60" s="34" t="str">
        <f>HYPERLINK(اضافات!N60)</f>
        <v>0</v>
      </c>
      <c r="F60" s="34" t="str">
        <f>HYPERLINK(اضافات!M60)</f>
        <v>0</v>
      </c>
      <c r="G60" s="34" t="str">
        <f>HYPERLINK(اضافات!F60)</f>
        <v>0</v>
      </c>
      <c r="H60" s="34" t="str">
        <f>HYPERLINK(اضافات!O60)</f>
        <v>0</v>
      </c>
      <c r="I60" s="93" t="str">
        <f>HYPERLINK(خصومات!L60)</f>
        <v>0</v>
      </c>
      <c r="J60" s="163">
        <f t="shared" si="0"/>
        <v>0</v>
      </c>
      <c r="K60" s="163">
        <f t="shared" si="1"/>
        <v>0</v>
      </c>
      <c r="L60" s="26"/>
      <c r="M60" s="28"/>
      <c r="N60" s="57"/>
      <c r="O60" s="56"/>
      <c r="P60" s="27"/>
    </row>
    <row r="61" spans="1:16" ht="16.8" hidden="1" x14ac:dyDescent="0.25">
      <c r="A61" s="31"/>
      <c r="B61" s="70" t="s">
        <v>95</v>
      </c>
      <c r="C61" s="25"/>
      <c r="D61" s="148">
        <v>0</v>
      </c>
      <c r="E61" s="34" t="str">
        <f>HYPERLINK(اضافات!N61)</f>
        <v>0</v>
      </c>
      <c r="F61" s="34" t="str">
        <f>HYPERLINK(اضافات!M61)</f>
        <v>0</v>
      </c>
      <c r="G61" s="34" t="str">
        <f>HYPERLINK(اضافات!F61)</f>
        <v>0</v>
      </c>
      <c r="H61" s="34" t="str">
        <f>HYPERLINK(اضافات!O61)</f>
        <v>0</v>
      </c>
      <c r="I61" s="93" t="str">
        <f>HYPERLINK(خصومات!L61)</f>
        <v>0</v>
      </c>
      <c r="J61" s="163">
        <f t="shared" si="0"/>
        <v>0</v>
      </c>
      <c r="K61" s="163">
        <f t="shared" si="1"/>
        <v>0</v>
      </c>
      <c r="L61" s="26"/>
      <c r="M61" s="28"/>
      <c r="N61" s="57"/>
      <c r="O61" s="56"/>
      <c r="P61" s="27"/>
    </row>
    <row r="62" spans="1:16" customFormat="1" ht="16.8" x14ac:dyDescent="0.25">
      <c r="A62" s="84">
        <v>3</v>
      </c>
      <c r="B62" s="70" t="s">
        <v>70</v>
      </c>
      <c r="C62" s="3"/>
      <c r="D62" s="148">
        <v>0</v>
      </c>
      <c r="E62" s="85" t="str">
        <f>HYPERLINK(اضافات!N62)</f>
        <v>0</v>
      </c>
      <c r="F62" s="85" t="str">
        <f>HYPERLINK(اضافات!M62)</f>
        <v>0</v>
      </c>
      <c r="G62" s="85" t="str">
        <f>HYPERLINK(اضافات!F62)</f>
        <v>0</v>
      </c>
      <c r="H62" s="85" t="str">
        <f>HYPERLINK(اضافات!O62)</f>
        <v>0</v>
      </c>
      <c r="I62" s="93" t="str">
        <f>HYPERLINK(خصومات!L62)</f>
        <v>0</v>
      </c>
      <c r="J62" s="163">
        <f t="shared" si="0"/>
        <v>0</v>
      </c>
      <c r="K62" s="163">
        <f t="shared" si="1"/>
        <v>0</v>
      </c>
      <c r="L62" s="86"/>
      <c r="M62" s="10"/>
      <c r="N62" s="87"/>
      <c r="O62" s="88"/>
      <c r="P62" s="4"/>
    </row>
    <row r="63" spans="1:16" ht="16.8" x14ac:dyDescent="0.25">
      <c r="A63" s="31">
        <v>4</v>
      </c>
      <c r="B63" s="70" t="s">
        <v>75</v>
      </c>
      <c r="C63" s="25"/>
      <c r="D63" s="148">
        <v>0</v>
      </c>
      <c r="E63" s="34" t="str">
        <f>HYPERLINK(اضافات!N63)</f>
        <v>0</v>
      </c>
      <c r="F63" s="34" t="str">
        <f>HYPERLINK(اضافات!M63)</f>
        <v>0</v>
      </c>
      <c r="G63" s="34" t="str">
        <f>HYPERLINK(اضافات!F63)</f>
        <v>0</v>
      </c>
      <c r="H63" s="34" t="str">
        <f>HYPERLINK(اضافات!O63)</f>
        <v>0</v>
      </c>
      <c r="I63" s="93" t="str">
        <f>HYPERLINK(خصومات!L63)</f>
        <v>0</v>
      </c>
      <c r="J63" s="163">
        <f t="shared" si="0"/>
        <v>0</v>
      </c>
      <c r="K63" s="163">
        <f t="shared" si="1"/>
        <v>0</v>
      </c>
      <c r="L63" s="26"/>
      <c r="M63" s="28"/>
      <c r="N63" s="57"/>
      <c r="O63" s="56"/>
      <c r="P63" s="27"/>
    </row>
    <row r="64" spans="1:16" ht="16.8" hidden="1" x14ac:dyDescent="0.25">
      <c r="A64" s="31"/>
      <c r="B64" s="70" t="s">
        <v>94</v>
      </c>
      <c r="C64" s="25"/>
      <c r="D64" s="148">
        <v>0</v>
      </c>
      <c r="E64" s="34" t="str">
        <f>HYPERLINK(اضافات!N64)</f>
        <v>0</v>
      </c>
      <c r="F64" s="34" t="str">
        <f>HYPERLINK(اضافات!M64)</f>
        <v>0</v>
      </c>
      <c r="G64" s="34" t="str">
        <f>HYPERLINK(اضافات!F64)</f>
        <v>0</v>
      </c>
      <c r="H64" s="34" t="str">
        <f>HYPERLINK(اضافات!O64)</f>
        <v>0</v>
      </c>
      <c r="I64" s="93" t="str">
        <f>HYPERLINK(خصومات!L64)</f>
        <v>0</v>
      </c>
      <c r="J64" s="163">
        <f t="shared" si="0"/>
        <v>0</v>
      </c>
      <c r="K64" s="163">
        <f t="shared" si="1"/>
        <v>0</v>
      </c>
      <c r="L64" s="26"/>
      <c r="M64" s="28"/>
      <c r="N64" s="57"/>
      <c r="O64" s="56"/>
      <c r="P64" s="27"/>
    </row>
    <row r="65" spans="1:16" ht="16.8" hidden="1" x14ac:dyDescent="0.25">
      <c r="A65" s="31"/>
      <c r="B65" s="70" t="s">
        <v>94</v>
      </c>
      <c r="C65" s="25"/>
      <c r="D65" s="148">
        <v>0</v>
      </c>
      <c r="E65" s="34" t="str">
        <f>HYPERLINK(اضافات!N65)</f>
        <v>0</v>
      </c>
      <c r="F65" s="34" t="str">
        <f>HYPERLINK(اضافات!M65)</f>
        <v>0</v>
      </c>
      <c r="G65" s="34" t="str">
        <f>HYPERLINK(اضافات!F65)</f>
        <v>0</v>
      </c>
      <c r="H65" s="34" t="str">
        <f>HYPERLINK(اضافات!O65)</f>
        <v>0</v>
      </c>
      <c r="I65" s="93" t="str">
        <f>HYPERLINK(خصومات!L65)</f>
        <v>0</v>
      </c>
      <c r="J65" s="163">
        <f t="shared" si="0"/>
        <v>0</v>
      </c>
      <c r="K65" s="163">
        <f t="shared" si="1"/>
        <v>0</v>
      </c>
      <c r="L65" s="26"/>
      <c r="M65" s="28"/>
      <c r="N65" s="57"/>
      <c r="O65" s="56"/>
      <c r="P65" s="27"/>
    </row>
    <row r="66" spans="1:16" ht="16.8" hidden="1" x14ac:dyDescent="0.25">
      <c r="A66" s="31"/>
      <c r="B66" s="70" t="s">
        <v>94</v>
      </c>
      <c r="C66" s="25"/>
      <c r="D66" s="148">
        <v>0</v>
      </c>
      <c r="E66" s="34" t="str">
        <f>HYPERLINK(اضافات!N66)</f>
        <v>0</v>
      </c>
      <c r="F66" s="34" t="str">
        <f>HYPERLINK(اضافات!M66)</f>
        <v>0</v>
      </c>
      <c r="G66" s="34" t="str">
        <f>HYPERLINK(اضافات!F66)</f>
        <v>0</v>
      </c>
      <c r="H66" s="34" t="str">
        <f>HYPERLINK(اضافات!O66)</f>
        <v>0</v>
      </c>
      <c r="I66" s="93" t="str">
        <f>HYPERLINK(خصومات!L66)</f>
        <v>0</v>
      </c>
      <c r="J66" s="163">
        <f t="shared" si="0"/>
        <v>0</v>
      </c>
      <c r="K66" s="163">
        <f t="shared" si="1"/>
        <v>0</v>
      </c>
      <c r="L66" s="26"/>
      <c r="M66" s="28"/>
      <c r="N66" s="57"/>
      <c r="O66" s="56"/>
      <c r="P66" s="27"/>
    </row>
    <row r="67" spans="1:16" ht="16.8" hidden="1" x14ac:dyDescent="0.25">
      <c r="A67" s="31"/>
      <c r="B67" s="70" t="s">
        <v>94</v>
      </c>
      <c r="C67" s="25"/>
      <c r="D67" s="148">
        <v>0</v>
      </c>
      <c r="E67" s="34" t="str">
        <f>HYPERLINK(اضافات!N67)</f>
        <v>0</v>
      </c>
      <c r="F67" s="34" t="str">
        <f>HYPERLINK(اضافات!M67)</f>
        <v>0</v>
      </c>
      <c r="G67" s="34" t="str">
        <f>HYPERLINK(اضافات!F67)</f>
        <v>0</v>
      </c>
      <c r="H67" s="34" t="str">
        <f>HYPERLINK(اضافات!O67)</f>
        <v>0</v>
      </c>
      <c r="I67" s="93" t="str">
        <f>HYPERLINK(خصومات!L67)</f>
        <v>0</v>
      </c>
      <c r="J67" s="163">
        <f t="shared" si="0"/>
        <v>0</v>
      </c>
      <c r="K67" s="163">
        <f t="shared" si="1"/>
        <v>0</v>
      </c>
      <c r="L67" s="26"/>
      <c r="M67" s="28"/>
      <c r="N67" s="57"/>
      <c r="O67" s="56"/>
      <c r="P67" s="27"/>
    </row>
    <row r="68" spans="1:16" s="51" customFormat="1" ht="16.8" x14ac:dyDescent="0.25">
      <c r="A68" s="31">
        <v>5</v>
      </c>
      <c r="B68" s="70" t="s">
        <v>137</v>
      </c>
      <c r="C68" s="25"/>
      <c r="D68" s="148">
        <v>0</v>
      </c>
      <c r="E68" s="34" t="str">
        <f>HYPERLINK(اضافات!N68)</f>
        <v>0</v>
      </c>
      <c r="F68" s="34" t="str">
        <f>HYPERLINK(اضافات!M68)</f>
        <v>0</v>
      </c>
      <c r="G68" s="34" t="str">
        <f>HYPERLINK(اضافات!F68)</f>
        <v>0</v>
      </c>
      <c r="H68" s="34" t="str">
        <f>HYPERLINK(اضافات!O68)</f>
        <v>0</v>
      </c>
      <c r="I68" s="93" t="str">
        <f>HYPERLINK(خصومات!L68)</f>
        <v>0</v>
      </c>
      <c r="J68" s="163">
        <f t="shared" si="0"/>
        <v>0</v>
      </c>
      <c r="K68" s="163">
        <f t="shared" si="1"/>
        <v>0</v>
      </c>
      <c r="L68" s="26"/>
      <c r="M68" s="28"/>
      <c r="N68" s="57"/>
      <c r="O68" s="56"/>
      <c r="P68" s="27"/>
    </row>
    <row r="69" spans="1:16" s="51" customFormat="1" ht="16.8" x14ac:dyDescent="0.25">
      <c r="A69" s="31">
        <v>6</v>
      </c>
      <c r="B69" s="70" t="s">
        <v>131</v>
      </c>
      <c r="C69" s="25"/>
      <c r="D69" s="148">
        <v>0</v>
      </c>
      <c r="E69" s="34" t="str">
        <f>HYPERLINK(اضافات!N69)</f>
        <v>0</v>
      </c>
      <c r="F69" s="34" t="str">
        <f>HYPERLINK(اضافات!M69)</f>
        <v>0</v>
      </c>
      <c r="G69" s="34" t="str">
        <f>HYPERLINK(اضافات!F69)</f>
        <v>0</v>
      </c>
      <c r="H69" s="34" t="str">
        <f>HYPERLINK(اضافات!O69)</f>
        <v>0</v>
      </c>
      <c r="I69" s="93" t="str">
        <f>HYPERLINK(خصومات!L69)</f>
        <v>0</v>
      </c>
      <c r="J69" s="163">
        <f t="shared" ref="J69:J117" si="4">SUM(D69,VALUE(E69),VALUE(F69),VALUE(G69))</f>
        <v>0</v>
      </c>
      <c r="K69" s="163">
        <f t="shared" ref="K69:K100" si="5">VALUE(D69)+VALUE(G69)+VALUE(H69)-VALUE(I69)</f>
        <v>0</v>
      </c>
      <c r="L69" s="26"/>
      <c r="M69" s="28"/>
      <c r="N69" s="57"/>
      <c r="O69" s="56"/>
      <c r="P69" s="27"/>
    </row>
    <row r="70" spans="1:16" s="51" customFormat="1" ht="16.8" x14ac:dyDescent="0.25">
      <c r="A70" s="31">
        <v>0</v>
      </c>
      <c r="B70" s="70" t="s">
        <v>96</v>
      </c>
      <c r="C70" s="25"/>
      <c r="D70" s="148">
        <v>0</v>
      </c>
      <c r="E70" s="34" t="str">
        <f>HYPERLINK(اضافات!N70)</f>
        <v>0</v>
      </c>
      <c r="F70" s="34" t="str">
        <f>HYPERLINK(اضافات!M70)</f>
        <v>0</v>
      </c>
      <c r="G70" s="34" t="str">
        <f>HYPERLINK(اضافات!F70)</f>
        <v>0</v>
      </c>
      <c r="H70" s="34" t="str">
        <f>HYPERLINK(اضافات!O70)</f>
        <v>0</v>
      </c>
      <c r="I70" s="93" t="str">
        <f>HYPERLINK(خصومات!L70)</f>
        <v>0</v>
      </c>
      <c r="J70" s="163">
        <f t="shared" si="4"/>
        <v>0</v>
      </c>
      <c r="K70" s="163">
        <f t="shared" si="5"/>
        <v>0</v>
      </c>
      <c r="L70" s="26"/>
      <c r="M70" s="171"/>
      <c r="N70" s="57"/>
      <c r="O70" s="169"/>
      <c r="P70" s="27"/>
    </row>
    <row r="71" spans="1:16" s="51" customFormat="1" ht="16.8" x14ac:dyDescent="0.25">
      <c r="A71" s="31">
        <v>7</v>
      </c>
      <c r="B71" s="70" t="s">
        <v>138</v>
      </c>
      <c r="C71" s="25"/>
      <c r="D71" s="148">
        <v>0</v>
      </c>
      <c r="E71" s="34" t="str">
        <f>HYPERLINK(اضافات!N71)</f>
        <v>0</v>
      </c>
      <c r="F71" s="34" t="str">
        <f>HYPERLINK(اضافات!M71)</f>
        <v>0</v>
      </c>
      <c r="G71" s="34" t="str">
        <f>HYPERLINK(اضافات!F71)</f>
        <v>0</v>
      </c>
      <c r="H71" s="34" t="str">
        <f>HYPERLINK(اضافات!O71)</f>
        <v>0</v>
      </c>
      <c r="I71" s="93" t="str">
        <f>HYPERLINK(خصومات!L71)</f>
        <v>0</v>
      </c>
      <c r="J71" s="163">
        <f t="shared" si="4"/>
        <v>0</v>
      </c>
      <c r="K71" s="163">
        <f t="shared" si="5"/>
        <v>0</v>
      </c>
      <c r="L71" s="26"/>
      <c r="M71" s="28"/>
      <c r="N71" s="57"/>
      <c r="O71" s="56"/>
      <c r="P71" s="27"/>
    </row>
    <row r="72" spans="1:16" s="51" customFormat="1" ht="16.8" x14ac:dyDescent="0.25">
      <c r="A72" s="31">
        <v>8</v>
      </c>
      <c r="B72" s="70" t="s">
        <v>74</v>
      </c>
      <c r="C72" s="25"/>
      <c r="D72" s="148">
        <v>0</v>
      </c>
      <c r="E72" s="34" t="str">
        <f>HYPERLINK(اضافات!N72)</f>
        <v>0</v>
      </c>
      <c r="F72" s="34" t="str">
        <f>HYPERLINK(اضافات!M72)</f>
        <v>0</v>
      </c>
      <c r="G72" s="34" t="str">
        <f>HYPERLINK(اضافات!F72)</f>
        <v>0</v>
      </c>
      <c r="H72" s="34" t="str">
        <f>HYPERLINK(اضافات!O72)</f>
        <v>0</v>
      </c>
      <c r="I72" s="93" t="str">
        <f>HYPERLINK(خصومات!L72)</f>
        <v>0</v>
      </c>
      <c r="J72" s="163">
        <f t="shared" si="4"/>
        <v>0</v>
      </c>
      <c r="K72" s="163">
        <f t="shared" si="5"/>
        <v>0</v>
      </c>
      <c r="L72" s="26"/>
      <c r="M72" s="28"/>
      <c r="N72" s="57"/>
      <c r="O72" s="56"/>
      <c r="P72" s="27"/>
    </row>
    <row r="73" spans="1:16" s="51" customFormat="1" ht="16.8" x14ac:dyDescent="0.25">
      <c r="A73" s="31">
        <v>9</v>
      </c>
      <c r="B73" s="70" t="s">
        <v>125</v>
      </c>
      <c r="C73" s="25"/>
      <c r="D73" s="148">
        <v>0</v>
      </c>
      <c r="E73" s="34" t="str">
        <f>HYPERLINK(اضافات!N73)</f>
        <v>0</v>
      </c>
      <c r="F73" s="34" t="str">
        <f>HYPERLINK(اضافات!M73)</f>
        <v>0</v>
      </c>
      <c r="G73" s="34" t="str">
        <f>HYPERLINK(اضافات!F73)</f>
        <v>0</v>
      </c>
      <c r="H73" s="34" t="str">
        <f>HYPERLINK(اضافات!O73)</f>
        <v>0</v>
      </c>
      <c r="I73" s="93" t="str">
        <f>HYPERLINK(خصومات!L73)</f>
        <v>0</v>
      </c>
      <c r="J73" s="163">
        <f t="shared" si="4"/>
        <v>0</v>
      </c>
      <c r="K73" s="163">
        <f t="shared" si="5"/>
        <v>0</v>
      </c>
      <c r="L73" s="26"/>
      <c r="M73" s="28"/>
      <c r="N73" s="57"/>
      <c r="O73" s="56"/>
      <c r="P73" s="27"/>
    </row>
    <row r="74" spans="1:16" s="51" customFormat="1" ht="16.8" x14ac:dyDescent="0.25">
      <c r="A74" s="31">
        <v>10</v>
      </c>
      <c r="B74" s="70" t="s">
        <v>73</v>
      </c>
      <c r="C74" s="25"/>
      <c r="D74" s="148">
        <v>0</v>
      </c>
      <c r="E74" s="34" t="str">
        <f>HYPERLINK(اضافات!N74)</f>
        <v>0</v>
      </c>
      <c r="F74" s="34" t="str">
        <f>HYPERLINK(اضافات!M74)</f>
        <v>0</v>
      </c>
      <c r="G74" s="34" t="str">
        <f>HYPERLINK(اضافات!F74)</f>
        <v>0</v>
      </c>
      <c r="H74" s="34" t="str">
        <f>HYPERLINK(اضافات!O74)</f>
        <v>0</v>
      </c>
      <c r="I74" s="93" t="str">
        <f>HYPERLINK(خصومات!L74)</f>
        <v>0</v>
      </c>
      <c r="J74" s="163">
        <f t="shared" si="4"/>
        <v>0</v>
      </c>
      <c r="K74" s="163">
        <f t="shared" si="5"/>
        <v>0</v>
      </c>
      <c r="L74" s="26"/>
      <c r="M74" s="28"/>
      <c r="N74" s="57"/>
      <c r="O74" s="56"/>
      <c r="P74" s="27"/>
    </row>
    <row r="75" spans="1:16" s="51" customFormat="1" ht="16.8" x14ac:dyDescent="0.25">
      <c r="A75" s="31">
        <v>11</v>
      </c>
      <c r="B75" s="70" t="s">
        <v>144</v>
      </c>
      <c r="C75" s="25"/>
      <c r="D75" s="148">
        <v>0</v>
      </c>
      <c r="E75" s="34" t="str">
        <f>HYPERLINK(اضافات!N75)</f>
        <v>0</v>
      </c>
      <c r="F75" s="34" t="str">
        <f>HYPERLINK(اضافات!M75)</f>
        <v>0</v>
      </c>
      <c r="G75" s="34" t="str">
        <f>HYPERLINK(اضافات!F75)</f>
        <v>0</v>
      </c>
      <c r="H75" s="34" t="str">
        <f>HYPERLINK(اضافات!O75)</f>
        <v>0</v>
      </c>
      <c r="I75" s="93" t="str">
        <f>HYPERLINK(خصومات!L75)</f>
        <v>0</v>
      </c>
      <c r="J75" s="163">
        <f t="shared" si="4"/>
        <v>0</v>
      </c>
      <c r="K75" s="163">
        <f t="shared" si="5"/>
        <v>0</v>
      </c>
      <c r="L75" s="26"/>
      <c r="M75" s="28"/>
      <c r="N75" s="57"/>
      <c r="O75" s="56"/>
      <c r="P75" s="27"/>
    </row>
    <row r="76" spans="1:16" s="51" customFormat="1" ht="16.8" x14ac:dyDescent="0.25">
      <c r="A76" s="31">
        <v>12</v>
      </c>
      <c r="B76" s="70" t="s">
        <v>139</v>
      </c>
      <c r="C76" s="25"/>
      <c r="D76" s="148">
        <v>0</v>
      </c>
      <c r="E76" s="34" t="str">
        <f>HYPERLINK(اضافات!N76)</f>
        <v>0</v>
      </c>
      <c r="F76" s="34" t="str">
        <f>HYPERLINK(اضافات!M76)</f>
        <v>0</v>
      </c>
      <c r="G76" s="34" t="str">
        <f>HYPERLINK(اضافات!F76)</f>
        <v>0</v>
      </c>
      <c r="H76" s="34" t="str">
        <f>HYPERLINK(اضافات!O76)</f>
        <v>0</v>
      </c>
      <c r="I76" s="93" t="str">
        <f>HYPERLINK(خصومات!L76)</f>
        <v>0</v>
      </c>
      <c r="J76" s="163">
        <f t="shared" si="4"/>
        <v>0</v>
      </c>
      <c r="K76" s="163">
        <f t="shared" si="5"/>
        <v>0</v>
      </c>
      <c r="L76" s="26"/>
      <c r="M76" s="28"/>
      <c r="N76" s="57"/>
      <c r="O76" s="56"/>
      <c r="P76" s="27"/>
    </row>
    <row r="77" spans="1:16" s="55" customFormat="1" ht="16.8" x14ac:dyDescent="0.25">
      <c r="A77" s="31">
        <v>13</v>
      </c>
      <c r="B77" s="70" t="s">
        <v>140</v>
      </c>
      <c r="C77" s="25"/>
      <c r="D77" s="148">
        <v>0</v>
      </c>
      <c r="E77" s="34" t="str">
        <f>HYPERLINK(اضافات!N77)</f>
        <v>0</v>
      </c>
      <c r="F77" s="34" t="str">
        <f>HYPERLINK(اضافات!M77)</f>
        <v>0</v>
      </c>
      <c r="G77" s="34" t="str">
        <f>HYPERLINK(اضافات!F77)</f>
        <v>0</v>
      </c>
      <c r="H77" s="34" t="str">
        <f>HYPERLINK(اضافات!O77)</f>
        <v>0</v>
      </c>
      <c r="I77" s="93" t="str">
        <f>HYPERLINK(خصومات!L77)</f>
        <v>0</v>
      </c>
      <c r="J77" s="163">
        <f t="shared" si="4"/>
        <v>0</v>
      </c>
      <c r="K77" s="163">
        <f t="shared" si="5"/>
        <v>0</v>
      </c>
      <c r="L77" s="26"/>
      <c r="M77" s="28"/>
      <c r="N77" s="57"/>
      <c r="O77" s="56"/>
      <c r="P77" s="27"/>
    </row>
    <row r="78" spans="1:16" s="55" customFormat="1" ht="16.8" x14ac:dyDescent="0.25">
      <c r="A78" s="31">
        <v>14</v>
      </c>
      <c r="B78" s="70" t="s">
        <v>141</v>
      </c>
      <c r="C78" s="25"/>
      <c r="D78" s="148">
        <v>0</v>
      </c>
      <c r="E78" s="34" t="str">
        <f>HYPERLINK(اضافات!N78)</f>
        <v>0</v>
      </c>
      <c r="F78" s="34" t="str">
        <f>HYPERLINK(اضافات!M78)</f>
        <v>0</v>
      </c>
      <c r="G78" s="34" t="str">
        <f>HYPERLINK(اضافات!F78)</f>
        <v>0</v>
      </c>
      <c r="H78" s="34" t="str">
        <f>HYPERLINK(اضافات!O78)</f>
        <v>0</v>
      </c>
      <c r="I78" s="93" t="str">
        <f>HYPERLINK(خصومات!L78)</f>
        <v>0</v>
      </c>
      <c r="J78" s="163">
        <f t="shared" si="4"/>
        <v>0</v>
      </c>
      <c r="K78" s="163">
        <f t="shared" si="5"/>
        <v>0</v>
      </c>
      <c r="L78" s="26"/>
      <c r="M78" s="28"/>
      <c r="N78" s="57"/>
      <c r="O78" s="56"/>
      <c r="P78" s="27"/>
    </row>
    <row r="79" spans="1:16" s="55" customFormat="1" ht="16.8" x14ac:dyDescent="0.25">
      <c r="A79" s="31">
        <v>15</v>
      </c>
      <c r="B79" s="70" t="s">
        <v>76</v>
      </c>
      <c r="C79" s="25"/>
      <c r="D79" s="148">
        <v>0</v>
      </c>
      <c r="E79" s="34" t="str">
        <f>HYPERLINK(اضافات!N79)</f>
        <v>0</v>
      </c>
      <c r="F79" s="34" t="str">
        <f>HYPERLINK(اضافات!M79)</f>
        <v>0</v>
      </c>
      <c r="G79" s="34" t="str">
        <f>HYPERLINK(اضافات!F79)</f>
        <v>0</v>
      </c>
      <c r="H79" s="34" t="str">
        <f>HYPERLINK(اضافات!O79)</f>
        <v>0</v>
      </c>
      <c r="I79" s="93" t="str">
        <f>HYPERLINK(خصومات!L79)</f>
        <v>0</v>
      </c>
      <c r="J79" s="163">
        <f t="shared" si="4"/>
        <v>0</v>
      </c>
      <c r="K79" s="163">
        <f t="shared" si="5"/>
        <v>0</v>
      </c>
      <c r="L79" s="26"/>
      <c r="M79" s="28"/>
      <c r="N79" s="57"/>
      <c r="O79" s="56"/>
      <c r="P79" s="27"/>
    </row>
    <row r="80" spans="1:16" s="55" customFormat="1" ht="16.8" hidden="1" x14ac:dyDescent="0.25">
      <c r="A80" s="31">
        <v>0</v>
      </c>
      <c r="B80" s="70"/>
      <c r="C80" s="25"/>
      <c r="D80" s="148">
        <v>0</v>
      </c>
      <c r="E80" s="34" t="str">
        <f>HYPERLINK(اضافات!N80)</f>
        <v>0</v>
      </c>
      <c r="F80" s="34" t="str">
        <f>HYPERLINK(اضافات!M80)</f>
        <v>0</v>
      </c>
      <c r="G80" s="34" t="str">
        <f>HYPERLINK(اضافات!F80)</f>
        <v>0</v>
      </c>
      <c r="H80" s="34" t="str">
        <f>HYPERLINK(اضافات!O80)</f>
        <v>0</v>
      </c>
      <c r="I80" s="93" t="str">
        <f>HYPERLINK(خصومات!L80)</f>
        <v>0</v>
      </c>
      <c r="J80" s="163">
        <f t="shared" si="4"/>
        <v>0</v>
      </c>
      <c r="K80" s="163">
        <f t="shared" si="5"/>
        <v>0</v>
      </c>
      <c r="L80" s="26"/>
      <c r="M80" s="28"/>
      <c r="N80" s="57"/>
      <c r="O80" s="56"/>
      <c r="P80" s="27"/>
    </row>
    <row r="81" spans="1:16" s="55" customFormat="1" ht="16.8" x14ac:dyDescent="0.25">
      <c r="A81" s="31">
        <v>16</v>
      </c>
      <c r="B81" s="70" t="s">
        <v>142</v>
      </c>
      <c r="C81" s="25"/>
      <c r="D81" s="148">
        <v>0</v>
      </c>
      <c r="E81" s="34" t="str">
        <f>HYPERLINK(اضافات!N81)</f>
        <v>0</v>
      </c>
      <c r="F81" s="34" t="str">
        <f>HYPERLINK(اضافات!M81)</f>
        <v>0</v>
      </c>
      <c r="G81" s="34" t="str">
        <f>HYPERLINK(اضافات!F81)</f>
        <v>0</v>
      </c>
      <c r="H81" s="34" t="str">
        <f>HYPERLINK(اضافات!O81)</f>
        <v>0</v>
      </c>
      <c r="I81" s="93" t="str">
        <f>HYPERLINK(خصومات!L81)</f>
        <v>0</v>
      </c>
      <c r="J81" s="163">
        <f t="shared" si="4"/>
        <v>0</v>
      </c>
      <c r="K81" s="163">
        <f t="shared" si="5"/>
        <v>0</v>
      </c>
      <c r="L81" s="26"/>
      <c r="M81" s="28"/>
      <c r="N81" s="57"/>
      <c r="O81" s="56"/>
      <c r="P81" s="27"/>
    </row>
    <row r="82" spans="1:16" s="55" customFormat="1" ht="16.8" x14ac:dyDescent="0.25">
      <c r="A82" s="31">
        <v>17</v>
      </c>
      <c r="B82" s="70" t="s">
        <v>126</v>
      </c>
      <c r="C82" s="25"/>
      <c r="D82" s="148">
        <v>0</v>
      </c>
      <c r="E82" s="34" t="str">
        <f>HYPERLINK(اضافات!N82)</f>
        <v>0</v>
      </c>
      <c r="F82" s="34" t="str">
        <f>HYPERLINK(اضافات!M82)</f>
        <v>0</v>
      </c>
      <c r="G82" s="34" t="str">
        <f>HYPERLINK(اضافات!F82)</f>
        <v>0</v>
      </c>
      <c r="H82" s="34" t="str">
        <f>HYPERLINK(اضافات!O82)</f>
        <v>0</v>
      </c>
      <c r="I82" s="93" t="str">
        <f>HYPERLINK(خصومات!L82)</f>
        <v>0</v>
      </c>
      <c r="J82" s="163">
        <f t="shared" si="4"/>
        <v>0</v>
      </c>
      <c r="K82" s="163">
        <f t="shared" si="5"/>
        <v>0</v>
      </c>
      <c r="L82" s="26"/>
      <c r="M82" s="28"/>
      <c r="N82" s="57"/>
      <c r="O82" s="56"/>
      <c r="P82" s="27"/>
    </row>
    <row r="83" spans="1:16" s="55" customFormat="1" ht="16.8" x14ac:dyDescent="0.25">
      <c r="A83" s="31">
        <v>18</v>
      </c>
      <c r="B83" s="70" t="s">
        <v>143</v>
      </c>
      <c r="C83" s="25"/>
      <c r="D83" s="148">
        <v>0</v>
      </c>
      <c r="E83" s="34" t="str">
        <f>HYPERLINK(اضافات!N83)</f>
        <v>0</v>
      </c>
      <c r="F83" s="34" t="str">
        <f>HYPERLINK(اضافات!M83)</f>
        <v>0</v>
      </c>
      <c r="G83" s="34" t="str">
        <f>HYPERLINK(اضافات!F83)</f>
        <v>0</v>
      </c>
      <c r="H83" s="34" t="str">
        <f>HYPERLINK(اضافات!O83)</f>
        <v>0</v>
      </c>
      <c r="I83" s="93" t="str">
        <f>HYPERLINK(خصومات!L83)</f>
        <v>0</v>
      </c>
      <c r="J83" s="163">
        <f t="shared" si="4"/>
        <v>0</v>
      </c>
      <c r="K83" s="163">
        <f t="shared" si="5"/>
        <v>0</v>
      </c>
      <c r="L83" s="26"/>
      <c r="M83" s="28"/>
      <c r="N83" s="57"/>
      <c r="O83" s="169"/>
      <c r="P83" s="27"/>
    </row>
    <row r="84" spans="1:16" s="55" customFormat="1" ht="16.8" x14ac:dyDescent="0.25">
      <c r="A84" s="31">
        <v>19</v>
      </c>
      <c r="B84" s="70" t="s">
        <v>146</v>
      </c>
      <c r="C84" s="25"/>
      <c r="D84" s="148">
        <v>0</v>
      </c>
      <c r="E84" s="34" t="str">
        <f>HYPERLINK(اضافات!N84)</f>
        <v>0</v>
      </c>
      <c r="F84" s="34" t="str">
        <f>HYPERLINK(اضافات!M84)</f>
        <v>0</v>
      </c>
      <c r="G84" s="34" t="str">
        <f>HYPERLINK(اضافات!F84)</f>
        <v>0</v>
      </c>
      <c r="H84" s="34" t="str">
        <f>HYPERLINK(اضافات!O84)</f>
        <v>0</v>
      </c>
      <c r="I84" s="93" t="str">
        <f>HYPERLINK(خصومات!L84)</f>
        <v>0</v>
      </c>
      <c r="J84" s="163">
        <f t="shared" si="4"/>
        <v>0</v>
      </c>
      <c r="K84" s="163">
        <f t="shared" si="5"/>
        <v>0</v>
      </c>
      <c r="L84" s="26"/>
      <c r="M84" s="28"/>
      <c r="N84" s="57"/>
      <c r="O84" s="56"/>
      <c r="P84" s="27"/>
    </row>
    <row r="85" spans="1:16" s="55" customFormat="1" ht="16.8" x14ac:dyDescent="0.25">
      <c r="A85" s="31">
        <v>20</v>
      </c>
      <c r="B85" s="70" t="s">
        <v>154</v>
      </c>
      <c r="C85" s="25"/>
      <c r="D85" s="148">
        <v>0</v>
      </c>
      <c r="E85" s="34" t="str">
        <f>HYPERLINK(اضافات!N85)</f>
        <v>0</v>
      </c>
      <c r="F85" s="34" t="str">
        <f>HYPERLINK(اضافات!M85)</f>
        <v>0</v>
      </c>
      <c r="G85" s="34" t="str">
        <f>HYPERLINK(اضافات!F85)</f>
        <v>0</v>
      </c>
      <c r="H85" s="34" t="str">
        <f>HYPERLINK(اضافات!O85)</f>
        <v>0</v>
      </c>
      <c r="I85" s="93" t="str">
        <f>HYPERLINK(خصومات!L85)</f>
        <v>0</v>
      </c>
      <c r="J85" s="163">
        <f t="shared" si="4"/>
        <v>0</v>
      </c>
      <c r="K85" s="163">
        <f t="shared" si="5"/>
        <v>0</v>
      </c>
      <c r="L85" s="26"/>
      <c r="M85" s="28"/>
      <c r="N85" s="57"/>
      <c r="O85" s="169" t="s">
        <v>157</v>
      </c>
      <c r="P85" s="27"/>
    </row>
    <row r="86" spans="1:16" s="55" customFormat="1" ht="16.8" hidden="1" x14ac:dyDescent="0.25">
      <c r="A86" s="31"/>
      <c r="B86" s="70" t="s">
        <v>82</v>
      </c>
      <c r="C86" s="25"/>
      <c r="D86" s="151">
        <v>0</v>
      </c>
      <c r="E86" s="34" t="str">
        <f>HYPERLINK(اضافات!N86)</f>
        <v>0</v>
      </c>
      <c r="F86" s="34" t="str">
        <f>HYPERLINK(اضافات!M86)</f>
        <v>0</v>
      </c>
      <c r="G86" s="34" t="str">
        <f>HYPERLINK(اضافات!F86)</f>
        <v>0</v>
      </c>
      <c r="H86" s="34" t="str">
        <f>HYPERLINK(اضافات!O86)</f>
        <v>0</v>
      </c>
      <c r="I86" s="93" t="str">
        <f>HYPERLINK(خصومات!L86)</f>
        <v>0</v>
      </c>
      <c r="J86" s="150">
        <f t="shared" si="4"/>
        <v>0</v>
      </c>
      <c r="K86" s="150">
        <f t="shared" si="5"/>
        <v>0</v>
      </c>
      <c r="L86" s="26"/>
      <c r="M86" s="28"/>
      <c r="N86" s="57"/>
      <c r="O86" s="56"/>
      <c r="P86" s="27"/>
    </row>
    <row r="87" spans="1:16" s="55" customFormat="1" ht="16.8" hidden="1" x14ac:dyDescent="0.25">
      <c r="A87" s="31"/>
      <c r="B87" s="70" t="s">
        <v>82</v>
      </c>
      <c r="C87" s="25"/>
      <c r="D87" s="151">
        <v>0</v>
      </c>
      <c r="E87" s="34" t="str">
        <f>HYPERLINK(اضافات!N87)</f>
        <v>0</v>
      </c>
      <c r="F87" s="34" t="str">
        <f>HYPERLINK(اضافات!M87)</f>
        <v>0</v>
      </c>
      <c r="G87" s="34" t="str">
        <f>HYPERLINK(اضافات!F87)</f>
        <v>0</v>
      </c>
      <c r="H87" s="34" t="str">
        <f>HYPERLINK(اضافات!O87)</f>
        <v>0</v>
      </c>
      <c r="I87" s="93" t="str">
        <f>HYPERLINK(خصومات!L87)</f>
        <v>0</v>
      </c>
      <c r="J87" s="150">
        <f t="shared" si="4"/>
        <v>0</v>
      </c>
      <c r="K87" s="150">
        <f t="shared" si="5"/>
        <v>0</v>
      </c>
      <c r="L87" s="26"/>
      <c r="M87" s="28"/>
      <c r="N87" s="57"/>
      <c r="O87" s="56"/>
      <c r="P87" s="27"/>
    </row>
    <row r="88" spans="1:16" s="55" customFormat="1" ht="16.8" hidden="1" x14ac:dyDescent="0.25">
      <c r="A88" s="31"/>
      <c r="B88" s="70" t="s">
        <v>82</v>
      </c>
      <c r="C88" s="25"/>
      <c r="D88" s="151">
        <v>0</v>
      </c>
      <c r="E88" s="34" t="str">
        <f>HYPERLINK(اضافات!N88)</f>
        <v>0</v>
      </c>
      <c r="F88" s="34" t="str">
        <f>HYPERLINK(اضافات!M88)</f>
        <v>0</v>
      </c>
      <c r="G88" s="34" t="str">
        <f>HYPERLINK(اضافات!F88)</f>
        <v>0</v>
      </c>
      <c r="H88" s="34" t="str">
        <f>HYPERLINK(اضافات!O88)</f>
        <v>0</v>
      </c>
      <c r="I88" s="93" t="str">
        <f>HYPERLINK(خصومات!L88)</f>
        <v>0</v>
      </c>
      <c r="J88" s="150">
        <f t="shared" si="4"/>
        <v>0</v>
      </c>
      <c r="K88" s="150">
        <f t="shared" si="5"/>
        <v>0</v>
      </c>
      <c r="L88" s="26"/>
      <c r="M88" s="28"/>
      <c r="N88" s="57"/>
      <c r="O88" s="56"/>
      <c r="P88" s="27"/>
    </row>
    <row r="89" spans="1:16" s="55" customFormat="1" ht="16.8" hidden="1" x14ac:dyDescent="0.25">
      <c r="A89" s="31"/>
      <c r="B89" s="70" t="s">
        <v>82</v>
      </c>
      <c r="C89" s="25"/>
      <c r="D89" s="151">
        <v>0</v>
      </c>
      <c r="E89" s="34" t="str">
        <f>HYPERLINK(اضافات!N89)</f>
        <v>0</v>
      </c>
      <c r="F89" s="34" t="str">
        <f>HYPERLINK(اضافات!M89)</f>
        <v>0</v>
      </c>
      <c r="G89" s="34" t="str">
        <f>HYPERLINK(اضافات!F89)</f>
        <v>0</v>
      </c>
      <c r="H89" s="34" t="str">
        <f>HYPERLINK(اضافات!O89)</f>
        <v>0</v>
      </c>
      <c r="I89" s="93" t="str">
        <f>HYPERLINK(خصومات!L89)</f>
        <v>0</v>
      </c>
      <c r="J89" s="150">
        <f t="shared" si="4"/>
        <v>0</v>
      </c>
      <c r="K89" s="150">
        <f t="shared" si="5"/>
        <v>0</v>
      </c>
      <c r="L89" s="26"/>
      <c r="M89" s="28"/>
      <c r="N89" s="57"/>
      <c r="O89" s="56"/>
      <c r="P89" s="27"/>
    </row>
    <row r="90" spans="1:16" s="55" customFormat="1" ht="16.8" hidden="1" x14ac:dyDescent="0.25">
      <c r="A90" s="31"/>
      <c r="B90" s="70" t="s">
        <v>82</v>
      </c>
      <c r="C90" s="25"/>
      <c r="D90" s="151">
        <v>0</v>
      </c>
      <c r="E90" s="34" t="str">
        <f>HYPERLINK(اضافات!N90)</f>
        <v>0</v>
      </c>
      <c r="F90" s="34" t="str">
        <f>HYPERLINK(اضافات!M90)</f>
        <v>0</v>
      </c>
      <c r="G90" s="34" t="str">
        <f>HYPERLINK(اضافات!F90)</f>
        <v>0</v>
      </c>
      <c r="H90" s="34" t="str">
        <f>HYPERLINK(اضافات!O90)</f>
        <v>0</v>
      </c>
      <c r="I90" s="93" t="str">
        <f>HYPERLINK(خصومات!L90)</f>
        <v>0</v>
      </c>
      <c r="J90" s="150">
        <f t="shared" si="4"/>
        <v>0</v>
      </c>
      <c r="K90" s="150">
        <f t="shared" si="5"/>
        <v>0</v>
      </c>
      <c r="L90" s="26"/>
      <c r="M90" s="28"/>
      <c r="N90" s="57"/>
      <c r="O90" s="56"/>
      <c r="P90" s="27"/>
    </row>
    <row r="91" spans="1:16" s="55" customFormat="1" ht="16.8" hidden="1" x14ac:dyDescent="0.25">
      <c r="A91" s="31"/>
      <c r="B91" s="70" t="s">
        <v>82</v>
      </c>
      <c r="C91" s="25"/>
      <c r="D91" s="151">
        <v>0</v>
      </c>
      <c r="E91" s="34" t="str">
        <f>HYPERLINK(اضافات!N91)</f>
        <v>0</v>
      </c>
      <c r="F91" s="34" t="str">
        <f>HYPERLINK(اضافات!M91)</f>
        <v>0</v>
      </c>
      <c r="G91" s="34" t="str">
        <f>HYPERLINK(اضافات!F91)</f>
        <v>0</v>
      </c>
      <c r="H91" s="34" t="str">
        <f>HYPERLINK(اضافات!O91)</f>
        <v>0</v>
      </c>
      <c r="I91" s="93" t="str">
        <f>HYPERLINK(خصومات!L91)</f>
        <v>0</v>
      </c>
      <c r="J91" s="150">
        <f t="shared" si="4"/>
        <v>0</v>
      </c>
      <c r="K91" s="150">
        <f t="shared" si="5"/>
        <v>0</v>
      </c>
      <c r="L91" s="26"/>
      <c r="M91" s="28"/>
      <c r="N91" s="57"/>
      <c r="O91" s="56"/>
      <c r="P91" s="27"/>
    </row>
    <row r="92" spans="1:16" s="55" customFormat="1" ht="16.8" hidden="1" x14ac:dyDescent="0.25">
      <c r="A92" s="31"/>
      <c r="B92" s="70" t="s">
        <v>82</v>
      </c>
      <c r="C92" s="25"/>
      <c r="D92" s="151">
        <v>0</v>
      </c>
      <c r="E92" s="34" t="str">
        <f>HYPERLINK(اضافات!N92)</f>
        <v>0</v>
      </c>
      <c r="F92" s="34" t="str">
        <f>HYPERLINK(اضافات!M92)</f>
        <v>0</v>
      </c>
      <c r="G92" s="34" t="str">
        <f>HYPERLINK(اضافات!F92)</f>
        <v>0</v>
      </c>
      <c r="H92" s="34" t="str">
        <f>HYPERLINK(اضافات!O92)</f>
        <v>0</v>
      </c>
      <c r="I92" s="93" t="str">
        <f>HYPERLINK(خصومات!L92)</f>
        <v>0</v>
      </c>
      <c r="J92" s="150">
        <f t="shared" si="4"/>
        <v>0</v>
      </c>
      <c r="K92" s="150">
        <f t="shared" si="5"/>
        <v>0</v>
      </c>
      <c r="L92" s="26"/>
      <c r="M92" s="28"/>
      <c r="N92" s="57"/>
      <c r="O92" s="56"/>
      <c r="P92" s="27"/>
    </row>
    <row r="93" spans="1:16" s="55" customFormat="1" ht="16.8" hidden="1" x14ac:dyDescent="0.25">
      <c r="A93" s="31"/>
      <c r="B93" s="70" t="s">
        <v>82</v>
      </c>
      <c r="C93" s="25"/>
      <c r="D93" s="151">
        <v>0</v>
      </c>
      <c r="E93" s="34" t="str">
        <f>HYPERLINK(اضافات!N93)</f>
        <v>0</v>
      </c>
      <c r="F93" s="34" t="str">
        <f>HYPERLINK(اضافات!M93)</f>
        <v>0</v>
      </c>
      <c r="G93" s="34" t="str">
        <f>HYPERLINK(اضافات!F93)</f>
        <v>0</v>
      </c>
      <c r="H93" s="34" t="str">
        <f>HYPERLINK(اضافات!O93)</f>
        <v>0</v>
      </c>
      <c r="I93" s="93" t="str">
        <f>HYPERLINK(خصومات!L93)</f>
        <v>0</v>
      </c>
      <c r="J93" s="150">
        <f t="shared" si="4"/>
        <v>0</v>
      </c>
      <c r="K93" s="150">
        <f t="shared" si="5"/>
        <v>0</v>
      </c>
      <c r="L93" s="26"/>
      <c r="M93" s="28"/>
      <c r="N93" s="57"/>
      <c r="O93" s="56"/>
      <c r="P93" s="27"/>
    </row>
    <row r="94" spans="1:16" s="55" customFormat="1" ht="16.8" hidden="1" x14ac:dyDescent="0.25">
      <c r="A94" s="31"/>
      <c r="B94" s="70" t="s">
        <v>82</v>
      </c>
      <c r="C94" s="25"/>
      <c r="D94" s="151">
        <v>0</v>
      </c>
      <c r="E94" s="34" t="str">
        <f>HYPERLINK(اضافات!N94)</f>
        <v>0</v>
      </c>
      <c r="F94" s="34" t="str">
        <f>HYPERLINK(اضافات!M94)</f>
        <v>0</v>
      </c>
      <c r="G94" s="34" t="str">
        <f>HYPERLINK(اضافات!F94)</f>
        <v>0</v>
      </c>
      <c r="H94" s="34" t="str">
        <f>HYPERLINK(اضافات!O94)</f>
        <v>0</v>
      </c>
      <c r="I94" s="93" t="str">
        <f>HYPERLINK(خصومات!L94)</f>
        <v>0</v>
      </c>
      <c r="J94" s="150">
        <f t="shared" si="4"/>
        <v>0</v>
      </c>
      <c r="K94" s="150">
        <f t="shared" si="5"/>
        <v>0</v>
      </c>
      <c r="L94" s="26"/>
      <c r="M94" s="28"/>
      <c r="N94" s="57"/>
      <c r="O94" s="56"/>
      <c r="P94" s="27"/>
    </row>
    <row r="95" spans="1:16" s="55" customFormat="1" ht="16.8" hidden="1" x14ac:dyDescent="0.25">
      <c r="A95" s="31"/>
      <c r="B95" s="70" t="s">
        <v>82</v>
      </c>
      <c r="C95" s="25"/>
      <c r="D95" s="151">
        <v>0</v>
      </c>
      <c r="E95" s="34" t="str">
        <f>HYPERLINK(اضافات!N95)</f>
        <v>0</v>
      </c>
      <c r="F95" s="34" t="str">
        <f>HYPERLINK(اضافات!M95)</f>
        <v>0</v>
      </c>
      <c r="G95" s="34" t="str">
        <f>HYPERLINK(اضافات!F95)</f>
        <v>0</v>
      </c>
      <c r="H95" s="34" t="str">
        <f>HYPERLINK(اضافات!O95)</f>
        <v>0</v>
      </c>
      <c r="I95" s="93" t="str">
        <f>HYPERLINK(خصومات!L95)</f>
        <v>0</v>
      </c>
      <c r="J95" s="150">
        <f t="shared" si="4"/>
        <v>0</v>
      </c>
      <c r="K95" s="150">
        <f t="shared" si="5"/>
        <v>0</v>
      </c>
      <c r="L95" s="26"/>
      <c r="M95" s="28"/>
      <c r="N95" s="57"/>
      <c r="O95" s="56"/>
      <c r="P95" s="27"/>
    </row>
    <row r="96" spans="1:16" s="55" customFormat="1" ht="16.8" hidden="1" x14ac:dyDescent="0.25">
      <c r="A96" s="31"/>
      <c r="B96" s="70" t="s">
        <v>82</v>
      </c>
      <c r="C96" s="25"/>
      <c r="D96" s="151">
        <v>0</v>
      </c>
      <c r="E96" s="34" t="str">
        <f>HYPERLINK(اضافات!N96)</f>
        <v>0</v>
      </c>
      <c r="F96" s="34" t="str">
        <f>HYPERLINK(اضافات!M96)</f>
        <v>0</v>
      </c>
      <c r="G96" s="34" t="str">
        <f>HYPERLINK(اضافات!F96)</f>
        <v>0</v>
      </c>
      <c r="H96" s="34" t="str">
        <f>HYPERLINK(اضافات!O96)</f>
        <v>0</v>
      </c>
      <c r="I96" s="93" t="str">
        <f>HYPERLINK(خصومات!L96)</f>
        <v>0</v>
      </c>
      <c r="J96" s="150">
        <f t="shared" si="4"/>
        <v>0</v>
      </c>
      <c r="K96" s="150">
        <f t="shared" si="5"/>
        <v>0</v>
      </c>
      <c r="L96" s="26"/>
      <c r="M96" s="28"/>
      <c r="N96" s="57"/>
      <c r="O96" s="56"/>
      <c r="P96" s="27"/>
    </row>
    <row r="97" spans="1:16" s="55" customFormat="1" ht="16.8" hidden="1" x14ac:dyDescent="0.25">
      <c r="A97" s="31"/>
      <c r="B97" s="70" t="s">
        <v>82</v>
      </c>
      <c r="C97" s="25"/>
      <c r="D97" s="151">
        <v>0</v>
      </c>
      <c r="E97" s="34" t="str">
        <f>HYPERLINK(اضافات!N97)</f>
        <v>0</v>
      </c>
      <c r="F97" s="34" t="str">
        <f>HYPERLINK(اضافات!M97)</f>
        <v>0</v>
      </c>
      <c r="G97" s="34" t="str">
        <f>HYPERLINK(اضافات!F97)</f>
        <v>0</v>
      </c>
      <c r="H97" s="34" t="str">
        <f>HYPERLINK(اضافات!O97)</f>
        <v>0</v>
      </c>
      <c r="I97" s="93" t="str">
        <f>HYPERLINK(خصومات!L97)</f>
        <v>0</v>
      </c>
      <c r="J97" s="150">
        <f t="shared" si="4"/>
        <v>0</v>
      </c>
      <c r="K97" s="150">
        <f t="shared" si="5"/>
        <v>0</v>
      </c>
      <c r="L97" s="26"/>
      <c r="M97" s="28"/>
      <c r="N97" s="57"/>
      <c r="O97" s="56"/>
      <c r="P97" s="27"/>
    </row>
    <row r="98" spans="1:16" s="55" customFormat="1" ht="16.8" hidden="1" x14ac:dyDescent="0.25">
      <c r="A98" s="31"/>
      <c r="B98" s="70" t="s">
        <v>82</v>
      </c>
      <c r="C98" s="25"/>
      <c r="D98" s="151">
        <v>0</v>
      </c>
      <c r="E98" s="34" t="str">
        <f>HYPERLINK(اضافات!N98)</f>
        <v>0</v>
      </c>
      <c r="F98" s="34" t="str">
        <f>HYPERLINK(اضافات!M98)</f>
        <v>0</v>
      </c>
      <c r="G98" s="34" t="str">
        <f>HYPERLINK(اضافات!F98)</f>
        <v>0</v>
      </c>
      <c r="H98" s="34" t="str">
        <f>HYPERLINK(اضافات!O98)</f>
        <v>0</v>
      </c>
      <c r="I98" s="93" t="str">
        <f>HYPERLINK(خصومات!L98)</f>
        <v>0</v>
      </c>
      <c r="J98" s="150">
        <f t="shared" si="4"/>
        <v>0</v>
      </c>
      <c r="K98" s="150">
        <f t="shared" si="5"/>
        <v>0</v>
      </c>
      <c r="L98" s="26"/>
      <c r="M98" s="28"/>
      <c r="N98" s="57"/>
      <c r="O98" s="56"/>
      <c r="P98" s="27"/>
    </row>
    <row r="99" spans="1:16" s="55" customFormat="1" ht="16.8" hidden="1" x14ac:dyDescent="0.25">
      <c r="A99" s="31"/>
      <c r="B99" s="70" t="s">
        <v>82</v>
      </c>
      <c r="C99" s="25"/>
      <c r="D99" s="151">
        <v>0</v>
      </c>
      <c r="E99" s="34" t="str">
        <f>HYPERLINK(اضافات!N99)</f>
        <v>0</v>
      </c>
      <c r="F99" s="34" t="str">
        <f>HYPERLINK(اضافات!M99)</f>
        <v>0</v>
      </c>
      <c r="G99" s="34" t="str">
        <f>HYPERLINK(اضافات!F99)</f>
        <v>0</v>
      </c>
      <c r="H99" s="34" t="str">
        <f>HYPERLINK(اضافات!O99)</f>
        <v>0</v>
      </c>
      <c r="I99" s="93" t="str">
        <f>HYPERLINK(خصومات!L99)</f>
        <v>0</v>
      </c>
      <c r="J99" s="150">
        <f t="shared" si="4"/>
        <v>0</v>
      </c>
      <c r="K99" s="150">
        <f t="shared" si="5"/>
        <v>0</v>
      </c>
      <c r="L99" s="26"/>
      <c r="M99" s="28"/>
      <c r="N99" s="57"/>
      <c r="O99" s="56"/>
      <c r="P99" s="27"/>
    </row>
    <row r="100" spans="1:16" s="55" customFormat="1" ht="16.8" hidden="1" x14ac:dyDescent="0.25">
      <c r="A100" s="31"/>
      <c r="B100" s="70" t="s">
        <v>82</v>
      </c>
      <c r="C100" s="25"/>
      <c r="D100" s="151">
        <v>0</v>
      </c>
      <c r="E100" s="34" t="str">
        <f>HYPERLINK(اضافات!N100)</f>
        <v>0</v>
      </c>
      <c r="F100" s="34" t="str">
        <f>HYPERLINK(اضافات!M100)</f>
        <v>0</v>
      </c>
      <c r="G100" s="34" t="str">
        <f>HYPERLINK(اضافات!F100)</f>
        <v>0</v>
      </c>
      <c r="H100" s="34" t="str">
        <f>HYPERLINK(اضافات!O100)</f>
        <v>0</v>
      </c>
      <c r="I100" s="93" t="str">
        <f>HYPERLINK(خصومات!L100)</f>
        <v>0</v>
      </c>
      <c r="J100" s="150">
        <f t="shared" si="4"/>
        <v>0</v>
      </c>
      <c r="K100" s="150">
        <f t="shared" si="5"/>
        <v>0</v>
      </c>
      <c r="L100" s="26"/>
      <c r="M100" s="28"/>
      <c r="N100" s="57"/>
      <c r="O100" s="56"/>
      <c r="P100" s="27"/>
    </row>
    <row r="101" spans="1:16" ht="16.8" x14ac:dyDescent="0.25">
      <c r="A101" s="117">
        <v>20</v>
      </c>
      <c r="B101" s="125" t="s">
        <v>1</v>
      </c>
      <c r="C101" s="119"/>
      <c r="D101" s="152">
        <f>SUM(D57:D100)</f>
        <v>0</v>
      </c>
      <c r="E101" s="120">
        <f t="shared" ref="E101:K101" si="6">SUM(E57:E100)</f>
        <v>0</v>
      </c>
      <c r="F101" s="120">
        <f t="shared" si="6"/>
        <v>0</v>
      </c>
      <c r="G101" s="120">
        <f t="shared" si="6"/>
        <v>0</v>
      </c>
      <c r="H101" s="120">
        <f t="shared" si="6"/>
        <v>0</v>
      </c>
      <c r="I101" s="120">
        <f t="shared" si="6"/>
        <v>0</v>
      </c>
      <c r="J101" s="149">
        <f t="shared" si="6"/>
        <v>0</v>
      </c>
      <c r="K101" s="149">
        <f t="shared" si="6"/>
        <v>0</v>
      </c>
      <c r="L101" s="120">
        <f>SUM(K57:K100)</f>
        <v>0</v>
      </c>
      <c r="M101" s="126"/>
      <c r="N101" s="126"/>
      <c r="O101" s="127"/>
      <c r="P101" s="128"/>
    </row>
    <row r="102" spans="1:16" s="55" customFormat="1" ht="16.8" x14ac:dyDescent="0.25">
      <c r="A102" s="31">
        <v>1</v>
      </c>
      <c r="B102" s="70" t="s">
        <v>85</v>
      </c>
      <c r="C102" s="25"/>
      <c r="D102" s="148">
        <v>0</v>
      </c>
      <c r="E102" s="34" t="str">
        <f>HYPERLINK(اضافات!N102)</f>
        <v>0</v>
      </c>
      <c r="F102" s="34" t="str">
        <f>HYPERLINK(اضافات!M102)</f>
        <v>0</v>
      </c>
      <c r="G102" s="34" t="str">
        <f>HYPERLINK(اضافات!F102)</f>
        <v>0</v>
      </c>
      <c r="H102" s="34" t="str">
        <f>HYPERLINK(اضافات!O102)</f>
        <v>0</v>
      </c>
      <c r="I102" s="93" t="str">
        <f>HYPERLINK(خصومات!L102)</f>
        <v>0</v>
      </c>
      <c r="J102" s="163">
        <f t="shared" si="4"/>
        <v>0</v>
      </c>
      <c r="K102" s="163">
        <f t="shared" ref="K102:K117" si="7">VALUE(D102)+VALUE(G102)+VALUE(H102)-VALUE(I102)</f>
        <v>0</v>
      </c>
      <c r="L102" s="26"/>
      <c r="M102" s="28"/>
      <c r="N102" s="57"/>
      <c r="O102" s="56"/>
      <c r="P102" s="27"/>
    </row>
    <row r="103" spans="1:16" s="55" customFormat="1" ht="16.8" x14ac:dyDescent="0.25">
      <c r="A103" s="31">
        <v>2</v>
      </c>
      <c r="B103" s="70" t="s">
        <v>86</v>
      </c>
      <c r="C103" s="25"/>
      <c r="D103" s="148">
        <v>0</v>
      </c>
      <c r="E103" s="34" t="str">
        <f>HYPERLINK(اضافات!N103)</f>
        <v>0</v>
      </c>
      <c r="F103" s="34" t="str">
        <f>HYPERLINK(اضافات!M103)</f>
        <v>0</v>
      </c>
      <c r="G103" s="34" t="str">
        <f>HYPERLINK(اضافات!F103)</f>
        <v>0</v>
      </c>
      <c r="H103" s="34" t="str">
        <f>HYPERLINK(اضافات!O103)</f>
        <v>0</v>
      </c>
      <c r="I103" s="93" t="str">
        <f>HYPERLINK(خصومات!L103)</f>
        <v>0</v>
      </c>
      <c r="J103" s="163">
        <f t="shared" si="4"/>
        <v>0</v>
      </c>
      <c r="K103" s="163">
        <f t="shared" si="7"/>
        <v>0</v>
      </c>
      <c r="L103" s="26"/>
      <c r="M103" s="28"/>
      <c r="N103" s="57"/>
      <c r="O103" s="56"/>
      <c r="P103" s="27"/>
    </row>
    <row r="104" spans="1:16" s="55" customFormat="1" ht="16.8" x14ac:dyDescent="0.25">
      <c r="A104" s="31">
        <v>3</v>
      </c>
      <c r="B104" s="70" t="s">
        <v>87</v>
      </c>
      <c r="C104" s="25"/>
      <c r="D104" s="148">
        <v>0</v>
      </c>
      <c r="E104" s="34" t="str">
        <f>HYPERLINK(اضافات!N104)</f>
        <v>0</v>
      </c>
      <c r="F104" s="34" t="str">
        <f>HYPERLINK(اضافات!M104)</f>
        <v>0</v>
      </c>
      <c r="G104" s="34" t="str">
        <f>HYPERLINK(اضافات!F104)</f>
        <v>0</v>
      </c>
      <c r="H104" s="34" t="str">
        <f>HYPERLINK(اضافات!O104)</f>
        <v>0</v>
      </c>
      <c r="I104" s="93" t="str">
        <f>HYPERLINK(خصومات!L104)</f>
        <v>0</v>
      </c>
      <c r="J104" s="163">
        <f t="shared" si="4"/>
        <v>0</v>
      </c>
      <c r="K104" s="163">
        <f t="shared" si="7"/>
        <v>0</v>
      </c>
      <c r="L104" s="26"/>
      <c r="M104" s="28"/>
      <c r="N104" s="57"/>
      <c r="O104" s="56"/>
      <c r="P104" s="27"/>
    </row>
    <row r="105" spans="1:16" s="55" customFormat="1" ht="16.8" x14ac:dyDescent="0.25">
      <c r="A105" s="31">
        <v>4</v>
      </c>
      <c r="B105" s="70" t="s">
        <v>88</v>
      </c>
      <c r="C105" s="25"/>
      <c r="D105" s="148">
        <v>0</v>
      </c>
      <c r="E105" s="34" t="str">
        <f>HYPERLINK(اضافات!N105)</f>
        <v>0</v>
      </c>
      <c r="F105" s="34" t="str">
        <f>HYPERLINK(اضافات!M105)</f>
        <v>0</v>
      </c>
      <c r="G105" s="34" t="str">
        <f>HYPERLINK(اضافات!F105)</f>
        <v>0</v>
      </c>
      <c r="H105" s="34" t="str">
        <f>HYPERLINK(اضافات!O105)</f>
        <v>0</v>
      </c>
      <c r="I105" s="93" t="str">
        <f>HYPERLINK(خصومات!L105)</f>
        <v>0</v>
      </c>
      <c r="J105" s="163">
        <f t="shared" si="4"/>
        <v>0</v>
      </c>
      <c r="K105" s="163">
        <f t="shared" si="7"/>
        <v>0</v>
      </c>
      <c r="L105" s="26"/>
      <c r="M105" s="28"/>
      <c r="N105" s="57"/>
      <c r="O105" s="56"/>
      <c r="P105" s="27"/>
    </row>
    <row r="106" spans="1:16" s="55" customFormat="1" ht="16.8" x14ac:dyDescent="0.25">
      <c r="A106" s="31">
        <v>5</v>
      </c>
      <c r="B106" s="70" t="s">
        <v>72</v>
      </c>
      <c r="C106" s="25"/>
      <c r="D106" s="148">
        <v>0</v>
      </c>
      <c r="E106" s="34" t="str">
        <f>HYPERLINK(اضافات!N106)</f>
        <v>0</v>
      </c>
      <c r="F106" s="34" t="str">
        <f>HYPERLINK(اضافات!M106)</f>
        <v>0</v>
      </c>
      <c r="G106" s="34" t="str">
        <f>HYPERLINK(اضافات!F106)</f>
        <v>0</v>
      </c>
      <c r="H106" s="34" t="str">
        <f>HYPERLINK(اضافات!O106)</f>
        <v>0</v>
      </c>
      <c r="I106" s="93" t="str">
        <f>HYPERLINK(خصومات!L106)</f>
        <v>0</v>
      </c>
      <c r="J106" s="163">
        <f t="shared" si="4"/>
        <v>0</v>
      </c>
      <c r="K106" s="163">
        <f t="shared" si="7"/>
        <v>0</v>
      </c>
      <c r="L106" s="26"/>
      <c r="M106" s="28"/>
      <c r="N106" s="57"/>
      <c r="O106" s="56"/>
      <c r="P106" s="27"/>
    </row>
    <row r="107" spans="1:16" s="55" customFormat="1" ht="16.8" x14ac:dyDescent="0.25">
      <c r="A107" s="31">
        <v>6</v>
      </c>
      <c r="B107" s="70" t="s">
        <v>145</v>
      </c>
      <c r="C107" s="25"/>
      <c r="D107" s="148">
        <v>0</v>
      </c>
      <c r="E107" s="34" t="str">
        <f>HYPERLINK(اضافات!N107)</f>
        <v>0</v>
      </c>
      <c r="F107" s="34" t="str">
        <f>HYPERLINK(اضافات!M107)</f>
        <v>0</v>
      </c>
      <c r="G107" s="34" t="str">
        <f>HYPERLINK(اضافات!F107)</f>
        <v>0</v>
      </c>
      <c r="H107" s="34" t="str">
        <f>HYPERLINK(اضافات!O107)</f>
        <v>0</v>
      </c>
      <c r="I107" s="93" t="str">
        <f>HYPERLINK(خصومات!L107)</f>
        <v>0</v>
      </c>
      <c r="J107" s="163">
        <f t="shared" si="4"/>
        <v>0</v>
      </c>
      <c r="K107" s="163">
        <f t="shared" si="7"/>
        <v>0</v>
      </c>
      <c r="L107" s="26"/>
      <c r="M107" s="28"/>
      <c r="N107" s="57"/>
      <c r="O107" s="56"/>
      <c r="P107" s="27"/>
    </row>
    <row r="108" spans="1:16" s="55" customFormat="1" ht="16.8" x14ac:dyDescent="0.25">
      <c r="A108" s="31">
        <v>7</v>
      </c>
      <c r="B108" s="70" t="s">
        <v>156</v>
      </c>
      <c r="C108" s="25"/>
      <c r="D108" s="148">
        <v>0</v>
      </c>
      <c r="E108" s="34" t="str">
        <f>HYPERLINK(اضافات!N108)</f>
        <v>0</v>
      </c>
      <c r="F108" s="34" t="str">
        <f>HYPERLINK(اضافات!M108)</f>
        <v>0</v>
      </c>
      <c r="G108" s="34" t="str">
        <f>HYPERLINK(اضافات!F108)</f>
        <v>0</v>
      </c>
      <c r="H108" s="34" t="str">
        <f>HYPERLINK(اضافات!O108)</f>
        <v>0</v>
      </c>
      <c r="I108" s="93" t="str">
        <f>HYPERLINK(خصومات!L108)</f>
        <v>0</v>
      </c>
      <c r="J108" s="163">
        <f t="shared" si="4"/>
        <v>0</v>
      </c>
      <c r="K108" s="163">
        <f t="shared" si="7"/>
        <v>0</v>
      </c>
      <c r="L108" s="26"/>
      <c r="M108" s="28"/>
      <c r="N108" s="57"/>
      <c r="O108" s="56"/>
      <c r="P108" s="27"/>
    </row>
    <row r="109" spans="1:16" s="55" customFormat="1" ht="16.8" hidden="1" x14ac:dyDescent="0.25">
      <c r="A109" s="31"/>
      <c r="B109" s="70" t="s">
        <v>82</v>
      </c>
      <c r="C109" s="25"/>
      <c r="D109" s="148">
        <v>0</v>
      </c>
      <c r="E109" s="34" t="str">
        <f>HYPERLINK(اضافات!N109)</f>
        <v>0</v>
      </c>
      <c r="F109" s="34" t="str">
        <f>HYPERLINK(اضافات!M109)</f>
        <v>0</v>
      </c>
      <c r="G109" s="34" t="str">
        <f>HYPERLINK(اضافات!F109)</f>
        <v>0</v>
      </c>
      <c r="H109" s="34" t="str">
        <f>HYPERLINK(اضافات!O109)</f>
        <v>0</v>
      </c>
      <c r="I109" s="93" t="str">
        <f>HYPERLINK(خصومات!L109)</f>
        <v>0</v>
      </c>
      <c r="J109" s="150">
        <f t="shared" si="4"/>
        <v>0</v>
      </c>
      <c r="K109" s="150">
        <f t="shared" si="7"/>
        <v>0</v>
      </c>
      <c r="L109" s="26"/>
      <c r="M109" s="28"/>
      <c r="N109" s="57"/>
      <c r="O109" s="56"/>
      <c r="P109" s="27"/>
    </row>
    <row r="110" spans="1:16" s="55" customFormat="1" ht="16.8" hidden="1" x14ac:dyDescent="0.25">
      <c r="A110" s="31"/>
      <c r="B110" s="70" t="s">
        <v>82</v>
      </c>
      <c r="C110" s="25"/>
      <c r="D110" s="148">
        <v>0</v>
      </c>
      <c r="E110" s="34" t="str">
        <f>HYPERLINK(اضافات!N110)</f>
        <v>0</v>
      </c>
      <c r="F110" s="34" t="str">
        <f>HYPERLINK(اضافات!M110)</f>
        <v>0</v>
      </c>
      <c r="G110" s="34" t="str">
        <f>HYPERLINK(اضافات!F110)</f>
        <v>0</v>
      </c>
      <c r="H110" s="34" t="str">
        <f>HYPERLINK(اضافات!O110)</f>
        <v>0</v>
      </c>
      <c r="I110" s="93" t="str">
        <f>HYPERLINK(خصومات!L110)</f>
        <v>0</v>
      </c>
      <c r="J110" s="150">
        <f t="shared" si="4"/>
        <v>0</v>
      </c>
      <c r="K110" s="150">
        <f t="shared" si="7"/>
        <v>0</v>
      </c>
      <c r="L110" s="26"/>
      <c r="M110" s="28"/>
      <c r="N110" s="57"/>
      <c r="O110" s="56"/>
      <c r="P110" s="27"/>
    </row>
    <row r="111" spans="1:16" s="55" customFormat="1" ht="16.8" hidden="1" x14ac:dyDescent="0.25">
      <c r="A111" s="31"/>
      <c r="B111" s="70" t="s">
        <v>82</v>
      </c>
      <c r="C111" s="25"/>
      <c r="D111" s="148">
        <v>0</v>
      </c>
      <c r="E111" s="34" t="str">
        <f>HYPERLINK(اضافات!N111)</f>
        <v>0</v>
      </c>
      <c r="F111" s="34" t="str">
        <f>HYPERLINK(اضافات!M111)</f>
        <v>0</v>
      </c>
      <c r="G111" s="34" t="str">
        <f>HYPERLINK(اضافات!F111)</f>
        <v>0</v>
      </c>
      <c r="H111" s="34" t="str">
        <f>HYPERLINK(اضافات!O111)</f>
        <v>0</v>
      </c>
      <c r="I111" s="93" t="str">
        <f>HYPERLINK(خصومات!L111)</f>
        <v>0</v>
      </c>
      <c r="J111" s="150">
        <f t="shared" si="4"/>
        <v>0</v>
      </c>
      <c r="K111" s="150">
        <f t="shared" si="7"/>
        <v>0</v>
      </c>
      <c r="L111" s="26"/>
      <c r="M111" s="28"/>
      <c r="N111" s="57"/>
      <c r="O111" s="56"/>
      <c r="P111" s="27"/>
    </row>
    <row r="112" spans="1:16" s="55" customFormat="1" ht="16.8" hidden="1" x14ac:dyDescent="0.25">
      <c r="A112" s="31"/>
      <c r="B112" s="70" t="s">
        <v>82</v>
      </c>
      <c r="C112" s="25"/>
      <c r="D112" s="148">
        <v>0</v>
      </c>
      <c r="E112" s="34" t="str">
        <f>HYPERLINK(اضافات!N112)</f>
        <v>0</v>
      </c>
      <c r="F112" s="34" t="str">
        <f>HYPERLINK(اضافات!M112)</f>
        <v>0</v>
      </c>
      <c r="G112" s="34" t="str">
        <f>HYPERLINK(اضافات!F112)</f>
        <v>0</v>
      </c>
      <c r="H112" s="34" t="str">
        <f>HYPERLINK(اضافات!O112)</f>
        <v>0</v>
      </c>
      <c r="I112" s="93" t="str">
        <f>HYPERLINK(خصومات!L112)</f>
        <v>0</v>
      </c>
      <c r="J112" s="150">
        <f t="shared" si="4"/>
        <v>0</v>
      </c>
      <c r="K112" s="150">
        <f t="shared" si="7"/>
        <v>0</v>
      </c>
      <c r="L112" s="26"/>
      <c r="M112" s="28"/>
      <c r="N112" s="57"/>
      <c r="O112" s="56"/>
      <c r="P112" s="27"/>
    </row>
    <row r="113" spans="1:16" s="55" customFormat="1" ht="16.8" hidden="1" x14ac:dyDescent="0.25">
      <c r="A113" s="31"/>
      <c r="B113" s="70" t="s">
        <v>82</v>
      </c>
      <c r="C113" s="25"/>
      <c r="D113" s="148">
        <v>0</v>
      </c>
      <c r="E113" s="34" t="str">
        <f>HYPERLINK(اضافات!N113)</f>
        <v>0</v>
      </c>
      <c r="F113" s="34" t="str">
        <f>HYPERLINK(اضافات!M113)</f>
        <v>0</v>
      </c>
      <c r="G113" s="34" t="str">
        <f>HYPERLINK(اضافات!F113)</f>
        <v>0</v>
      </c>
      <c r="H113" s="34" t="str">
        <f>HYPERLINK(اضافات!O113)</f>
        <v>0</v>
      </c>
      <c r="I113" s="93" t="str">
        <f>HYPERLINK(خصومات!L113)</f>
        <v>0</v>
      </c>
      <c r="J113" s="150">
        <f t="shared" si="4"/>
        <v>0</v>
      </c>
      <c r="K113" s="150">
        <f t="shared" si="7"/>
        <v>0</v>
      </c>
      <c r="L113" s="26"/>
      <c r="M113" s="28"/>
      <c r="N113" s="57"/>
      <c r="O113" s="56"/>
      <c r="P113" s="27"/>
    </row>
    <row r="114" spans="1:16" s="55" customFormat="1" ht="16.8" hidden="1" x14ac:dyDescent="0.25">
      <c r="A114" s="31"/>
      <c r="B114" s="70" t="s">
        <v>82</v>
      </c>
      <c r="C114" s="25"/>
      <c r="D114" s="148">
        <v>0</v>
      </c>
      <c r="E114" s="34" t="str">
        <f>HYPERLINK(اضافات!N114)</f>
        <v>0</v>
      </c>
      <c r="F114" s="34" t="str">
        <f>HYPERLINK(اضافات!M114)</f>
        <v>0</v>
      </c>
      <c r="G114" s="34" t="str">
        <f>HYPERLINK(اضافات!F114)</f>
        <v>0</v>
      </c>
      <c r="H114" s="34" t="str">
        <f>HYPERLINK(اضافات!O114)</f>
        <v>0</v>
      </c>
      <c r="I114" s="93" t="str">
        <f>HYPERLINK(خصومات!L114)</f>
        <v>0</v>
      </c>
      <c r="J114" s="150">
        <f t="shared" si="4"/>
        <v>0</v>
      </c>
      <c r="K114" s="150">
        <f t="shared" si="7"/>
        <v>0</v>
      </c>
      <c r="L114" s="26"/>
      <c r="M114" s="28"/>
      <c r="N114" s="57"/>
      <c r="O114" s="56"/>
      <c r="P114" s="27"/>
    </row>
    <row r="115" spans="1:16" s="55" customFormat="1" ht="16.8" hidden="1" x14ac:dyDescent="0.25">
      <c r="A115" s="31"/>
      <c r="B115" s="70" t="s">
        <v>82</v>
      </c>
      <c r="C115" s="25"/>
      <c r="D115" s="148">
        <v>0</v>
      </c>
      <c r="E115" s="34" t="str">
        <f>HYPERLINK(اضافات!N115)</f>
        <v>0</v>
      </c>
      <c r="F115" s="34" t="str">
        <f>HYPERLINK(اضافات!M115)</f>
        <v>0</v>
      </c>
      <c r="G115" s="34" t="str">
        <f>HYPERLINK(اضافات!F115)</f>
        <v>0</v>
      </c>
      <c r="H115" s="34" t="str">
        <f>HYPERLINK(اضافات!O115)</f>
        <v>0</v>
      </c>
      <c r="I115" s="93" t="str">
        <f>HYPERLINK(خصومات!L115)</f>
        <v>0</v>
      </c>
      <c r="J115" s="150">
        <f t="shared" si="4"/>
        <v>0</v>
      </c>
      <c r="K115" s="150">
        <f t="shared" si="7"/>
        <v>0</v>
      </c>
      <c r="L115" s="26"/>
      <c r="M115" s="28"/>
      <c r="N115" s="57"/>
      <c r="O115" s="56"/>
      <c r="P115" s="27"/>
    </row>
    <row r="116" spans="1:16" s="55" customFormat="1" ht="16.8" hidden="1" x14ac:dyDescent="0.25">
      <c r="A116" s="31"/>
      <c r="B116" s="70" t="s">
        <v>82</v>
      </c>
      <c r="C116" s="25"/>
      <c r="D116" s="148">
        <v>0</v>
      </c>
      <c r="E116" s="34" t="str">
        <f>HYPERLINK(اضافات!N116)</f>
        <v>0</v>
      </c>
      <c r="F116" s="34" t="str">
        <f>HYPERLINK(اضافات!M116)</f>
        <v>0</v>
      </c>
      <c r="G116" s="34" t="str">
        <f>HYPERLINK(اضافات!F116)</f>
        <v>0</v>
      </c>
      <c r="H116" s="34" t="str">
        <f>HYPERLINK(اضافات!O116)</f>
        <v>0</v>
      </c>
      <c r="I116" s="93" t="str">
        <f>HYPERLINK(خصومات!L116)</f>
        <v>0</v>
      </c>
      <c r="J116" s="150">
        <f t="shared" si="4"/>
        <v>0</v>
      </c>
      <c r="K116" s="150">
        <f t="shared" si="7"/>
        <v>0</v>
      </c>
      <c r="L116" s="26"/>
      <c r="M116" s="28"/>
      <c r="N116" s="57"/>
      <c r="O116" s="56"/>
      <c r="P116" s="27"/>
    </row>
    <row r="117" spans="1:16" s="55" customFormat="1" ht="16.8" hidden="1" x14ac:dyDescent="0.25">
      <c r="A117" s="31"/>
      <c r="B117" s="70" t="s">
        <v>82</v>
      </c>
      <c r="C117" s="25"/>
      <c r="D117" s="148">
        <v>0</v>
      </c>
      <c r="E117" s="34" t="str">
        <f>HYPERLINK(اضافات!N117)</f>
        <v>0</v>
      </c>
      <c r="F117" s="34" t="str">
        <f>HYPERLINK(اضافات!M117)</f>
        <v>0</v>
      </c>
      <c r="G117" s="34" t="str">
        <f>HYPERLINK(اضافات!F117)</f>
        <v>0</v>
      </c>
      <c r="H117" s="34" t="str">
        <f>HYPERLINK(اضافات!O117)</f>
        <v>0</v>
      </c>
      <c r="I117" s="93" t="str">
        <f>HYPERLINK(خصومات!L117)</f>
        <v>0</v>
      </c>
      <c r="J117" s="150">
        <f t="shared" si="4"/>
        <v>0</v>
      </c>
      <c r="K117" s="150">
        <f t="shared" si="7"/>
        <v>0</v>
      </c>
      <c r="L117" s="26"/>
      <c r="M117" s="28"/>
      <c r="N117" s="57"/>
      <c r="O117" s="56"/>
      <c r="P117" s="27"/>
    </row>
    <row r="118" spans="1:16" ht="16.8" x14ac:dyDescent="0.25">
      <c r="A118" s="117">
        <v>6</v>
      </c>
      <c r="B118" s="125" t="s">
        <v>84</v>
      </c>
      <c r="C118" s="119"/>
      <c r="D118" s="152">
        <f>SUM(D102:D117)</f>
        <v>0</v>
      </c>
      <c r="E118" s="120">
        <f t="shared" ref="E118:K118" si="8">SUM(E102:E117)</f>
        <v>0</v>
      </c>
      <c r="F118" s="120">
        <f t="shared" si="8"/>
        <v>0</v>
      </c>
      <c r="G118" s="120">
        <f t="shared" si="8"/>
        <v>0</v>
      </c>
      <c r="H118" s="120">
        <f t="shared" si="8"/>
        <v>0</v>
      </c>
      <c r="I118" s="120">
        <f t="shared" si="8"/>
        <v>0</v>
      </c>
      <c r="J118" s="152">
        <f t="shared" si="8"/>
        <v>0</v>
      </c>
      <c r="K118" s="152">
        <f t="shared" si="8"/>
        <v>0</v>
      </c>
      <c r="L118" s="120">
        <f>SUM(K102:K117)</f>
        <v>0</v>
      </c>
      <c r="M118" s="126"/>
      <c r="N118" s="126"/>
      <c r="O118" s="127"/>
      <c r="P118" s="128"/>
    </row>
    <row r="119" spans="1:16" s="54" customFormat="1" ht="34.799999999999997" x14ac:dyDescent="0.3">
      <c r="A119" s="74">
        <f t="shared" ref="A119" si="9">SUM(A18,A56,A101)</f>
        <v>38</v>
      </c>
      <c r="B119" s="75" t="s">
        <v>81</v>
      </c>
      <c r="C119" s="74"/>
      <c r="D119" s="153">
        <f>SUM(D18,D56,D101)</f>
        <v>0</v>
      </c>
      <c r="E119" s="74">
        <f t="shared" ref="E119:J119" si="10">SUM(E18,E56,E101)</f>
        <v>0</v>
      </c>
      <c r="F119" s="74">
        <f t="shared" si="10"/>
        <v>0</v>
      </c>
      <c r="G119" s="74">
        <f t="shared" si="10"/>
        <v>0</v>
      </c>
      <c r="H119" s="74">
        <f t="shared" si="10"/>
        <v>0</v>
      </c>
      <c r="I119" s="74">
        <f t="shared" si="10"/>
        <v>0</v>
      </c>
      <c r="J119" s="153">
        <f t="shared" si="10"/>
        <v>0</v>
      </c>
      <c r="K119" s="153">
        <f>SUM(K18,K56,K101)</f>
        <v>0</v>
      </c>
      <c r="L119" s="74">
        <f>SUM(L18,L56,L101)</f>
        <v>0</v>
      </c>
      <c r="M119" s="74"/>
      <c r="N119" s="13"/>
      <c r="O119" s="21"/>
      <c r="P119" s="8"/>
    </row>
    <row r="120" spans="1:16" ht="34.799999999999997" x14ac:dyDescent="0.25">
      <c r="A120" s="76">
        <f>SUM(A18,A56,A101,A118)</f>
        <v>44</v>
      </c>
      <c r="B120" s="75" t="s">
        <v>120</v>
      </c>
      <c r="C120" s="74"/>
      <c r="D120" s="154">
        <f t="shared" ref="D120:K120" si="11">SUM(D18,D56,D101,D118)</f>
        <v>0</v>
      </c>
      <c r="E120" s="76">
        <f t="shared" si="11"/>
        <v>0</v>
      </c>
      <c r="F120" s="76">
        <f t="shared" si="11"/>
        <v>0</v>
      </c>
      <c r="G120" s="76">
        <f t="shared" si="11"/>
        <v>0</v>
      </c>
      <c r="H120" s="76">
        <f t="shared" si="11"/>
        <v>0</v>
      </c>
      <c r="I120" s="76">
        <f t="shared" si="11"/>
        <v>0</v>
      </c>
      <c r="J120" s="154">
        <f t="shared" si="11"/>
        <v>0</v>
      </c>
      <c r="K120" s="154">
        <f t="shared" si="11"/>
        <v>0</v>
      </c>
      <c r="L120" s="76">
        <f>SUM(L18,L56,L101,L118)</f>
        <v>0</v>
      </c>
      <c r="M120" s="74"/>
      <c r="O120" s="21"/>
    </row>
    <row r="121" spans="1:16" x14ac:dyDescent="0.25">
      <c r="A121" s="9"/>
      <c r="B121" s="9"/>
      <c r="D121" s="1"/>
      <c r="E121" s="1"/>
      <c r="F121" s="1"/>
      <c r="G121" s="1"/>
      <c r="H121" s="1"/>
      <c r="I121" s="1"/>
      <c r="J121" s="1"/>
      <c r="L121" s="11"/>
      <c r="M121" s="11"/>
      <c r="O121" s="21"/>
    </row>
    <row r="122" spans="1:16" x14ac:dyDescent="0.25">
      <c r="L122" s="6"/>
      <c r="M122" s="6"/>
      <c r="N122" s="14"/>
      <c r="O122" s="21"/>
    </row>
    <row r="123" spans="1:16" ht="15.6" x14ac:dyDescent="0.3">
      <c r="L123" s="12"/>
      <c r="M123" s="12"/>
      <c r="N123" s="15"/>
      <c r="O123" s="21"/>
    </row>
    <row r="124" spans="1:16" x14ac:dyDescent="0.25">
      <c r="L124" s="1"/>
      <c r="M124" s="1"/>
      <c r="O124" s="21"/>
    </row>
    <row r="125" spans="1:16" x14ac:dyDescent="0.25">
      <c r="L125" s="6"/>
      <c r="M125" s="6"/>
    </row>
    <row r="126" spans="1:16" x14ac:dyDescent="0.25">
      <c r="L126" s="6"/>
      <c r="M126" s="6"/>
    </row>
    <row r="127" spans="1:16" x14ac:dyDescent="0.25">
      <c r="L127" s="17"/>
      <c r="M127" s="17"/>
    </row>
  </sheetData>
  <printOptions horizontalCentered="1"/>
  <pageMargins left="0" right="0" top="0.5" bottom="0.5" header="0.3" footer="0.3"/>
  <pageSetup paperSize="9" scale="46" orientation="landscape" horizontalDpi="4294967293" r:id="rId1"/>
  <headerFooter alignWithMargins="0"/>
  <rowBreaks count="1" manualBreakCount="1">
    <brk id="12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18"/>
  <sheetViews>
    <sheetView rightToLeft="1" topLeftCell="A74" zoomScale="84" zoomScaleNormal="84" workbookViewId="0">
      <selection activeCell="L102" sqref="C102:L108"/>
    </sheetView>
  </sheetViews>
  <sheetFormatPr defaultRowHeight="13.2" x14ac:dyDescent="0.25"/>
  <cols>
    <col min="1" max="1" width="3" customWidth="1"/>
    <col min="2" max="2" width="32.109375" bestFit="1" customWidth="1"/>
    <col min="3" max="3" width="16.6640625" bestFit="1" customWidth="1"/>
    <col min="4" max="4" width="15.33203125" bestFit="1" customWidth="1"/>
    <col min="5" max="5" width="15.77734375" bestFit="1" customWidth="1"/>
    <col min="6" max="6" width="16" bestFit="1" customWidth="1"/>
    <col min="7" max="7" width="13.109375" bestFit="1" customWidth="1"/>
    <col min="8" max="8" width="13.33203125" bestFit="1" customWidth="1"/>
    <col min="9" max="9" width="12.88671875" bestFit="1" customWidth="1"/>
    <col min="10" max="10" width="15.77734375" bestFit="1" customWidth="1"/>
    <col min="11" max="11" width="14.109375" bestFit="1" customWidth="1"/>
    <col min="12" max="12" width="15.33203125" bestFit="1" customWidth="1"/>
    <col min="13" max="13" width="14.33203125" customWidth="1"/>
    <col min="14" max="14" width="16" bestFit="1" customWidth="1"/>
    <col min="15" max="15" width="11" bestFit="1" customWidth="1"/>
    <col min="16" max="16" width="15.77734375" bestFit="1" customWidth="1"/>
    <col min="17" max="17" width="56.6640625" customWidth="1"/>
  </cols>
  <sheetData>
    <row r="1" spans="1:17" ht="16.2" thickBot="1" x14ac:dyDescent="0.3">
      <c r="A1" s="180" t="s">
        <v>19</v>
      </c>
      <c r="B1" s="181"/>
    </row>
    <row r="2" spans="1:17" ht="66.599999999999994" thickBot="1" x14ac:dyDescent="0.3">
      <c r="A2" s="135" t="s">
        <v>5</v>
      </c>
      <c r="B2" s="136" t="s">
        <v>151</v>
      </c>
      <c r="C2" s="137" t="s">
        <v>36</v>
      </c>
      <c r="D2" s="137" t="s">
        <v>37</v>
      </c>
      <c r="E2" s="137" t="s">
        <v>38</v>
      </c>
      <c r="F2" s="137" t="s">
        <v>57</v>
      </c>
      <c r="G2" s="137" t="s">
        <v>59</v>
      </c>
      <c r="H2" s="137" t="s">
        <v>58</v>
      </c>
      <c r="I2" s="137" t="s">
        <v>39</v>
      </c>
      <c r="J2" s="137" t="s">
        <v>40</v>
      </c>
      <c r="K2" s="137" t="s">
        <v>41</v>
      </c>
      <c r="L2" s="137" t="s">
        <v>42</v>
      </c>
      <c r="M2" s="138" t="s">
        <v>43</v>
      </c>
      <c r="N2" s="138" t="s">
        <v>44</v>
      </c>
      <c r="O2" s="138" t="s">
        <v>45</v>
      </c>
      <c r="P2" s="138" t="s">
        <v>46</v>
      </c>
      <c r="Q2" s="145" t="s">
        <v>16</v>
      </c>
    </row>
    <row r="3" spans="1:17" ht="15.6" x14ac:dyDescent="0.3">
      <c r="A3" s="146"/>
      <c r="B3" s="146" t="s">
        <v>60</v>
      </c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</row>
    <row r="4" spans="1:17" ht="15" x14ac:dyDescent="0.25">
      <c r="A4">
        <f>مرتبات!A4</f>
        <v>1</v>
      </c>
      <c r="B4" s="82" t="str">
        <f>مرتبات!B4</f>
        <v>د/هانى صلاح الدين محمد سري الدين</v>
      </c>
      <c r="C4" s="96">
        <v>0</v>
      </c>
      <c r="D4" s="96">
        <v>0</v>
      </c>
      <c r="E4" s="96">
        <v>0</v>
      </c>
      <c r="F4" s="96">
        <v>0</v>
      </c>
      <c r="G4" s="96">
        <v>0</v>
      </c>
      <c r="H4" s="96">
        <v>0</v>
      </c>
      <c r="I4" s="96">
        <v>0</v>
      </c>
      <c r="J4" s="96">
        <v>0</v>
      </c>
      <c r="K4" s="96">
        <v>0</v>
      </c>
      <c r="L4" s="96">
        <v>0</v>
      </c>
      <c r="M4" s="81">
        <f>SUM(C4:E4)+L4</f>
        <v>0</v>
      </c>
      <c r="N4" s="96">
        <f>SUM(I4:K4)</f>
        <v>0</v>
      </c>
      <c r="O4" s="81">
        <f>SUM(G4:H4)</f>
        <v>0</v>
      </c>
      <c r="P4" s="96">
        <f>SUM(M4:O4)</f>
        <v>0</v>
      </c>
      <c r="Q4" s="81"/>
    </row>
    <row r="5" spans="1:17" ht="15" x14ac:dyDescent="0.25">
      <c r="A5">
        <f>مرتبات!A5</f>
        <v>2</v>
      </c>
      <c r="B5" s="147" t="str">
        <f>مرتبات!B5</f>
        <v>أ/أميرة محمد على شريف</v>
      </c>
      <c r="C5" s="97">
        <v>0</v>
      </c>
      <c r="D5" s="97">
        <v>0</v>
      </c>
      <c r="E5" s="97">
        <v>0</v>
      </c>
      <c r="F5" s="97">
        <v>0</v>
      </c>
      <c r="G5" s="97">
        <v>0</v>
      </c>
      <c r="H5" s="97">
        <v>0</v>
      </c>
      <c r="I5" s="97">
        <v>0</v>
      </c>
      <c r="J5" s="97">
        <v>0</v>
      </c>
      <c r="K5" s="97">
        <v>0</v>
      </c>
      <c r="L5" s="97">
        <v>0</v>
      </c>
      <c r="M5" s="80">
        <f t="shared" ref="M5:M68" si="0">SUM(C5:E5)+L5</f>
        <v>0</v>
      </c>
      <c r="N5" s="97">
        <f t="shared" ref="N5:N68" si="1">SUM(I5:K5)</f>
        <v>0</v>
      </c>
      <c r="O5" s="80">
        <f t="shared" ref="O5:O68" si="2">SUM(G5:H5)</f>
        <v>0</v>
      </c>
      <c r="P5" s="97">
        <f t="shared" ref="P5:P68" si="3">SUM(M5:O5)</f>
        <v>0</v>
      </c>
      <c r="Q5" s="80"/>
    </row>
    <row r="6" spans="1:17" ht="15" x14ac:dyDescent="0.25">
      <c r="A6">
        <f>مرتبات!A6</f>
        <v>3</v>
      </c>
      <c r="B6" s="82" t="str">
        <f>مرتبات!B6</f>
        <v>أ/إيهاب حمدى ابراهيم</v>
      </c>
      <c r="C6" s="96">
        <v>0</v>
      </c>
      <c r="D6" s="96">
        <v>0</v>
      </c>
      <c r="E6" s="96">
        <v>0</v>
      </c>
      <c r="F6" s="96">
        <v>0</v>
      </c>
      <c r="G6" s="96">
        <v>0</v>
      </c>
      <c r="H6" s="96">
        <v>0</v>
      </c>
      <c r="I6" s="96">
        <v>0</v>
      </c>
      <c r="J6" s="96">
        <v>0</v>
      </c>
      <c r="K6" s="96">
        <v>0</v>
      </c>
      <c r="L6" s="96">
        <v>0</v>
      </c>
      <c r="M6" s="81">
        <f t="shared" si="0"/>
        <v>0</v>
      </c>
      <c r="N6" s="96">
        <f t="shared" si="1"/>
        <v>0</v>
      </c>
      <c r="O6" s="81">
        <f t="shared" si="2"/>
        <v>0</v>
      </c>
      <c r="P6" s="96">
        <f t="shared" si="3"/>
        <v>0</v>
      </c>
      <c r="Q6" s="81"/>
    </row>
    <row r="7" spans="1:17" ht="15" hidden="1" x14ac:dyDescent="0.25">
      <c r="A7">
        <f>مرتبات!A7</f>
        <v>0</v>
      </c>
      <c r="B7" s="147" t="str">
        <f>مرتبات!B7</f>
        <v>Spare</v>
      </c>
      <c r="C7" s="97">
        <v>0</v>
      </c>
      <c r="D7" s="97">
        <v>0</v>
      </c>
      <c r="E7" s="97">
        <v>0</v>
      </c>
      <c r="F7" s="97">
        <v>0</v>
      </c>
      <c r="G7" s="97">
        <v>0</v>
      </c>
      <c r="H7" s="97">
        <v>0</v>
      </c>
      <c r="I7" s="97">
        <v>0</v>
      </c>
      <c r="J7" s="97">
        <v>0</v>
      </c>
      <c r="K7" s="97">
        <v>0</v>
      </c>
      <c r="L7" s="97">
        <v>0</v>
      </c>
      <c r="M7" s="80">
        <f t="shared" si="0"/>
        <v>0</v>
      </c>
      <c r="N7" s="97">
        <f t="shared" si="1"/>
        <v>0</v>
      </c>
      <c r="O7" s="80">
        <f t="shared" si="2"/>
        <v>0</v>
      </c>
      <c r="P7" s="97">
        <f t="shared" si="3"/>
        <v>0</v>
      </c>
      <c r="Q7" s="80"/>
    </row>
    <row r="8" spans="1:17" ht="15" hidden="1" x14ac:dyDescent="0.25">
      <c r="A8">
        <f>مرتبات!A8</f>
        <v>0</v>
      </c>
      <c r="B8" s="82" t="str">
        <f>مرتبات!B8</f>
        <v>Spare</v>
      </c>
      <c r="C8" s="96">
        <v>0</v>
      </c>
      <c r="D8" s="96">
        <v>0</v>
      </c>
      <c r="E8" s="96">
        <v>0</v>
      </c>
      <c r="F8" s="96">
        <v>0</v>
      </c>
      <c r="G8" s="96">
        <v>0</v>
      </c>
      <c r="H8" s="96">
        <v>0</v>
      </c>
      <c r="I8" s="96">
        <v>0</v>
      </c>
      <c r="J8" s="96">
        <v>0</v>
      </c>
      <c r="K8" s="96">
        <v>0</v>
      </c>
      <c r="L8" s="96">
        <v>0</v>
      </c>
      <c r="M8" s="81">
        <f t="shared" si="0"/>
        <v>0</v>
      </c>
      <c r="N8" s="96">
        <f t="shared" si="1"/>
        <v>0</v>
      </c>
      <c r="O8" s="81">
        <f t="shared" si="2"/>
        <v>0</v>
      </c>
      <c r="P8" s="96">
        <f t="shared" si="3"/>
        <v>0</v>
      </c>
      <c r="Q8" s="81"/>
    </row>
    <row r="9" spans="1:17" ht="15" hidden="1" x14ac:dyDescent="0.25">
      <c r="A9">
        <f>مرتبات!A9</f>
        <v>0</v>
      </c>
      <c r="B9" s="147" t="str">
        <f>مرتبات!B9</f>
        <v>Spare</v>
      </c>
      <c r="C9" s="97">
        <v>0</v>
      </c>
      <c r="D9" s="97">
        <v>0</v>
      </c>
      <c r="E9" s="97">
        <v>0</v>
      </c>
      <c r="F9" s="97">
        <v>0</v>
      </c>
      <c r="G9" s="97">
        <v>0</v>
      </c>
      <c r="H9" s="97">
        <v>0</v>
      </c>
      <c r="I9" s="97">
        <v>0</v>
      </c>
      <c r="J9" s="97">
        <v>0</v>
      </c>
      <c r="K9" s="97">
        <v>0</v>
      </c>
      <c r="L9" s="97">
        <v>0</v>
      </c>
      <c r="M9" s="80">
        <f t="shared" si="0"/>
        <v>0</v>
      </c>
      <c r="N9" s="97">
        <f t="shared" si="1"/>
        <v>0</v>
      </c>
      <c r="O9" s="80">
        <f t="shared" si="2"/>
        <v>0</v>
      </c>
      <c r="P9" s="97">
        <f t="shared" si="3"/>
        <v>0</v>
      </c>
      <c r="Q9" s="80"/>
    </row>
    <row r="10" spans="1:17" ht="15" hidden="1" x14ac:dyDescent="0.25">
      <c r="A10">
        <f>مرتبات!A10</f>
        <v>0</v>
      </c>
      <c r="B10" s="82" t="str">
        <f>مرتبات!B10</f>
        <v>Spare</v>
      </c>
      <c r="C10" s="96">
        <v>0</v>
      </c>
      <c r="D10" s="96">
        <v>0</v>
      </c>
      <c r="E10" s="96">
        <v>0</v>
      </c>
      <c r="F10" s="96">
        <v>0</v>
      </c>
      <c r="G10" s="96">
        <v>0</v>
      </c>
      <c r="H10" s="96">
        <v>0</v>
      </c>
      <c r="I10" s="96">
        <v>0</v>
      </c>
      <c r="J10" s="96">
        <v>0</v>
      </c>
      <c r="K10" s="96">
        <v>0</v>
      </c>
      <c r="L10" s="96">
        <v>0</v>
      </c>
      <c r="M10" s="81">
        <f t="shared" si="0"/>
        <v>0</v>
      </c>
      <c r="N10" s="96">
        <f t="shared" si="1"/>
        <v>0</v>
      </c>
      <c r="O10" s="81">
        <f t="shared" si="2"/>
        <v>0</v>
      </c>
      <c r="P10" s="96">
        <f t="shared" si="3"/>
        <v>0</v>
      </c>
      <c r="Q10" s="81"/>
    </row>
    <row r="11" spans="1:17" ht="15" hidden="1" x14ac:dyDescent="0.25">
      <c r="A11">
        <f>مرتبات!A11</f>
        <v>0</v>
      </c>
      <c r="B11" s="147" t="str">
        <f>مرتبات!B11</f>
        <v>Spare</v>
      </c>
      <c r="C11" s="97">
        <v>0</v>
      </c>
      <c r="D11" s="97">
        <v>0</v>
      </c>
      <c r="E11" s="97">
        <v>0</v>
      </c>
      <c r="F11" s="97">
        <v>0</v>
      </c>
      <c r="G11" s="97">
        <v>0</v>
      </c>
      <c r="H11" s="97">
        <v>0</v>
      </c>
      <c r="I11" s="97">
        <v>0</v>
      </c>
      <c r="J11" s="97">
        <v>0</v>
      </c>
      <c r="K11" s="97">
        <v>0</v>
      </c>
      <c r="L11" s="97">
        <v>0</v>
      </c>
      <c r="M11" s="80">
        <f t="shared" si="0"/>
        <v>0</v>
      </c>
      <c r="N11" s="97">
        <f t="shared" si="1"/>
        <v>0</v>
      </c>
      <c r="O11" s="80">
        <f t="shared" si="2"/>
        <v>0</v>
      </c>
      <c r="P11" s="97">
        <f t="shared" si="3"/>
        <v>0</v>
      </c>
      <c r="Q11" s="80"/>
    </row>
    <row r="12" spans="1:17" ht="15" hidden="1" x14ac:dyDescent="0.25">
      <c r="A12">
        <f>مرتبات!A12</f>
        <v>0</v>
      </c>
      <c r="B12" s="82" t="str">
        <f>مرتبات!B12</f>
        <v>Spare</v>
      </c>
      <c r="C12" s="96">
        <v>0</v>
      </c>
      <c r="D12" s="96">
        <v>0</v>
      </c>
      <c r="E12" s="96">
        <v>0</v>
      </c>
      <c r="F12" s="96">
        <v>0</v>
      </c>
      <c r="G12" s="96">
        <v>0</v>
      </c>
      <c r="H12" s="96">
        <v>0</v>
      </c>
      <c r="I12" s="96">
        <v>0</v>
      </c>
      <c r="J12" s="96">
        <v>0</v>
      </c>
      <c r="K12" s="96">
        <v>0</v>
      </c>
      <c r="L12" s="96">
        <v>0</v>
      </c>
      <c r="M12" s="81">
        <f t="shared" si="0"/>
        <v>0</v>
      </c>
      <c r="N12" s="96">
        <f t="shared" si="1"/>
        <v>0</v>
      </c>
      <c r="O12" s="81">
        <f t="shared" si="2"/>
        <v>0</v>
      </c>
      <c r="P12" s="96">
        <f t="shared" si="3"/>
        <v>0</v>
      </c>
      <c r="Q12" s="81"/>
    </row>
    <row r="13" spans="1:17" ht="15" hidden="1" x14ac:dyDescent="0.25">
      <c r="A13">
        <f>مرتبات!A13</f>
        <v>0</v>
      </c>
      <c r="B13" s="147" t="str">
        <f>مرتبات!B13</f>
        <v>Spare</v>
      </c>
      <c r="C13" s="97">
        <v>0</v>
      </c>
      <c r="D13" s="97">
        <v>0</v>
      </c>
      <c r="E13" s="97">
        <v>0</v>
      </c>
      <c r="F13" s="97">
        <v>0</v>
      </c>
      <c r="G13" s="97">
        <v>0</v>
      </c>
      <c r="H13" s="97">
        <v>0</v>
      </c>
      <c r="I13" s="97">
        <v>0</v>
      </c>
      <c r="J13" s="97">
        <v>0</v>
      </c>
      <c r="K13" s="97">
        <v>0</v>
      </c>
      <c r="L13" s="97">
        <v>0</v>
      </c>
      <c r="M13" s="80">
        <f t="shared" si="0"/>
        <v>0</v>
      </c>
      <c r="N13" s="97">
        <f t="shared" si="1"/>
        <v>0</v>
      </c>
      <c r="O13" s="80">
        <f t="shared" si="2"/>
        <v>0</v>
      </c>
      <c r="P13" s="97">
        <f t="shared" si="3"/>
        <v>0</v>
      </c>
      <c r="Q13" s="80"/>
    </row>
    <row r="14" spans="1:17" ht="15" hidden="1" x14ac:dyDescent="0.25">
      <c r="A14">
        <f>مرتبات!A14</f>
        <v>0</v>
      </c>
      <c r="B14" s="82" t="str">
        <f>مرتبات!B14</f>
        <v>Spare</v>
      </c>
      <c r="C14" s="96">
        <v>0</v>
      </c>
      <c r="D14" s="96">
        <v>0</v>
      </c>
      <c r="E14" s="96">
        <v>0</v>
      </c>
      <c r="F14" s="96">
        <v>0</v>
      </c>
      <c r="G14" s="96">
        <v>0</v>
      </c>
      <c r="H14" s="96">
        <v>0</v>
      </c>
      <c r="I14" s="96">
        <v>0</v>
      </c>
      <c r="J14" s="96">
        <v>0</v>
      </c>
      <c r="K14" s="96">
        <v>0</v>
      </c>
      <c r="L14" s="96">
        <v>0</v>
      </c>
      <c r="M14" s="81">
        <f t="shared" si="0"/>
        <v>0</v>
      </c>
      <c r="N14" s="96">
        <f t="shared" si="1"/>
        <v>0</v>
      </c>
      <c r="O14" s="81">
        <f t="shared" si="2"/>
        <v>0</v>
      </c>
      <c r="P14" s="96">
        <f t="shared" si="3"/>
        <v>0</v>
      </c>
      <c r="Q14" s="81"/>
    </row>
    <row r="15" spans="1:17" ht="15" hidden="1" x14ac:dyDescent="0.25">
      <c r="A15">
        <f>مرتبات!A15</f>
        <v>0</v>
      </c>
      <c r="B15" s="147" t="str">
        <f>مرتبات!B15</f>
        <v>Spare</v>
      </c>
      <c r="C15" s="97">
        <v>0</v>
      </c>
      <c r="D15" s="97">
        <v>0</v>
      </c>
      <c r="E15" s="97">
        <v>0</v>
      </c>
      <c r="F15" s="97">
        <v>0</v>
      </c>
      <c r="G15" s="97">
        <v>0</v>
      </c>
      <c r="H15" s="97">
        <v>0</v>
      </c>
      <c r="I15" s="97">
        <v>0</v>
      </c>
      <c r="J15" s="97">
        <v>0</v>
      </c>
      <c r="K15" s="97">
        <v>0</v>
      </c>
      <c r="L15" s="97">
        <v>0</v>
      </c>
      <c r="M15" s="80">
        <f t="shared" si="0"/>
        <v>0</v>
      </c>
      <c r="N15" s="97">
        <f t="shared" si="1"/>
        <v>0</v>
      </c>
      <c r="O15" s="80">
        <f t="shared" si="2"/>
        <v>0</v>
      </c>
      <c r="P15" s="97">
        <f t="shared" si="3"/>
        <v>0</v>
      </c>
      <c r="Q15" s="80"/>
    </row>
    <row r="16" spans="1:17" ht="15" hidden="1" x14ac:dyDescent="0.25">
      <c r="A16">
        <f>مرتبات!A16</f>
        <v>0</v>
      </c>
      <c r="B16" s="82" t="str">
        <f>مرتبات!B16</f>
        <v>Spare</v>
      </c>
      <c r="C16" s="96">
        <v>0</v>
      </c>
      <c r="D16" s="96">
        <v>0</v>
      </c>
      <c r="E16" s="96">
        <v>0</v>
      </c>
      <c r="F16" s="96">
        <v>0</v>
      </c>
      <c r="G16" s="96">
        <v>0</v>
      </c>
      <c r="H16" s="96">
        <v>0</v>
      </c>
      <c r="I16" s="96">
        <v>0</v>
      </c>
      <c r="J16" s="96">
        <v>0</v>
      </c>
      <c r="K16" s="96">
        <v>0</v>
      </c>
      <c r="L16" s="96">
        <v>0</v>
      </c>
      <c r="M16" s="81">
        <f t="shared" si="0"/>
        <v>0</v>
      </c>
      <c r="N16" s="96">
        <f t="shared" si="1"/>
        <v>0</v>
      </c>
      <c r="O16" s="81">
        <f t="shared" si="2"/>
        <v>0</v>
      </c>
      <c r="P16" s="96">
        <f t="shared" si="3"/>
        <v>0</v>
      </c>
      <c r="Q16" s="81"/>
    </row>
    <row r="17" spans="1:17" ht="15" hidden="1" x14ac:dyDescent="0.25">
      <c r="A17">
        <f>مرتبات!A17</f>
        <v>0</v>
      </c>
      <c r="B17" s="147" t="str">
        <f>مرتبات!B17</f>
        <v>Spare</v>
      </c>
      <c r="C17" s="97">
        <v>0</v>
      </c>
      <c r="D17" s="97">
        <v>0</v>
      </c>
      <c r="E17" s="97">
        <v>0</v>
      </c>
      <c r="F17" s="97">
        <v>0</v>
      </c>
      <c r="G17" s="97">
        <v>0</v>
      </c>
      <c r="H17" s="97">
        <v>0</v>
      </c>
      <c r="I17" s="97">
        <v>0</v>
      </c>
      <c r="J17" s="97">
        <v>0</v>
      </c>
      <c r="K17" s="97">
        <v>0</v>
      </c>
      <c r="L17" s="97">
        <v>0</v>
      </c>
      <c r="M17" s="80">
        <f t="shared" si="0"/>
        <v>0</v>
      </c>
      <c r="N17" s="97">
        <f t="shared" si="1"/>
        <v>0</v>
      </c>
      <c r="O17" s="80">
        <f t="shared" si="2"/>
        <v>0</v>
      </c>
      <c r="P17" s="97">
        <f t="shared" si="3"/>
        <v>0</v>
      </c>
      <c r="Q17" s="80"/>
    </row>
    <row r="18" spans="1:17" ht="15.6" x14ac:dyDescent="0.3">
      <c r="A18">
        <f>مرتبات!A18</f>
        <v>3</v>
      </c>
      <c r="B18" s="146" t="s">
        <v>61</v>
      </c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65"/>
      <c r="O18" s="146"/>
      <c r="P18" s="165"/>
      <c r="Q18" s="146"/>
    </row>
    <row r="19" spans="1:17" ht="15" x14ac:dyDescent="0.25">
      <c r="A19">
        <f>مرتبات!A19</f>
        <v>1</v>
      </c>
      <c r="B19" s="147" t="str">
        <f>مرتبات!B19</f>
        <v>أ/ناجى رمضان أمين محمد</v>
      </c>
      <c r="C19" s="97">
        <v>0</v>
      </c>
      <c r="D19" s="97">
        <v>0</v>
      </c>
      <c r="E19" s="97">
        <v>0</v>
      </c>
      <c r="F19" s="97">
        <v>0</v>
      </c>
      <c r="G19" s="97">
        <v>0</v>
      </c>
      <c r="H19" s="97">
        <v>0</v>
      </c>
      <c r="I19" s="97">
        <v>0</v>
      </c>
      <c r="J19" s="97">
        <v>0</v>
      </c>
      <c r="K19" s="97">
        <v>0</v>
      </c>
      <c r="L19" s="97">
        <v>0</v>
      </c>
      <c r="M19" s="80">
        <f t="shared" si="0"/>
        <v>0</v>
      </c>
      <c r="N19" s="97">
        <f t="shared" si="1"/>
        <v>0</v>
      </c>
      <c r="O19" s="80">
        <f t="shared" si="2"/>
        <v>0</v>
      </c>
      <c r="P19" s="97">
        <f t="shared" si="3"/>
        <v>0</v>
      </c>
      <c r="Q19" s="80"/>
    </row>
    <row r="20" spans="1:17" ht="15" x14ac:dyDescent="0.25">
      <c r="A20">
        <f>مرتبات!A20</f>
        <v>2</v>
      </c>
      <c r="B20" s="82" t="str">
        <f>مرتبات!B20</f>
        <v>أ/محمد عبد العزيز عبدالحافظ</v>
      </c>
      <c r="C20" s="96">
        <v>0</v>
      </c>
      <c r="D20" s="96">
        <v>0</v>
      </c>
      <c r="E20" s="96">
        <v>0</v>
      </c>
      <c r="F20" s="96">
        <v>0</v>
      </c>
      <c r="G20" s="96">
        <v>0</v>
      </c>
      <c r="H20" s="96">
        <v>0</v>
      </c>
      <c r="I20" s="96">
        <v>0</v>
      </c>
      <c r="J20" s="96">
        <v>0</v>
      </c>
      <c r="K20" s="96">
        <v>0</v>
      </c>
      <c r="L20" s="96">
        <v>0</v>
      </c>
      <c r="M20" s="81">
        <f t="shared" si="0"/>
        <v>0</v>
      </c>
      <c r="N20" s="96">
        <f t="shared" si="1"/>
        <v>0</v>
      </c>
      <c r="O20" s="81">
        <f t="shared" si="2"/>
        <v>0</v>
      </c>
      <c r="P20" s="96">
        <f t="shared" si="3"/>
        <v>0</v>
      </c>
      <c r="Q20" s="81"/>
    </row>
    <row r="21" spans="1:17" ht="15" x14ac:dyDescent="0.25">
      <c r="A21">
        <f>مرتبات!A21</f>
        <v>3</v>
      </c>
      <c r="B21" s="147" t="str">
        <f>مرتبات!B21</f>
        <v>أ/ أحمد سعيد أحمد محمد علي</v>
      </c>
      <c r="C21" s="97">
        <v>0</v>
      </c>
      <c r="D21" s="97">
        <v>0</v>
      </c>
      <c r="E21" s="97">
        <v>0</v>
      </c>
      <c r="F21" s="97">
        <v>0</v>
      </c>
      <c r="G21" s="97">
        <v>0</v>
      </c>
      <c r="H21" s="97">
        <v>0</v>
      </c>
      <c r="I21" s="97">
        <v>0</v>
      </c>
      <c r="J21" s="97">
        <v>0</v>
      </c>
      <c r="K21" s="97">
        <v>0</v>
      </c>
      <c r="L21" s="97">
        <v>0</v>
      </c>
      <c r="M21" s="80">
        <f t="shared" si="0"/>
        <v>0</v>
      </c>
      <c r="N21" s="97">
        <f t="shared" si="1"/>
        <v>0</v>
      </c>
      <c r="O21" s="80">
        <f t="shared" si="2"/>
        <v>0</v>
      </c>
      <c r="P21" s="97">
        <f t="shared" si="3"/>
        <v>0</v>
      </c>
      <c r="Q21" s="80"/>
    </row>
    <row r="22" spans="1:17" ht="15" x14ac:dyDescent="0.25">
      <c r="A22">
        <f>مرتبات!A22</f>
        <v>4</v>
      </c>
      <c r="B22" s="82" t="str">
        <f>مرتبات!B22</f>
        <v>أ/منة الله البلتاجى</v>
      </c>
      <c r="C22" s="96">
        <v>0</v>
      </c>
      <c r="D22" s="96">
        <v>0</v>
      </c>
      <c r="E22" s="96">
        <v>0</v>
      </c>
      <c r="F22" s="96">
        <v>0</v>
      </c>
      <c r="G22" s="96">
        <v>0</v>
      </c>
      <c r="H22" s="96">
        <v>0</v>
      </c>
      <c r="I22" s="96">
        <v>0</v>
      </c>
      <c r="J22" s="96">
        <v>0</v>
      </c>
      <c r="K22" s="96">
        <v>0</v>
      </c>
      <c r="L22" s="96">
        <v>0</v>
      </c>
      <c r="M22" s="81">
        <f t="shared" si="0"/>
        <v>0</v>
      </c>
      <c r="N22" s="96">
        <f t="shared" si="1"/>
        <v>0</v>
      </c>
      <c r="O22" s="81">
        <f t="shared" si="2"/>
        <v>0</v>
      </c>
      <c r="P22" s="96">
        <f t="shared" si="3"/>
        <v>0</v>
      </c>
      <c r="Q22" s="81"/>
    </row>
    <row r="23" spans="1:17" ht="15" x14ac:dyDescent="0.25">
      <c r="A23">
        <f>مرتبات!A23</f>
        <v>5</v>
      </c>
      <c r="B23" s="147" t="str">
        <f>مرتبات!B23</f>
        <v>أ/نهى عمرو محمد رضوان</v>
      </c>
      <c r="C23" s="97">
        <v>0</v>
      </c>
      <c r="D23" s="97">
        <v>0</v>
      </c>
      <c r="E23" s="97">
        <v>0</v>
      </c>
      <c r="F23" s="97">
        <v>0</v>
      </c>
      <c r="G23" s="97">
        <v>0</v>
      </c>
      <c r="H23" s="97">
        <v>0</v>
      </c>
      <c r="I23" s="97">
        <v>0</v>
      </c>
      <c r="J23" s="97">
        <v>0</v>
      </c>
      <c r="K23" s="97">
        <v>0</v>
      </c>
      <c r="L23" s="97">
        <v>0</v>
      </c>
      <c r="M23" s="80">
        <f t="shared" si="0"/>
        <v>0</v>
      </c>
      <c r="N23" s="97">
        <f t="shared" si="1"/>
        <v>0</v>
      </c>
      <c r="O23" s="80">
        <f t="shared" si="2"/>
        <v>0</v>
      </c>
      <c r="P23" s="97">
        <f t="shared" si="3"/>
        <v>0</v>
      </c>
      <c r="Q23" s="80"/>
    </row>
    <row r="24" spans="1:17" ht="15" x14ac:dyDescent="0.25">
      <c r="A24">
        <f>مرتبات!A24</f>
        <v>6</v>
      </c>
      <c r="B24" s="82" t="str">
        <f>مرتبات!B24</f>
        <v>أ/عبد الله عمرو حافظ</v>
      </c>
      <c r="C24" s="96">
        <v>0</v>
      </c>
      <c r="D24" s="96">
        <v>0</v>
      </c>
      <c r="E24" s="96">
        <v>0</v>
      </c>
      <c r="F24" s="96">
        <v>0</v>
      </c>
      <c r="G24" s="96">
        <v>0</v>
      </c>
      <c r="H24" s="96">
        <v>0</v>
      </c>
      <c r="I24" s="96">
        <v>0</v>
      </c>
      <c r="J24" s="166">
        <v>0</v>
      </c>
      <c r="K24" s="166">
        <v>0</v>
      </c>
      <c r="L24" s="96">
        <v>0</v>
      </c>
      <c r="M24" s="81">
        <f t="shared" si="0"/>
        <v>0</v>
      </c>
      <c r="N24" s="96">
        <f t="shared" si="1"/>
        <v>0</v>
      </c>
      <c r="O24" s="81">
        <f t="shared" si="2"/>
        <v>0</v>
      </c>
      <c r="P24" s="96">
        <f t="shared" si="3"/>
        <v>0</v>
      </c>
      <c r="Q24" s="81"/>
    </row>
    <row r="25" spans="1:17" ht="15" x14ac:dyDescent="0.25">
      <c r="A25">
        <f>مرتبات!A25</f>
        <v>7</v>
      </c>
      <c r="B25" s="147" t="str">
        <f>مرتبات!B25</f>
        <v>أ/محمد حمدى كامل</v>
      </c>
      <c r="C25" s="97">
        <v>0</v>
      </c>
      <c r="D25" s="97">
        <v>0</v>
      </c>
      <c r="E25" s="97">
        <v>0</v>
      </c>
      <c r="F25" s="97">
        <v>0</v>
      </c>
      <c r="G25" s="97">
        <v>0</v>
      </c>
      <c r="H25" s="97">
        <v>0</v>
      </c>
      <c r="I25" s="97">
        <v>0</v>
      </c>
      <c r="J25" s="97">
        <v>0</v>
      </c>
      <c r="K25" s="97">
        <v>0</v>
      </c>
      <c r="L25" s="97">
        <v>0</v>
      </c>
      <c r="M25" s="80">
        <f t="shared" si="0"/>
        <v>0</v>
      </c>
      <c r="N25" s="97">
        <f t="shared" si="1"/>
        <v>0</v>
      </c>
      <c r="O25" s="80">
        <f t="shared" si="2"/>
        <v>0</v>
      </c>
      <c r="P25" s="97">
        <f t="shared" si="3"/>
        <v>0</v>
      </c>
      <c r="Q25" s="80"/>
    </row>
    <row r="26" spans="1:17" ht="15" hidden="1" x14ac:dyDescent="0.25">
      <c r="A26">
        <f>مرتبات!A26</f>
        <v>0</v>
      </c>
      <c r="B26" s="82" t="str">
        <f>مرتبات!B26</f>
        <v>Spare</v>
      </c>
      <c r="C26" s="96">
        <v>0</v>
      </c>
      <c r="D26" s="96">
        <v>0</v>
      </c>
      <c r="E26" s="96">
        <v>0</v>
      </c>
      <c r="F26" s="96">
        <v>0</v>
      </c>
      <c r="G26" s="96">
        <v>0</v>
      </c>
      <c r="H26" s="96">
        <v>0</v>
      </c>
      <c r="I26" s="96">
        <v>0</v>
      </c>
      <c r="J26" s="96">
        <v>0</v>
      </c>
      <c r="K26" s="96">
        <v>0</v>
      </c>
      <c r="L26" s="96">
        <v>0</v>
      </c>
      <c r="M26" s="81">
        <f t="shared" si="0"/>
        <v>0</v>
      </c>
      <c r="N26" s="96">
        <f t="shared" si="1"/>
        <v>0</v>
      </c>
      <c r="O26" s="81">
        <f t="shared" si="2"/>
        <v>0</v>
      </c>
      <c r="P26" s="96">
        <f t="shared" si="3"/>
        <v>0</v>
      </c>
      <c r="Q26" s="81"/>
    </row>
    <row r="27" spans="1:17" ht="15" hidden="1" x14ac:dyDescent="0.25">
      <c r="A27">
        <f>مرتبات!A27</f>
        <v>0</v>
      </c>
      <c r="B27" s="147" t="str">
        <f>مرتبات!B27</f>
        <v>Spare</v>
      </c>
      <c r="C27" s="97">
        <v>0</v>
      </c>
      <c r="D27" s="97">
        <v>0</v>
      </c>
      <c r="E27" s="97">
        <v>0</v>
      </c>
      <c r="F27" s="97">
        <v>0</v>
      </c>
      <c r="G27" s="97">
        <v>0</v>
      </c>
      <c r="H27" s="97">
        <v>0</v>
      </c>
      <c r="I27" s="97">
        <v>0</v>
      </c>
      <c r="J27" s="97">
        <v>0</v>
      </c>
      <c r="K27" s="97">
        <v>0</v>
      </c>
      <c r="L27" s="97">
        <v>0</v>
      </c>
      <c r="M27" s="80">
        <f t="shared" si="0"/>
        <v>0</v>
      </c>
      <c r="N27" s="97">
        <f t="shared" si="1"/>
        <v>0</v>
      </c>
      <c r="O27" s="80">
        <f t="shared" si="2"/>
        <v>0</v>
      </c>
      <c r="P27" s="97">
        <f t="shared" si="3"/>
        <v>0</v>
      </c>
      <c r="Q27" s="80"/>
    </row>
    <row r="28" spans="1:17" ht="15" hidden="1" x14ac:dyDescent="0.25">
      <c r="A28">
        <f>مرتبات!A28</f>
        <v>0</v>
      </c>
      <c r="B28" s="82" t="str">
        <f>مرتبات!B28</f>
        <v>Spare</v>
      </c>
      <c r="C28" s="96">
        <v>0</v>
      </c>
      <c r="D28" s="96">
        <v>0</v>
      </c>
      <c r="E28" s="96">
        <v>0</v>
      </c>
      <c r="F28" s="96">
        <v>0</v>
      </c>
      <c r="G28" s="96">
        <v>0</v>
      </c>
      <c r="H28" s="96">
        <v>0</v>
      </c>
      <c r="I28" s="96">
        <v>0</v>
      </c>
      <c r="J28" s="96">
        <v>0</v>
      </c>
      <c r="K28" s="96">
        <v>0</v>
      </c>
      <c r="L28" s="96">
        <v>0</v>
      </c>
      <c r="M28" s="81">
        <f t="shared" si="0"/>
        <v>0</v>
      </c>
      <c r="N28" s="96">
        <f t="shared" si="1"/>
        <v>0</v>
      </c>
      <c r="O28" s="81">
        <f t="shared" si="2"/>
        <v>0</v>
      </c>
      <c r="P28" s="96">
        <f t="shared" si="3"/>
        <v>0</v>
      </c>
      <c r="Q28" s="81"/>
    </row>
    <row r="29" spans="1:17" ht="15" hidden="1" x14ac:dyDescent="0.25">
      <c r="A29">
        <f>مرتبات!A29</f>
        <v>0</v>
      </c>
      <c r="B29" s="147" t="str">
        <f>مرتبات!B29</f>
        <v>Spare</v>
      </c>
      <c r="C29" s="97">
        <v>0</v>
      </c>
      <c r="D29" s="97">
        <v>0</v>
      </c>
      <c r="E29" s="97">
        <v>0</v>
      </c>
      <c r="F29" s="97">
        <v>0</v>
      </c>
      <c r="G29" s="97">
        <v>0</v>
      </c>
      <c r="H29" s="97">
        <v>0</v>
      </c>
      <c r="I29" s="97">
        <v>0</v>
      </c>
      <c r="J29" s="97">
        <v>0</v>
      </c>
      <c r="K29" s="97">
        <v>0</v>
      </c>
      <c r="L29" s="97">
        <v>0</v>
      </c>
      <c r="M29" s="80">
        <f t="shared" si="0"/>
        <v>0</v>
      </c>
      <c r="N29" s="97">
        <f t="shared" si="1"/>
        <v>0</v>
      </c>
      <c r="O29" s="80">
        <f t="shared" si="2"/>
        <v>0</v>
      </c>
      <c r="P29" s="97">
        <f t="shared" si="3"/>
        <v>0</v>
      </c>
      <c r="Q29" s="80"/>
    </row>
    <row r="30" spans="1:17" ht="15" hidden="1" x14ac:dyDescent="0.25">
      <c r="A30">
        <f>مرتبات!A30</f>
        <v>0</v>
      </c>
      <c r="B30" s="82" t="str">
        <f>مرتبات!B30</f>
        <v>Spare</v>
      </c>
      <c r="C30" s="96">
        <v>0</v>
      </c>
      <c r="D30" s="96">
        <v>0</v>
      </c>
      <c r="E30" s="96">
        <v>0</v>
      </c>
      <c r="F30" s="96">
        <v>0</v>
      </c>
      <c r="G30" s="96">
        <v>0</v>
      </c>
      <c r="H30" s="96">
        <v>0</v>
      </c>
      <c r="I30" s="96">
        <v>0</v>
      </c>
      <c r="J30" s="96">
        <v>0</v>
      </c>
      <c r="K30" s="96">
        <v>0</v>
      </c>
      <c r="L30" s="96">
        <v>0</v>
      </c>
      <c r="M30" s="81">
        <f t="shared" si="0"/>
        <v>0</v>
      </c>
      <c r="N30" s="96">
        <f t="shared" si="1"/>
        <v>0</v>
      </c>
      <c r="O30" s="81">
        <f t="shared" si="2"/>
        <v>0</v>
      </c>
      <c r="P30" s="96">
        <f t="shared" si="3"/>
        <v>0</v>
      </c>
      <c r="Q30" s="81"/>
    </row>
    <row r="31" spans="1:17" ht="15" hidden="1" x14ac:dyDescent="0.25">
      <c r="A31">
        <f>مرتبات!A31</f>
        <v>0</v>
      </c>
      <c r="B31" s="147" t="str">
        <f>مرتبات!B31</f>
        <v>Spare</v>
      </c>
      <c r="C31" s="97">
        <v>0</v>
      </c>
      <c r="D31" s="97">
        <v>0</v>
      </c>
      <c r="E31" s="97">
        <v>0</v>
      </c>
      <c r="F31" s="97">
        <v>0</v>
      </c>
      <c r="G31" s="97">
        <v>0</v>
      </c>
      <c r="H31" s="97">
        <v>0</v>
      </c>
      <c r="I31" s="97">
        <v>0</v>
      </c>
      <c r="J31" s="97">
        <v>0</v>
      </c>
      <c r="K31" s="97">
        <v>0</v>
      </c>
      <c r="L31" s="97">
        <v>0</v>
      </c>
      <c r="M31" s="80">
        <f t="shared" si="0"/>
        <v>0</v>
      </c>
      <c r="N31" s="97">
        <f t="shared" si="1"/>
        <v>0</v>
      </c>
      <c r="O31" s="80">
        <f t="shared" si="2"/>
        <v>0</v>
      </c>
      <c r="P31" s="97">
        <f t="shared" si="3"/>
        <v>0</v>
      </c>
      <c r="Q31" s="80"/>
    </row>
    <row r="32" spans="1:17" ht="15" hidden="1" x14ac:dyDescent="0.25">
      <c r="A32">
        <f>مرتبات!A32</f>
        <v>0</v>
      </c>
      <c r="B32" s="82" t="str">
        <f>مرتبات!B32</f>
        <v>Spare</v>
      </c>
      <c r="C32" s="96">
        <v>0</v>
      </c>
      <c r="D32" s="96">
        <v>0</v>
      </c>
      <c r="E32" s="96">
        <v>0</v>
      </c>
      <c r="F32" s="96">
        <v>0</v>
      </c>
      <c r="G32" s="96">
        <v>0</v>
      </c>
      <c r="H32" s="96">
        <v>0</v>
      </c>
      <c r="I32" s="96">
        <v>0</v>
      </c>
      <c r="J32" s="96">
        <v>0</v>
      </c>
      <c r="K32" s="96">
        <v>0</v>
      </c>
      <c r="L32" s="96">
        <v>0</v>
      </c>
      <c r="M32" s="81">
        <f t="shared" si="0"/>
        <v>0</v>
      </c>
      <c r="N32" s="96">
        <f t="shared" si="1"/>
        <v>0</v>
      </c>
      <c r="O32" s="81">
        <f t="shared" si="2"/>
        <v>0</v>
      </c>
      <c r="P32" s="96">
        <f t="shared" si="3"/>
        <v>0</v>
      </c>
      <c r="Q32" s="81"/>
    </row>
    <row r="33" spans="1:17" ht="15" x14ac:dyDescent="0.25">
      <c r="A33">
        <f>مرتبات!A33</f>
        <v>8</v>
      </c>
      <c r="B33" s="147" t="str">
        <f>مرتبات!B33</f>
        <v>أ/أحمد سيف الدين أبو بكر سري الدين</v>
      </c>
      <c r="C33" s="97">
        <v>0</v>
      </c>
      <c r="D33" s="97">
        <v>0</v>
      </c>
      <c r="E33" s="97">
        <v>0</v>
      </c>
      <c r="F33" s="97">
        <v>0</v>
      </c>
      <c r="G33" s="97">
        <v>0</v>
      </c>
      <c r="H33" s="97">
        <v>0</v>
      </c>
      <c r="I33" s="97">
        <v>0</v>
      </c>
      <c r="J33" s="97">
        <v>0</v>
      </c>
      <c r="K33" s="97">
        <v>0</v>
      </c>
      <c r="L33" s="97">
        <v>0</v>
      </c>
      <c r="M33" s="80">
        <f t="shared" si="0"/>
        <v>0</v>
      </c>
      <c r="N33" s="97">
        <f t="shared" si="1"/>
        <v>0</v>
      </c>
      <c r="O33" s="80">
        <f t="shared" si="2"/>
        <v>0</v>
      </c>
      <c r="P33" s="97">
        <f t="shared" si="3"/>
        <v>0</v>
      </c>
      <c r="Q33" s="80"/>
    </row>
    <row r="34" spans="1:17" ht="15" x14ac:dyDescent="0.25">
      <c r="A34">
        <f>مرتبات!A34</f>
        <v>9</v>
      </c>
      <c r="B34" s="82" t="str">
        <f>مرتبات!B34</f>
        <v>أ/هاني أحمد الدالي</v>
      </c>
      <c r="C34" s="96">
        <v>0</v>
      </c>
      <c r="D34" s="96">
        <v>0</v>
      </c>
      <c r="E34" s="96">
        <v>0</v>
      </c>
      <c r="F34" s="96">
        <v>0</v>
      </c>
      <c r="G34" s="96">
        <v>0</v>
      </c>
      <c r="H34" s="96">
        <v>0</v>
      </c>
      <c r="I34" s="96">
        <v>0</v>
      </c>
      <c r="J34" s="96">
        <v>0</v>
      </c>
      <c r="K34" s="96">
        <v>0</v>
      </c>
      <c r="L34" s="96">
        <v>0</v>
      </c>
      <c r="M34" s="81">
        <f t="shared" si="0"/>
        <v>0</v>
      </c>
      <c r="N34" s="96">
        <f t="shared" si="1"/>
        <v>0</v>
      </c>
      <c r="O34" s="81">
        <f t="shared" si="2"/>
        <v>0</v>
      </c>
      <c r="P34" s="96">
        <f t="shared" si="3"/>
        <v>0</v>
      </c>
      <c r="Q34" s="81"/>
    </row>
    <row r="35" spans="1:17" ht="15" x14ac:dyDescent="0.25">
      <c r="A35">
        <f>مرتبات!A35</f>
        <v>10</v>
      </c>
      <c r="B35" s="147" t="str">
        <f>مرتبات!B35</f>
        <v>أ/عبدالرحمن أحمد عبدالعزيز حسن</v>
      </c>
      <c r="C35" s="97">
        <v>0</v>
      </c>
      <c r="D35" s="97">
        <v>0</v>
      </c>
      <c r="E35" s="97">
        <v>0</v>
      </c>
      <c r="F35" s="97">
        <v>0</v>
      </c>
      <c r="G35" s="97">
        <v>0</v>
      </c>
      <c r="H35" s="97">
        <v>0</v>
      </c>
      <c r="I35" s="97">
        <v>0</v>
      </c>
      <c r="J35" s="97">
        <v>0</v>
      </c>
      <c r="K35" s="97">
        <v>0</v>
      </c>
      <c r="L35" s="97">
        <v>0</v>
      </c>
      <c r="M35" s="80">
        <f t="shared" si="0"/>
        <v>0</v>
      </c>
      <c r="N35" s="97">
        <f t="shared" si="1"/>
        <v>0</v>
      </c>
      <c r="O35" s="80">
        <f t="shared" si="2"/>
        <v>0</v>
      </c>
      <c r="P35" s="97">
        <f t="shared" si="3"/>
        <v>0</v>
      </c>
      <c r="Q35" s="80"/>
    </row>
    <row r="36" spans="1:17" ht="15" hidden="1" x14ac:dyDescent="0.25">
      <c r="A36">
        <f>مرتبات!A36</f>
        <v>0</v>
      </c>
      <c r="B36" s="82" t="str">
        <f>مرتبات!B36</f>
        <v>Spare</v>
      </c>
      <c r="C36" s="96">
        <v>0</v>
      </c>
      <c r="D36" s="96">
        <v>0</v>
      </c>
      <c r="E36" s="96">
        <v>0</v>
      </c>
      <c r="F36" s="96">
        <v>0</v>
      </c>
      <c r="G36" s="96">
        <v>0</v>
      </c>
      <c r="H36" s="96">
        <v>0</v>
      </c>
      <c r="I36" s="96">
        <v>0</v>
      </c>
      <c r="J36" s="96">
        <v>0</v>
      </c>
      <c r="K36" s="96">
        <v>0</v>
      </c>
      <c r="L36" s="96">
        <v>0</v>
      </c>
      <c r="M36" s="81">
        <f t="shared" si="0"/>
        <v>0</v>
      </c>
      <c r="N36" s="96">
        <f t="shared" si="1"/>
        <v>0</v>
      </c>
      <c r="O36" s="81">
        <f t="shared" si="2"/>
        <v>0</v>
      </c>
      <c r="P36" s="96">
        <f t="shared" si="3"/>
        <v>0</v>
      </c>
      <c r="Q36" s="81"/>
    </row>
    <row r="37" spans="1:17" ht="15" hidden="1" x14ac:dyDescent="0.25">
      <c r="A37">
        <f>مرتبات!A37</f>
        <v>0</v>
      </c>
      <c r="B37" s="147" t="str">
        <f>مرتبات!B37</f>
        <v>Spare</v>
      </c>
      <c r="C37" s="97">
        <v>0</v>
      </c>
      <c r="D37" s="97">
        <v>0</v>
      </c>
      <c r="E37" s="97">
        <v>0</v>
      </c>
      <c r="F37" s="97">
        <v>0</v>
      </c>
      <c r="G37" s="97">
        <v>0</v>
      </c>
      <c r="H37" s="97">
        <v>0</v>
      </c>
      <c r="I37" s="97">
        <v>0</v>
      </c>
      <c r="J37" s="97">
        <v>0</v>
      </c>
      <c r="K37" s="97">
        <v>0</v>
      </c>
      <c r="L37" s="97">
        <v>0</v>
      </c>
      <c r="M37" s="80">
        <f t="shared" si="0"/>
        <v>0</v>
      </c>
      <c r="N37" s="97">
        <f t="shared" si="1"/>
        <v>0</v>
      </c>
      <c r="O37" s="80">
        <f t="shared" si="2"/>
        <v>0</v>
      </c>
      <c r="P37" s="97">
        <f t="shared" si="3"/>
        <v>0</v>
      </c>
      <c r="Q37" s="80"/>
    </row>
    <row r="38" spans="1:17" ht="15" hidden="1" x14ac:dyDescent="0.25">
      <c r="A38">
        <f>مرتبات!A38</f>
        <v>0</v>
      </c>
      <c r="B38" s="82" t="str">
        <f>مرتبات!B38</f>
        <v>Spare</v>
      </c>
      <c r="C38" s="96">
        <v>0</v>
      </c>
      <c r="D38" s="96">
        <v>0</v>
      </c>
      <c r="E38" s="96">
        <v>0</v>
      </c>
      <c r="F38" s="96">
        <v>0</v>
      </c>
      <c r="G38" s="96">
        <v>0</v>
      </c>
      <c r="H38" s="96">
        <v>0</v>
      </c>
      <c r="I38" s="96">
        <v>0</v>
      </c>
      <c r="J38" s="96">
        <v>0</v>
      </c>
      <c r="K38" s="96">
        <v>0</v>
      </c>
      <c r="L38" s="96">
        <v>0</v>
      </c>
      <c r="M38" s="81">
        <f t="shared" si="0"/>
        <v>0</v>
      </c>
      <c r="N38" s="96">
        <f t="shared" si="1"/>
        <v>0</v>
      </c>
      <c r="O38" s="81">
        <f t="shared" si="2"/>
        <v>0</v>
      </c>
      <c r="P38" s="96">
        <f t="shared" si="3"/>
        <v>0</v>
      </c>
      <c r="Q38" s="81"/>
    </row>
    <row r="39" spans="1:17" ht="15" hidden="1" x14ac:dyDescent="0.25">
      <c r="A39">
        <f>مرتبات!A39</f>
        <v>0</v>
      </c>
      <c r="B39" s="147" t="str">
        <f>مرتبات!B39</f>
        <v>Spare</v>
      </c>
      <c r="C39" s="97">
        <v>0</v>
      </c>
      <c r="D39" s="97">
        <v>0</v>
      </c>
      <c r="E39" s="97">
        <v>0</v>
      </c>
      <c r="F39" s="97">
        <v>0</v>
      </c>
      <c r="G39" s="97">
        <v>0</v>
      </c>
      <c r="H39" s="97">
        <v>0</v>
      </c>
      <c r="I39" s="97">
        <v>0</v>
      </c>
      <c r="J39" s="97">
        <v>0</v>
      </c>
      <c r="K39" s="97">
        <v>0</v>
      </c>
      <c r="L39" s="97">
        <v>0</v>
      </c>
      <c r="M39" s="80">
        <f t="shared" si="0"/>
        <v>0</v>
      </c>
      <c r="N39" s="97">
        <f t="shared" si="1"/>
        <v>0</v>
      </c>
      <c r="O39" s="80">
        <f t="shared" si="2"/>
        <v>0</v>
      </c>
      <c r="P39" s="97">
        <f t="shared" si="3"/>
        <v>0</v>
      </c>
      <c r="Q39" s="80"/>
    </row>
    <row r="40" spans="1:17" ht="15" hidden="1" x14ac:dyDescent="0.25">
      <c r="A40">
        <f>مرتبات!A40</f>
        <v>0</v>
      </c>
      <c r="B40" s="82" t="str">
        <f>مرتبات!B40</f>
        <v>Spare</v>
      </c>
      <c r="C40" s="96">
        <v>0</v>
      </c>
      <c r="D40" s="96">
        <v>0</v>
      </c>
      <c r="E40" s="96">
        <v>0</v>
      </c>
      <c r="F40" s="96">
        <v>0</v>
      </c>
      <c r="G40" s="96">
        <v>0</v>
      </c>
      <c r="H40" s="96">
        <v>0</v>
      </c>
      <c r="I40" s="96">
        <v>0</v>
      </c>
      <c r="J40" s="96">
        <v>0</v>
      </c>
      <c r="K40" s="96">
        <v>0</v>
      </c>
      <c r="L40" s="96">
        <v>0</v>
      </c>
      <c r="M40" s="81">
        <f t="shared" si="0"/>
        <v>0</v>
      </c>
      <c r="N40" s="96">
        <f t="shared" si="1"/>
        <v>0</v>
      </c>
      <c r="O40" s="81">
        <f t="shared" si="2"/>
        <v>0</v>
      </c>
      <c r="P40" s="96">
        <f t="shared" si="3"/>
        <v>0</v>
      </c>
      <c r="Q40" s="81"/>
    </row>
    <row r="41" spans="1:17" ht="15" hidden="1" x14ac:dyDescent="0.25">
      <c r="A41">
        <f>مرتبات!A41</f>
        <v>0</v>
      </c>
      <c r="B41" s="147" t="str">
        <f>مرتبات!B41</f>
        <v>Spare</v>
      </c>
      <c r="C41" s="97">
        <v>0</v>
      </c>
      <c r="D41" s="97">
        <v>0</v>
      </c>
      <c r="E41" s="97">
        <v>0</v>
      </c>
      <c r="F41" s="97">
        <v>0</v>
      </c>
      <c r="G41" s="97">
        <v>0</v>
      </c>
      <c r="H41" s="97">
        <v>0</v>
      </c>
      <c r="I41" s="97">
        <v>0</v>
      </c>
      <c r="J41" s="97">
        <v>0</v>
      </c>
      <c r="K41" s="97">
        <v>0</v>
      </c>
      <c r="L41" s="97">
        <v>0</v>
      </c>
      <c r="M41" s="80">
        <f t="shared" si="0"/>
        <v>0</v>
      </c>
      <c r="N41" s="97">
        <f t="shared" si="1"/>
        <v>0</v>
      </c>
      <c r="O41" s="80">
        <f t="shared" si="2"/>
        <v>0</v>
      </c>
      <c r="P41" s="97">
        <f t="shared" si="3"/>
        <v>0</v>
      </c>
      <c r="Q41" s="80"/>
    </row>
    <row r="42" spans="1:17" ht="15" hidden="1" x14ac:dyDescent="0.25">
      <c r="A42">
        <f>مرتبات!A42</f>
        <v>0</v>
      </c>
      <c r="B42" s="82" t="str">
        <f>مرتبات!B42</f>
        <v>Spare</v>
      </c>
      <c r="C42" s="96">
        <v>0</v>
      </c>
      <c r="D42" s="96">
        <v>0</v>
      </c>
      <c r="E42" s="96">
        <v>0</v>
      </c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0</v>
      </c>
      <c r="L42" s="96">
        <v>0</v>
      </c>
      <c r="M42" s="81">
        <f t="shared" si="0"/>
        <v>0</v>
      </c>
      <c r="N42" s="96">
        <f t="shared" si="1"/>
        <v>0</v>
      </c>
      <c r="O42" s="81">
        <f t="shared" si="2"/>
        <v>0</v>
      </c>
      <c r="P42" s="96">
        <f t="shared" si="3"/>
        <v>0</v>
      </c>
      <c r="Q42" s="81"/>
    </row>
    <row r="43" spans="1:17" ht="15" hidden="1" x14ac:dyDescent="0.25">
      <c r="A43">
        <f>مرتبات!A43</f>
        <v>0</v>
      </c>
      <c r="B43" s="147" t="str">
        <f>مرتبات!B43</f>
        <v>Spare</v>
      </c>
      <c r="C43" s="97">
        <v>0</v>
      </c>
      <c r="D43" s="97">
        <v>0</v>
      </c>
      <c r="E43" s="97">
        <v>0</v>
      </c>
      <c r="F43" s="97">
        <v>0</v>
      </c>
      <c r="G43" s="97">
        <v>0</v>
      </c>
      <c r="H43" s="97">
        <v>0</v>
      </c>
      <c r="I43" s="97">
        <v>0</v>
      </c>
      <c r="J43" s="97">
        <v>0</v>
      </c>
      <c r="K43" s="97">
        <v>0</v>
      </c>
      <c r="L43" s="97">
        <v>0</v>
      </c>
      <c r="M43" s="80">
        <f t="shared" si="0"/>
        <v>0</v>
      </c>
      <c r="N43" s="97">
        <f t="shared" si="1"/>
        <v>0</v>
      </c>
      <c r="O43" s="80">
        <f t="shared" si="2"/>
        <v>0</v>
      </c>
      <c r="P43" s="97">
        <f t="shared" si="3"/>
        <v>0</v>
      </c>
      <c r="Q43" s="80"/>
    </row>
    <row r="44" spans="1:17" ht="15" hidden="1" x14ac:dyDescent="0.25">
      <c r="A44">
        <f>مرتبات!A44</f>
        <v>0</v>
      </c>
      <c r="B44" s="82" t="str">
        <f>مرتبات!B44</f>
        <v>Spare</v>
      </c>
      <c r="C44" s="96">
        <v>0</v>
      </c>
      <c r="D44" s="96">
        <v>0</v>
      </c>
      <c r="E44" s="96">
        <v>0</v>
      </c>
      <c r="F44" s="96">
        <v>0</v>
      </c>
      <c r="G44" s="96">
        <v>0</v>
      </c>
      <c r="H44" s="96">
        <v>0</v>
      </c>
      <c r="I44" s="96">
        <v>0</v>
      </c>
      <c r="J44" s="96">
        <v>0</v>
      </c>
      <c r="K44" s="96">
        <v>0</v>
      </c>
      <c r="L44" s="96">
        <v>0</v>
      </c>
      <c r="M44" s="81">
        <f t="shared" si="0"/>
        <v>0</v>
      </c>
      <c r="N44" s="96">
        <f t="shared" si="1"/>
        <v>0</v>
      </c>
      <c r="O44" s="81">
        <f t="shared" si="2"/>
        <v>0</v>
      </c>
      <c r="P44" s="96">
        <f t="shared" si="3"/>
        <v>0</v>
      </c>
      <c r="Q44" s="81"/>
    </row>
    <row r="45" spans="1:17" ht="15" x14ac:dyDescent="0.25">
      <c r="A45">
        <f>مرتبات!A45</f>
        <v>11</v>
      </c>
      <c r="B45" s="147" t="str">
        <f>مرتبات!B45</f>
        <v>أ/حبيبة محمود سمير محمود عيسى</v>
      </c>
      <c r="C45" s="97">
        <v>0</v>
      </c>
      <c r="D45" s="97">
        <v>0</v>
      </c>
      <c r="E45" s="97">
        <v>0</v>
      </c>
      <c r="F45" s="97">
        <v>0</v>
      </c>
      <c r="G45" s="97">
        <v>0</v>
      </c>
      <c r="H45" s="156">
        <v>0</v>
      </c>
      <c r="I45" s="97">
        <v>0</v>
      </c>
      <c r="J45" s="97">
        <v>0</v>
      </c>
      <c r="K45" s="97">
        <v>0</v>
      </c>
      <c r="L45" s="97">
        <v>0</v>
      </c>
      <c r="M45" s="80">
        <f t="shared" si="0"/>
        <v>0</v>
      </c>
      <c r="N45" s="97">
        <f t="shared" si="1"/>
        <v>0</v>
      </c>
      <c r="O45" s="80">
        <f t="shared" si="2"/>
        <v>0</v>
      </c>
      <c r="P45" s="97">
        <f t="shared" si="3"/>
        <v>0</v>
      </c>
      <c r="Q45" s="176" t="s">
        <v>152</v>
      </c>
    </row>
    <row r="46" spans="1:17" ht="15" x14ac:dyDescent="0.25">
      <c r="A46">
        <f>مرتبات!A46</f>
        <v>12</v>
      </c>
      <c r="B46" s="82" t="str">
        <f>مرتبات!B46</f>
        <v>أ/احمد ابو العباس محمد الاتربي</v>
      </c>
      <c r="C46" s="96">
        <v>0</v>
      </c>
      <c r="D46" s="96">
        <v>0</v>
      </c>
      <c r="E46" s="96">
        <v>0</v>
      </c>
      <c r="F46" s="96">
        <v>0</v>
      </c>
      <c r="G46" s="96">
        <v>0</v>
      </c>
      <c r="H46" s="96">
        <v>0</v>
      </c>
      <c r="I46" s="96">
        <v>0</v>
      </c>
      <c r="J46" s="96">
        <v>0</v>
      </c>
      <c r="K46" s="96">
        <v>0</v>
      </c>
      <c r="L46" s="96">
        <v>0</v>
      </c>
      <c r="M46" s="81">
        <f t="shared" si="0"/>
        <v>0</v>
      </c>
      <c r="N46" s="96">
        <f t="shared" si="1"/>
        <v>0</v>
      </c>
      <c r="O46" s="81">
        <f t="shared" si="2"/>
        <v>0</v>
      </c>
      <c r="P46" s="96">
        <f t="shared" si="3"/>
        <v>0</v>
      </c>
      <c r="Q46" s="81"/>
    </row>
    <row r="47" spans="1:17" ht="15" x14ac:dyDescent="0.25">
      <c r="A47">
        <f>مرتبات!A47</f>
        <v>13</v>
      </c>
      <c r="B47" s="147" t="str">
        <f>مرتبات!B47</f>
        <v>أ/ليلي امين محمد امين طموم</v>
      </c>
      <c r="C47" s="97">
        <v>0</v>
      </c>
      <c r="D47" s="97">
        <v>0</v>
      </c>
      <c r="E47" s="97">
        <v>0</v>
      </c>
      <c r="F47" s="97">
        <v>0</v>
      </c>
      <c r="G47" s="97">
        <v>0</v>
      </c>
      <c r="H47" s="97">
        <v>0</v>
      </c>
      <c r="I47" s="97">
        <v>0</v>
      </c>
      <c r="J47" s="97">
        <v>0</v>
      </c>
      <c r="K47" s="97">
        <v>0</v>
      </c>
      <c r="L47" s="97">
        <v>0</v>
      </c>
      <c r="M47" s="80">
        <f t="shared" si="0"/>
        <v>0</v>
      </c>
      <c r="N47" s="97">
        <f t="shared" si="1"/>
        <v>0</v>
      </c>
      <c r="O47" s="80">
        <f t="shared" si="2"/>
        <v>0</v>
      </c>
      <c r="P47" s="97">
        <f t="shared" si="3"/>
        <v>0</v>
      </c>
      <c r="Q47" s="80"/>
    </row>
    <row r="48" spans="1:17" ht="15" x14ac:dyDescent="0.25">
      <c r="A48">
        <f>مرتبات!A48</f>
        <v>14</v>
      </c>
      <c r="B48" s="82" t="str">
        <f>مرتبات!B48</f>
        <v>أ/كريم ايمن محمد عادل</v>
      </c>
      <c r="C48" s="96">
        <v>0</v>
      </c>
      <c r="D48" s="96">
        <v>0</v>
      </c>
      <c r="E48" s="96">
        <v>0</v>
      </c>
      <c r="F48" s="96">
        <v>0</v>
      </c>
      <c r="G48" s="96">
        <v>0</v>
      </c>
      <c r="H48" s="96">
        <v>0</v>
      </c>
      <c r="I48" s="96">
        <v>0</v>
      </c>
      <c r="J48" s="96">
        <v>0</v>
      </c>
      <c r="K48" s="96">
        <v>0</v>
      </c>
      <c r="L48" s="96">
        <v>0</v>
      </c>
      <c r="M48" s="81">
        <f t="shared" si="0"/>
        <v>0</v>
      </c>
      <c r="N48" s="96">
        <f t="shared" si="1"/>
        <v>0</v>
      </c>
      <c r="O48" s="81">
        <f t="shared" si="2"/>
        <v>0</v>
      </c>
      <c r="P48" s="96">
        <f t="shared" si="3"/>
        <v>0</v>
      </c>
      <c r="Q48" s="81"/>
    </row>
    <row r="49" spans="1:17" ht="15" x14ac:dyDescent="0.25">
      <c r="A49">
        <f>مرتبات!A49</f>
        <v>15</v>
      </c>
      <c r="B49" s="147" t="str">
        <f>مرتبات!B49</f>
        <v>عمرو محمد عبدالحليم أبو سليم</v>
      </c>
      <c r="C49" s="97">
        <v>0</v>
      </c>
      <c r="D49" s="97">
        <v>0</v>
      </c>
      <c r="E49" s="97">
        <v>0</v>
      </c>
      <c r="F49" s="97">
        <v>0</v>
      </c>
      <c r="G49" s="97">
        <v>0</v>
      </c>
      <c r="H49" s="97">
        <v>0</v>
      </c>
      <c r="I49" s="97">
        <v>0</v>
      </c>
      <c r="J49" s="97">
        <v>0</v>
      </c>
      <c r="K49" s="97">
        <v>0</v>
      </c>
      <c r="L49" s="97">
        <v>0</v>
      </c>
      <c r="M49" s="80">
        <f t="shared" si="0"/>
        <v>0</v>
      </c>
      <c r="N49" s="97">
        <f t="shared" si="1"/>
        <v>0</v>
      </c>
      <c r="O49" s="80">
        <f t="shared" si="2"/>
        <v>0</v>
      </c>
      <c r="P49" s="97">
        <f t="shared" si="3"/>
        <v>0</v>
      </c>
      <c r="Q49" s="80"/>
    </row>
    <row r="50" spans="1:17" ht="15" hidden="1" x14ac:dyDescent="0.25">
      <c r="A50">
        <f>مرتبات!A50</f>
        <v>0</v>
      </c>
      <c r="B50" s="82" t="str">
        <f>مرتبات!B50</f>
        <v>Spare</v>
      </c>
      <c r="C50" s="96">
        <v>0</v>
      </c>
      <c r="D50" s="96">
        <v>0</v>
      </c>
      <c r="E50" s="96">
        <v>0</v>
      </c>
      <c r="F50" s="96">
        <v>0</v>
      </c>
      <c r="G50" s="96">
        <v>0</v>
      </c>
      <c r="H50" s="96">
        <v>0</v>
      </c>
      <c r="I50" s="96">
        <v>0</v>
      </c>
      <c r="J50" s="96">
        <v>0</v>
      </c>
      <c r="K50" s="96">
        <v>0</v>
      </c>
      <c r="L50" s="96">
        <v>0</v>
      </c>
      <c r="M50" s="81">
        <f t="shared" si="0"/>
        <v>0</v>
      </c>
      <c r="N50" s="96">
        <f t="shared" si="1"/>
        <v>0</v>
      </c>
      <c r="O50" s="81">
        <f t="shared" si="2"/>
        <v>0</v>
      </c>
      <c r="P50" s="96">
        <f t="shared" si="3"/>
        <v>0</v>
      </c>
      <c r="Q50" s="81"/>
    </row>
    <row r="51" spans="1:17" ht="15" hidden="1" x14ac:dyDescent="0.25">
      <c r="A51">
        <f>مرتبات!A51</f>
        <v>0</v>
      </c>
      <c r="B51" s="147" t="str">
        <f>مرتبات!B51</f>
        <v>Spare</v>
      </c>
      <c r="C51" s="97">
        <v>0</v>
      </c>
      <c r="D51" s="97">
        <v>0</v>
      </c>
      <c r="E51" s="97">
        <v>0</v>
      </c>
      <c r="F51" s="97">
        <v>0</v>
      </c>
      <c r="G51" s="97">
        <v>0</v>
      </c>
      <c r="H51" s="97">
        <v>0</v>
      </c>
      <c r="I51" s="97">
        <v>0</v>
      </c>
      <c r="J51" s="97">
        <v>0</v>
      </c>
      <c r="K51" s="97">
        <v>0</v>
      </c>
      <c r="L51" s="97">
        <v>0</v>
      </c>
      <c r="M51" s="80">
        <f t="shared" si="0"/>
        <v>0</v>
      </c>
      <c r="N51" s="97">
        <f t="shared" si="1"/>
        <v>0</v>
      </c>
      <c r="O51" s="80">
        <f t="shared" si="2"/>
        <v>0</v>
      </c>
      <c r="P51" s="97">
        <f t="shared" si="3"/>
        <v>0</v>
      </c>
      <c r="Q51" s="80"/>
    </row>
    <row r="52" spans="1:17" ht="15" hidden="1" x14ac:dyDescent="0.25">
      <c r="A52">
        <f>مرتبات!A52</f>
        <v>0</v>
      </c>
      <c r="B52" s="82" t="str">
        <f>مرتبات!B52</f>
        <v>Spare</v>
      </c>
      <c r="C52" s="96">
        <v>0</v>
      </c>
      <c r="D52" s="96">
        <v>0</v>
      </c>
      <c r="E52" s="96">
        <v>0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6">
        <v>0</v>
      </c>
      <c r="L52" s="96">
        <v>0</v>
      </c>
      <c r="M52" s="81">
        <f t="shared" si="0"/>
        <v>0</v>
      </c>
      <c r="N52" s="96">
        <f t="shared" si="1"/>
        <v>0</v>
      </c>
      <c r="O52" s="81">
        <f t="shared" si="2"/>
        <v>0</v>
      </c>
      <c r="P52" s="96">
        <f t="shared" si="3"/>
        <v>0</v>
      </c>
      <c r="Q52" s="81"/>
    </row>
    <row r="53" spans="1:17" ht="15" hidden="1" x14ac:dyDescent="0.25">
      <c r="A53">
        <f>مرتبات!A53</f>
        <v>0</v>
      </c>
      <c r="B53" s="147" t="str">
        <f>مرتبات!B53</f>
        <v>Spare</v>
      </c>
      <c r="C53" s="97">
        <v>0</v>
      </c>
      <c r="D53" s="97">
        <v>0</v>
      </c>
      <c r="E53" s="97">
        <v>0</v>
      </c>
      <c r="F53" s="97">
        <v>0</v>
      </c>
      <c r="G53" s="97">
        <v>0</v>
      </c>
      <c r="H53" s="97">
        <v>0</v>
      </c>
      <c r="I53" s="97">
        <v>0</v>
      </c>
      <c r="J53" s="97">
        <v>0</v>
      </c>
      <c r="K53" s="97">
        <v>0</v>
      </c>
      <c r="L53" s="97">
        <v>0</v>
      </c>
      <c r="M53" s="80">
        <f t="shared" si="0"/>
        <v>0</v>
      </c>
      <c r="N53" s="97">
        <f t="shared" si="1"/>
        <v>0</v>
      </c>
      <c r="O53" s="80">
        <f t="shared" si="2"/>
        <v>0</v>
      </c>
      <c r="P53" s="97">
        <f t="shared" si="3"/>
        <v>0</v>
      </c>
      <c r="Q53" s="80"/>
    </row>
    <row r="54" spans="1:17" ht="15" hidden="1" x14ac:dyDescent="0.25">
      <c r="A54">
        <f>مرتبات!A54</f>
        <v>0</v>
      </c>
      <c r="B54" s="82" t="str">
        <f>مرتبات!B54</f>
        <v>Spare</v>
      </c>
      <c r="C54" s="96">
        <v>0</v>
      </c>
      <c r="D54" s="96">
        <v>0</v>
      </c>
      <c r="E54" s="96"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6">
        <v>0</v>
      </c>
      <c r="L54" s="96">
        <v>0</v>
      </c>
      <c r="M54" s="81">
        <f t="shared" si="0"/>
        <v>0</v>
      </c>
      <c r="N54" s="96">
        <f t="shared" si="1"/>
        <v>0</v>
      </c>
      <c r="O54" s="81">
        <f t="shared" si="2"/>
        <v>0</v>
      </c>
      <c r="P54" s="96">
        <f t="shared" si="3"/>
        <v>0</v>
      </c>
      <c r="Q54" s="81"/>
    </row>
    <row r="55" spans="1:17" ht="15" hidden="1" x14ac:dyDescent="0.25">
      <c r="A55">
        <f>مرتبات!A55</f>
        <v>0</v>
      </c>
      <c r="B55" s="147" t="str">
        <f>مرتبات!B55</f>
        <v>Spare</v>
      </c>
      <c r="C55" s="97">
        <v>0</v>
      </c>
      <c r="D55" s="97">
        <v>0</v>
      </c>
      <c r="E55" s="97">
        <v>0</v>
      </c>
      <c r="F55" s="97">
        <v>0</v>
      </c>
      <c r="G55" s="97">
        <v>0</v>
      </c>
      <c r="H55" s="97">
        <v>0</v>
      </c>
      <c r="I55" s="97">
        <v>0</v>
      </c>
      <c r="J55" s="97">
        <v>0</v>
      </c>
      <c r="K55" s="97">
        <v>0</v>
      </c>
      <c r="L55" s="97">
        <v>0</v>
      </c>
      <c r="M55" s="80">
        <f t="shared" si="0"/>
        <v>0</v>
      </c>
      <c r="N55" s="97">
        <f t="shared" si="1"/>
        <v>0</v>
      </c>
      <c r="O55" s="80">
        <f t="shared" si="2"/>
        <v>0</v>
      </c>
      <c r="P55" s="97">
        <f t="shared" si="3"/>
        <v>0</v>
      </c>
      <c r="Q55" s="80"/>
    </row>
    <row r="56" spans="1:17" ht="15.6" x14ac:dyDescent="0.3">
      <c r="A56">
        <f>مرتبات!A56</f>
        <v>15</v>
      </c>
      <c r="B56" s="146" t="s">
        <v>89</v>
      </c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65"/>
      <c r="O56" s="146"/>
      <c r="P56" s="165"/>
      <c r="Q56" s="146"/>
    </row>
    <row r="57" spans="1:17" ht="15" x14ac:dyDescent="0.25">
      <c r="A57">
        <f>مرتبات!A57</f>
        <v>1</v>
      </c>
      <c r="B57" s="147" t="str">
        <f>مرتبات!B57</f>
        <v>أ/دعاء عبد الدايم إبراهيم نصار</v>
      </c>
      <c r="C57" s="97">
        <v>0</v>
      </c>
      <c r="D57" s="97">
        <v>0</v>
      </c>
      <c r="E57" s="97">
        <v>0</v>
      </c>
      <c r="F57" s="97">
        <v>0</v>
      </c>
      <c r="G57" s="97">
        <v>0</v>
      </c>
      <c r="H57" s="97">
        <v>0</v>
      </c>
      <c r="I57" s="97">
        <v>0</v>
      </c>
      <c r="J57" s="97">
        <v>0</v>
      </c>
      <c r="K57" s="97">
        <v>0</v>
      </c>
      <c r="L57" s="97">
        <v>0</v>
      </c>
      <c r="M57" s="80">
        <f t="shared" si="0"/>
        <v>0</v>
      </c>
      <c r="N57" s="97">
        <f t="shared" si="1"/>
        <v>0</v>
      </c>
      <c r="O57" s="80">
        <f t="shared" si="2"/>
        <v>0</v>
      </c>
      <c r="P57" s="97">
        <f t="shared" si="3"/>
        <v>0</v>
      </c>
      <c r="Q57" s="80"/>
    </row>
    <row r="58" spans="1:17" ht="15" x14ac:dyDescent="0.25">
      <c r="A58">
        <f>مرتبات!A58</f>
        <v>2</v>
      </c>
      <c r="B58" s="82" t="str">
        <f>مرتبات!B58</f>
        <v>أ/أحمد محمد رزق</v>
      </c>
      <c r="C58" s="96">
        <v>0</v>
      </c>
      <c r="D58" s="96">
        <v>0</v>
      </c>
      <c r="E58" s="96">
        <v>0</v>
      </c>
      <c r="F58" s="96">
        <v>0</v>
      </c>
      <c r="G58" s="96">
        <v>0</v>
      </c>
      <c r="H58" s="96">
        <v>0</v>
      </c>
      <c r="I58" s="155">
        <v>0</v>
      </c>
      <c r="J58" s="96">
        <v>0</v>
      </c>
      <c r="K58" s="96">
        <v>0</v>
      </c>
      <c r="L58" s="96">
        <v>0</v>
      </c>
      <c r="M58" s="81">
        <f t="shared" si="0"/>
        <v>0</v>
      </c>
      <c r="N58" s="96">
        <f t="shared" si="1"/>
        <v>0</v>
      </c>
      <c r="O58" s="81">
        <f t="shared" si="2"/>
        <v>0</v>
      </c>
      <c r="P58" s="96">
        <f t="shared" si="3"/>
        <v>0</v>
      </c>
      <c r="Q58" s="81"/>
    </row>
    <row r="59" spans="1:17" ht="15" hidden="1" x14ac:dyDescent="0.25">
      <c r="A59">
        <f>مرتبات!A59</f>
        <v>0</v>
      </c>
      <c r="B59" s="147" t="str">
        <f>مرتبات!B59</f>
        <v>Manager Spare</v>
      </c>
      <c r="C59" s="97">
        <v>0</v>
      </c>
      <c r="D59" s="97">
        <v>0</v>
      </c>
      <c r="E59" s="97">
        <v>0</v>
      </c>
      <c r="F59" s="97">
        <v>0</v>
      </c>
      <c r="G59" s="97">
        <v>0</v>
      </c>
      <c r="H59" s="97">
        <v>0</v>
      </c>
      <c r="I59" s="97">
        <v>0</v>
      </c>
      <c r="J59" s="97">
        <v>0</v>
      </c>
      <c r="K59" s="97">
        <v>0</v>
      </c>
      <c r="L59" s="97">
        <v>0</v>
      </c>
      <c r="M59" s="80">
        <f t="shared" si="0"/>
        <v>0</v>
      </c>
      <c r="N59" s="97">
        <f t="shared" si="1"/>
        <v>0</v>
      </c>
      <c r="O59" s="80">
        <f t="shared" si="2"/>
        <v>0</v>
      </c>
      <c r="P59" s="97">
        <f t="shared" si="3"/>
        <v>0</v>
      </c>
      <c r="Q59" s="80"/>
    </row>
    <row r="60" spans="1:17" ht="15" hidden="1" x14ac:dyDescent="0.25">
      <c r="A60">
        <f>مرتبات!A60</f>
        <v>0</v>
      </c>
      <c r="B60" s="82" t="str">
        <f>مرتبات!B60</f>
        <v>Manager Spare</v>
      </c>
      <c r="C60" s="96">
        <v>0</v>
      </c>
      <c r="D60" s="96">
        <v>0</v>
      </c>
      <c r="E60" s="96">
        <v>0</v>
      </c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6">
        <v>0</v>
      </c>
      <c r="L60" s="96">
        <v>0</v>
      </c>
      <c r="M60" s="81">
        <f t="shared" si="0"/>
        <v>0</v>
      </c>
      <c r="N60" s="96">
        <f t="shared" si="1"/>
        <v>0</v>
      </c>
      <c r="O60" s="81">
        <f t="shared" si="2"/>
        <v>0</v>
      </c>
      <c r="P60" s="96">
        <f t="shared" si="3"/>
        <v>0</v>
      </c>
      <c r="Q60" s="81"/>
    </row>
    <row r="61" spans="1:17" ht="15" hidden="1" x14ac:dyDescent="0.25">
      <c r="A61">
        <f>مرتبات!A61</f>
        <v>0</v>
      </c>
      <c r="B61" s="147" t="str">
        <f>مرتبات!B61</f>
        <v>Manager Spare</v>
      </c>
      <c r="C61" s="97">
        <v>0</v>
      </c>
      <c r="D61" s="97">
        <v>0</v>
      </c>
      <c r="E61" s="97">
        <v>0</v>
      </c>
      <c r="F61" s="97">
        <v>0</v>
      </c>
      <c r="G61" s="97">
        <v>0</v>
      </c>
      <c r="H61" s="97">
        <v>0</v>
      </c>
      <c r="I61" s="97">
        <v>0</v>
      </c>
      <c r="J61" s="97">
        <v>0</v>
      </c>
      <c r="K61" s="97">
        <v>0</v>
      </c>
      <c r="L61" s="97">
        <v>0</v>
      </c>
      <c r="M61" s="80">
        <f t="shared" si="0"/>
        <v>0</v>
      </c>
      <c r="N61" s="97">
        <f t="shared" si="1"/>
        <v>0</v>
      </c>
      <c r="O61" s="80">
        <f t="shared" si="2"/>
        <v>0</v>
      </c>
      <c r="P61" s="97">
        <f t="shared" si="3"/>
        <v>0</v>
      </c>
      <c r="Q61" s="80"/>
    </row>
    <row r="62" spans="1:17" ht="15" x14ac:dyDescent="0.25">
      <c r="A62">
        <f>مرتبات!A62</f>
        <v>3</v>
      </c>
      <c r="B62" s="82" t="str">
        <f>مرتبات!B62</f>
        <v>أ/خالد محمد حلمى</v>
      </c>
      <c r="C62" s="96">
        <v>0</v>
      </c>
      <c r="D62" s="96">
        <v>0</v>
      </c>
      <c r="E62" s="96">
        <v>0</v>
      </c>
      <c r="F62" s="96">
        <v>0</v>
      </c>
      <c r="G62" s="96">
        <v>0</v>
      </c>
      <c r="H62" s="96">
        <v>0</v>
      </c>
      <c r="I62" s="155">
        <v>0</v>
      </c>
      <c r="J62" s="96">
        <v>0</v>
      </c>
      <c r="K62" s="96">
        <v>0</v>
      </c>
      <c r="L62" s="96">
        <v>0</v>
      </c>
      <c r="M62" s="81">
        <f t="shared" si="0"/>
        <v>0</v>
      </c>
      <c r="N62" s="96">
        <f t="shared" si="1"/>
        <v>0</v>
      </c>
      <c r="O62" s="81">
        <f t="shared" si="2"/>
        <v>0</v>
      </c>
      <c r="P62" s="96">
        <f t="shared" si="3"/>
        <v>0</v>
      </c>
      <c r="Q62" s="81"/>
    </row>
    <row r="63" spans="1:17" ht="15" x14ac:dyDescent="0.25">
      <c r="A63">
        <f>مرتبات!A63</f>
        <v>4</v>
      </c>
      <c r="B63" s="147" t="str">
        <f>مرتبات!B63</f>
        <v>أ/ نيرمين عصمت محمد حجازي</v>
      </c>
      <c r="C63" s="97">
        <v>0</v>
      </c>
      <c r="D63" s="97">
        <v>0</v>
      </c>
      <c r="E63" s="97">
        <v>0</v>
      </c>
      <c r="F63" s="97">
        <v>0</v>
      </c>
      <c r="G63" s="97">
        <v>0</v>
      </c>
      <c r="H63" s="97">
        <v>0</v>
      </c>
      <c r="I63" s="97">
        <v>0</v>
      </c>
      <c r="J63" s="97">
        <v>0</v>
      </c>
      <c r="K63" s="97">
        <v>0</v>
      </c>
      <c r="L63" s="97">
        <v>0</v>
      </c>
      <c r="M63" s="80">
        <f t="shared" si="0"/>
        <v>0</v>
      </c>
      <c r="N63" s="97">
        <f t="shared" si="1"/>
        <v>0</v>
      </c>
      <c r="O63" s="80">
        <f t="shared" si="2"/>
        <v>0</v>
      </c>
      <c r="P63" s="97">
        <f t="shared" si="3"/>
        <v>0</v>
      </c>
      <c r="Q63" s="80"/>
    </row>
    <row r="64" spans="1:17" ht="15" hidden="1" x14ac:dyDescent="0.25">
      <c r="A64">
        <f>مرتبات!A64</f>
        <v>0</v>
      </c>
      <c r="B64" s="82" t="str">
        <f>مرتبات!B64</f>
        <v>Senior Spare</v>
      </c>
      <c r="C64" s="96">
        <v>0</v>
      </c>
      <c r="D64" s="96">
        <v>0</v>
      </c>
      <c r="E64" s="96"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6">
        <v>0</v>
      </c>
      <c r="L64" s="96">
        <v>0</v>
      </c>
      <c r="M64" s="81">
        <f t="shared" si="0"/>
        <v>0</v>
      </c>
      <c r="N64" s="96">
        <f t="shared" si="1"/>
        <v>0</v>
      </c>
      <c r="O64" s="81">
        <f t="shared" si="2"/>
        <v>0</v>
      </c>
      <c r="P64" s="96">
        <f t="shared" si="3"/>
        <v>0</v>
      </c>
      <c r="Q64" s="81"/>
    </row>
    <row r="65" spans="1:17" ht="15" hidden="1" x14ac:dyDescent="0.25">
      <c r="A65">
        <f>مرتبات!A65</f>
        <v>0</v>
      </c>
      <c r="B65" s="147" t="str">
        <f>مرتبات!B65</f>
        <v>Senior Spare</v>
      </c>
      <c r="C65" s="97">
        <v>0</v>
      </c>
      <c r="D65" s="97">
        <v>0</v>
      </c>
      <c r="E65" s="97">
        <v>0</v>
      </c>
      <c r="F65" s="97">
        <v>0</v>
      </c>
      <c r="G65" s="97">
        <v>0</v>
      </c>
      <c r="H65" s="97">
        <v>0</v>
      </c>
      <c r="I65" s="97">
        <v>0</v>
      </c>
      <c r="J65" s="97">
        <v>0</v>
      </c>
      <c r="K65" s="97">
        <v>0</v>
      </c>
      <c r="L65" s="97">
        <v>0</v>
      </c>
      <c r="M65" s="80">
        <f t="shared" si="0"/>
        <v>0</v>
      </c>
      <c r="N65" s="97">
        <f t="shared" si="1"/>
        <v>0</v>
      </c>
      <c r="O65" s="80">
        <f t="shared" si="2"/>
        <v>0</v>
      </c>
      <c r="P65" s="97">
        <f t="shared" si="3"/>
        <v>0</v>
      </c>
      <c r="Q65" s="80"/>
    </row>
    <row r="66" spans="1:17" ht="15" hidden="1" x14ac:dyDescent="0.25">
      <c r="A66">
        <f>مرتبات!A66</f>
        <v>0</v>
      </c>
      <c r="B66" s="82" t="str">
        <f>مرتبات!B66</f>
        <v>Senior Spare</v>
      </c>
      <c r="C66" s="96">
        <v>0</v>
      </c>
      <c r="D66" s="96">
        <v>0</v>
      </c>
      <c r="E66" s="96">
        <v>0</v>
      </c>
      <c r="F66" s="96">
        <v>0</v>
      </c>
      <c r="G66" s="96">
        <v>0</v>
      </c>
      <c r="H66" s="96">
        <v>0</v>
      </c>
      <c r="I66" s="96">
        <v>0</v>
      </c>
      <c r="J66" s="96">
        <v>0</v>
      </c>
      <c r="K66" s="96">
        <v>0</v>
      </c>
      <c r="L66" s="96">
        <v>0</v>
      </c>
      <c r="M66" s="81">
        <f t="shared" si="0"/>
        <v>0</v>
      </c>
      <c r="N66" s="96">
        <f t="shared" si="1"/>
        <v>0</v>
      </c>
      <c r="O66" s="81">
        <f t="shared" si="2"/>
        <v>0</v>
      </c>
      <c r="P66" s="96">
        <f t="shared" si="3"/>
        <v>0</v>
      </c>
      <c r="Q66" s="81"/>
    </row>
    <row r="67" spans="1:17" ht="15" hidden="1" x14ac:dyDescent="0.25">
      <c r="A67">
        <f>مرتبات!A67</f>
        <v>0</v>
      </c>
      <c r="B67" s="147" t="str">
        <f>مرتبات!B67</f>
        <v>Senior Spare</v>
      </c>
      <c r="C67" s="97">
        <v>0</v>
      </c>
      <c r="D67" s="97">
        <v>0</v>
      </c>
      <c r="E67" s="97">
        <v>0</v>
      </c>
      <c r="F67" s="97">
        <v>0</v>
      </c>
      <c r="G67" s="97">
        <v>0</v>
      </c>
      <c r="H67" s="97">
        <v>0</v>
      </c>
      <c r="I67" s="97">
        <v>0</v>
      </c>
      <c r="J67" s="97">
        <v>0</v>
      </c>
      <c r="K67" s="97">
        <v>0</v>
      </c>
      <c r="L67" s="97">
        <v>0</v>
      </c>
      <c r="M67" s="80">
        <f t="shared" si="0"/>
        <v>0</v>
      </c>
      <c r="N67" s="97">
        <f t="shared" si="1"/>
        <v>0</v>
      </c>
      <c r="O67" s="80">
        <f t="shared" si="2"/>
        <v>0</v>
      </c>
      <c r="P67" s="97">
        <f t="shared" si="3"/>
        <v>0</v>
      </c>
      <c r="Q67" s="80"/>
    </row>
    <row r="68" spans="1:17" ht="15" x14ac:dyDescent="0.25">
      <c r="A68">
        <f>مرتبات!A68</f>
        <v>5</v>
      </c>
      <c r="B68" s="82" t="str">
        <f>مرتبات!B68</f>
        <v>أ/مروة شريف عبدالحميد سلامة</v>
      </c>
      <c r="C68" s="96">
        <v>0</v>
      </c>
      <c r="D68" s="96">
        <v>0</v>
      </c>
      <c r="E68" s="96">
        <v>0</v>
      </c>
      <c r="F68" s="96">
        <v>0</v>
      </c>
      <c r="G68" s="96">
        <v>0</v>
      </c>
      <c r="H68" s="96">
        <v>0</v>
      </c>
      <c r="I68" s="96">
        <v>0</v>
      </c>
      <c r="J68" s="96">
        <v>0</v>
      </c>
      <c r="K68" s="96">
        <v>0</v>
      </c>
      <c r="L68" s="96">
        <v>0</v>
      </c>
      <c r="M68" s="81">
        <f t="shared" si="0"/>
        <v>0</v>
      </c>
      <c r="N68" s="96">
        <f t="shared" si="1"/>
        <v>0</v>
      </c>
      <c r="O68" s="81">
        <f t="shared" si="2"/>
        <v>0</v>
      </c>
      <c r="P68" s="96">
        <f t="shared" si="3"/>
        <v>0</v>
      </c>
      <c r="Q68" s="81"/>
    </row>
    <row r="69" spans="1:17" ht="15" x14ac:dyDescent="0.25">
      <c r="A69">
        <f>مرتبات!A69</f>
        <v>6</v>
      </c>
      <c r="B69" s="147" t="str">
        <f>مرتبات!B69</f>
        <v>أ/حازم ابراهيم عبد الحميد محمد فتاتة</v>
      </c>
      <c r="C69" s="97">
        <v>0</v>
      </c>
      <c r="D69" s="97">
        <v>0</v>
      </c>
      <c r="E69" s="97">
        <v>0</v>
      </c>
      <c r="F69" s="97">
        <v>0</v>
      </c>
      <c r="G69" s="97">
        <v>0</v>
      </c>
      <c r="H69" s="97">
        <v>0</v>
      </c>
      <c r="I69" s="97">
        <v>0</v>
      </c>
      <c r="J69" s="97">
        <v>0</v>
      </c>
      <c r="K69" s="97">
        <v>0</v>
      </c>
      <c r="L69" s="97">
        <v>0</v>
      </c>
      <c r="M69" s="80">
        <f t="shared" ref="M69:M100" si="4">SUM(C69:E69)+L69</f>
        <v>0</v>
      </c>
      <c r="N69" s="97">
        <f t="shared" ref="N69:N100" si="5">SUM(I69:K69)</f>
        <v>0</v>
      </c>
      <c r="O69" s="80">
        <f t="shared" ref="O69:O100" si="6">SUM(G69:H69)</f>
        <v>0</v>
      </c>
      <c r="P69" s="97">
        <f t="shared" ref="P69:P100" si="7">SUM(M69:O69)</f>
        <v>0</v>
      </c>
      <c r="Q69" s="80"/>
    </row>
    <row r="70" spans="1:17" ht="15" x14ac:dyDescent="0.25">
      <c r="A70" s="172">
        <f>مرتبات!A70</f>
        <v>0</v>
      </c>
      <c r="B70" s="173" t="str">
        <f>مرتبات!B70</f>
        <v xml:space="preserve">أ/أحمد سمير حسن السيد </v>
      </c>
      <c r="C70" s="157">
        <v>0</v>
      </c>
      <c r="D70" s="157">
        <v>0</v>
      </c>
      <c r="E70" s="157">
        <v>0</v>
      </c>
      <c r="F70" s="157">
        <v>0</v>
      </c>
      <c r="G70" s="157">
        <v>0</v>
      </c>
      <c r="H70" s="157">
        <v>0</v>
      </c>
      <c r="I70" s="157">
        <v>0</v>
      </c>
      <c r="J70" s="157">
        <v>0</v>
      </c>
      <c r="K70" s="157">
        <v>0</v>
      </c>
      <c r="L70" s="157">
        <v>0</v>
      </c>
      <c r="M70" s="174">
        <f t="shared" si="4"/>
        <v>0</v>
      </c>
      <c r="N70" s="157">
        <f t="shared" si="5"/>
        <v>0</v>
      </c>
      <c r="O70" s="174">
        <f t="shared" si="6"/>
        <v>0</v>
      </c>
      <c r="P70" s="157">
        <f t="shared" si="7"/>
        <v>0</v>
      </c>
      <c r="Q70" s="174" t="s">
        <v>153</v>
      </c>
    </row>
    <row r="71" spans="1:17" ht="15" x14ac:dyDescent="0.25">
      <c r="A71">
        <f>مرتبات!A71</f>
        <v>7</v>
      </c>
      <c r="B71" s="147" t="str">
        <f>مرتبات!B71</f>
        <v>أ/إيمان صبحى شكرى</v>
      </c>
      <c r="C71" s="97">
        <v>0</v>
      </c>
      <c r="D71" s="97">
        <v>0</v>
      </c>
      <c r="E71" s="97">
        <v>0</v>
      </c>
      <c r="F71" s="97">
        <v>0</v>
      </c>
      <c r="G71" s="97">
        <v>0</v>
      </c>
      <c r="H71" s="97">
        <v>0</v>
      </c>
      <c r="I71" s="175">
        <v>0</v>
      </c>
      <c r="J71" s="97">
        <v>0</v>
      </c>
      <c r="K71" s="97">
        <v>0</v>
      </c>
      <c r="L71" s="97">
        <v>0</v>
      </c>
      <c r="M71" s="80">
        <f t="shared" si="4"/>
        <v>0</v>
      </c>
      <c r="N71" s="97">
        <f t="shared" si="5"/>
        <v>0</v>
      </c>
      <c r="O71" s="80">
        <f t="shared" si="6"/>
        <v>0</v>
      </c>
      <c r="P71" s="97">
        <f t="shared" si="7"/>
        <v>0</v>
      </c>
      <c r="Q71" s="80"/>
    </row>
    <row r="72" spans="1:17" ht="15" x14ac:dyDescent="0.25">
      <c r="A72">
        <f>مرتبات!A72</f>
        <v>8</v>
      </c>
      <c r="B72" s="82" t="str">
        <f>مرتبات!B72</f>
        <v>أ/شريف شكرى محمد</v>
      </c>
      <c r="C72" s="96">
        <v>0</v>
      </c>
      <c r="D72" s="96">
        <v>0</v>
      </c>
      <c r="E72" s="96">
        <v>0</v>
      </c>
      <c r="F72" s="96">
        <v>0</v>
      </c>
      <c r="G72" s="96">
        <v>0</v>
      </c>
      <c r="H72" s="96">
        <v>0</v>
      </c>
      <c r="I72" s="96">
        <v>0</v>
      </c>
      <c r="J72" s="96">
        <v>0</v>
      </c>
      <c r="K72" s="96">
        <v>0</v>
      </c>
      <c r="L72" s="96">
        <v>0</v>
      </c>
      <c r="M72" s="81">
        <f t="shared" si="4"/>
        <v>0</v>
      </c>
      <c r="N72" s="96">
        <f t="shared" si="5"/>
        <v>0</v>
      </c>
      <c r="O72" s="81">
        <f t="shared" si="6"/>
        <v>0</v>
      </c>
      <c r="P72" s="96">
        <f t="shared" si="7"/>
        <v>0</v>
      </c>
      <c r="Q72" s="81"/>
    </row>
    <row r="73" spans="1:17" ht="15" x14ac:dyDescent="0.25">
      <c r="A73">
        <f>مرتبات!A73</f>
        <v>9</v>
      </c>
      <c r="B73" s="147" t="str">
        <f>مرتبات!B73</f>
        <v>أ/محمد حسن محمد كامل</v>
      </c>
      <c r="C73" s="97">
        <v>0</v>
      </c>
      <c r="D73" s="97">
        <v>0</v>
      </c>
      <c r="E73" s="97">
        <v>0</v>
      </c>
      <c r="F73" s="97">
        <v>0</v>
      </c>
      <c r="G73" s="97">
        <v>0</v>
      </c>
      <c r="H73" s="97">
        <v>0</v>
      </c>
      <c r="I73" s="97">
        <v>0</v>
      </c>
      <c r="J73" s="97">
        <v>0</v>
      </c>
      <c r="K73" s="97">
        <v>0</v>
      </c>
      <c r="L73" s="97">
        <v>0</v>
      </c>
      <c r="M73" s="80">
        <f t="shared" si="4"/>
        <v>0</v>
      </c>
      <c r="N73" s="97">
        <f t="shared" si="5"/>
        <v>0</v>
      </c>
      <c r="O73" s="80">
        <f t="shared" si="6"/>
        <v>0</v>
      </c>
      <c r="P73" s="97">
        <f t="shared" si="7"/>
        <v>0</v>
      </c>
      <c r="Q73" s="80"/>
    </row>
    <row r="74" spans="1:17" ht="15" x14ac:dyDescent="0.25">
      <c r="A74">
        <f>مرتبات!A74</f>
        <v>10</v>
      </c>
      <c r="B74" s="82" t="str">
        <f>مرتبات!B74</f>
        <v>أ/سامي ابراهيم محمد</v>
      </c>
      <c r="C74" s="96">
        <v>0</v>
      </c>
      <c r="D74" s="96">
        <v>0</v>
      </c>
      <c r="E74" s="96">
        <v>0</v>
      </c>
      <c r="F74" s="96">
        <v>0</v>
      </c>
      <c r="G74" s="96">
        <v>0</v>
      </c>
      <c r="H74" s="96">
        <v>0</v>
      </c>
      <c r="I74" s="96">
        <v>0</v>
      </c>
      <c r="J74" s="96">
        <v>0</v>
      </c>
      <c r="K74" s="96">
        <v>0</v>
      </c>
      <c r="L74" s="96">
        <v>0</v>
      </c>
      <c r="M74" s="81">
        <f t="shared" si="4"/>
        <v>0</v>
      </c>
      <c r="N74" s="96">
        <f t="shared" si="5"/>
        <v>0</v>
      </c>
      <c r="O74" s="81">
        <f t="shared" si="6"/>
        <v>0</v>
      </c>
      <c r="P74" s="96">
        <f t="shared" si="7"/>
        <v>0</v>
      </c>
      <c r="Q74" s="81"/>
    </row>
    <row r="75" spans="1:17" ht="15" x14ac:dyDescent="0.25">
      <c r="A75">
        <f>مرتبات!A75</f>
        <v>11</v>
      </c>
      <c r="B75" s="147" t="str">
        <f>مرتبات!B75</f>
        <v>أ/محمود على محمود حسين</v>
      </c>
      <c r="C75" s="97">
        <v>0</v>
      </c>
      <c r="D75" s="97">
        <v>0</v>
      </c>
      <c r="E75" s="97">
        <v>0</v>
      </c>
      <c r="F75" s="97">
        <v>0</v>
      </c>
      <c r="G75" s="97">
        <v>0</v>
      </c>
      <c r="H75" s="97">
        <v>0</v>
      </c>
      <c r="I75" s="97">
        <v>0</v>
      </c>
      <c r="J75" s="97">
        <v>0</v>
      </c>
      <c r="K75" s="96">
        <v>0</v>
      </c>
      <c r="L75" s="97">
        <v>0</v>
      </c>
      <c r="M75" s="80">
        <f t="shared" si="4"/>
        <v>0</v>
      </c>
      <c r="N75" s="97">
        <f t="shared" si="5"/>
        <v>0</v>
      </c>
      <c r="O75" s="80">
        <f t="shared" si="6"/>
        <v>0</v>
      </c>
      <c r="P75" s="97">
        <f t="shared" si="7"/>
        <v>0</v>
      </c>
      <c r="Q75" s="80"/>
    </row>
    <row r="76" spans="1:17" ht="15" x14ac:dyDescent="0.25">
      <c r="A76">
        <f>مرتبات!A76</f>
        <v>12</v>
      </c>
      <c r="B76" s="82" t="str">
        <f>مرتبات!B76</f>
        <v>أ/عمرو عبد الكريم صقر</v>
      </c>
      <c r="C76" s="96">
        <v>0</v>
      </c>
      <c r="D76" s="96">
        <v>0</v>
      </c>
      <c r="E76" s="96">
        <v>0</v>
      </c>
      <c r="F76" s="96">
        <v>0</v>
      </c>
      <c r="G76" s="96">
        <v>0</v>
      </c>
      <c r="H76" s="96">
        <v>0</v>
      </c>
      <c r="I76" s="96">
        <v>0</v>
      </c>
      <c r="J76" s="96">
        <v>0</v>
      </c>
      <c r="K76" s="96">
        <v>0</v>
      </c>
      <c r="L76" s="96">
        <v>0</v>
      </c>
      <c r="M76" s="81">
        <f t="shared" si="4"/>
        <v>0</v>
      </c>
      <c r="N76" s="96">
        <f t="shared" si="5"/>
        <v>0</v>
      </c>
      <c r="O76" s="81">
        <f t="shared" si="6"/>
        <v>0</v>
      </c>
      <c r="P76" s="96">
        <f t="shared" si="7"/>
        <v>0</v>
      </c>
      <c r="Q76" s="81"/>
    </row>
    <row r="77" spans="1:17" ht="15" x14ac:dyDescent="0.25">
      <c r="A77">
        <f>مرتبات!A77</f>
        <v>13</v>
      </c>
      <c r="B77" s="147" t="str">
        <f>مرتبات!B77</f>
        <v>أ/مختار احمد المجدلي</v>
      </c>
      <c r="C77" s="97">
        <v>0</v>
      </c>
      <c r="D77" s="97">
        <v>0</v>
      </c>
      <c r="E77" s="97">
        <v>0</v>
      </c>
      <c r="F77" s="97">
        <v>0</v>
      </c>
      <c r="G77" s="97">
        <v>0</v>
      </c>
      <c r="H77" s="97">
        <v>0</v>
      </c>
      <c r="I77" s="97">
        <v>0</v>
      </c>
      <c r="J77" s="97">
        <v>0</v>
      </c>
      <c r="K77" s="97">
        <v>0</v>
      </c>
      <c r="L77" s="97">
        <v>0</v>
      </c>
      <c r="M77" s="80">
        <f t="shared" si="4"/>
        <v>0</v>
      </c>
      <c r="N77" s="97">
        <f t="shared" si="5"/>
        <v>0</v>
      </c>
      <c r="O77" s="80">
        <f t="shared" si="6"/>
        <v>0</v>
      </c>
      <c r="P77" s="97">
        <f t="shared" si="7"/>
        <v>0</v>
      </c>
      <c r="Q77" s="80"/>
    </row>
    <row r="78" spans="1:17" ht="15" x14ac:dyDescent="0.25">
      <c r="A78">
        <f>مرتبات!A78</f>
        <v>14</v>
      </c>
      <c r="B78" s="82" t="str">
        <f>مرتبات!B78</f>
        <v>أ/طارق محمد جمعه</v>
      </c>
      <c r="C78" s="96">
        <v>0</v>
      </c>
      <c r="D78" s="96">
        <v>0</v>
      </c>
      <c r="E78" s="96">
        <v>0</v>
      </c>
      <c r="F78" s="96">
        <v>0</v>
      </c>
      <c r="G78" s="96">
        <v>0</v>
      </c>
      <c r="H78" s="96">
        <v>0</v>
      </c>
      <c r="I78" s="96">
        <v>0</v>
      </c>
      <c r="J78" s="96">
        <v>0</v>
      </c>
      <c r="K78" s="96">
        <v>0</v>
      </c>
      <c r="L78" s="96">
        <v>0</v>
      </c>
      <c r="M78" s="81">
        <f t="shared" si="4"/>
        <v>0</v>
      </c>
      <c r="N78" s="96">
        <f t="shared" si="5"/>
        <v>0</v>
      </c>
      <c r="O78" s="81">
        <f t="shared" si="6"/>
        <v>0</v>
      </c>
      <c r="P78" s="96">
        <f t="shared" si="7"/>
        <v>0</v>
      </c>
      <c r="Q78" s="81"/>
    </row>
    <row r="79" spans="1:17" ht="15" x14ac:dyDescent="0.25">
      <c r="A79">
        <f>مرتبات!A79</f>
        <v>15</v>
      </c>
      <c r="B79" s="147" t="str">
        <f>مرتبات!B79</f>
        <v>أ/ أحمد محمد عبدالسلام</v>
      </c>
      <c r="C79" s="97">
        <v>0</v>
      </c>
      <c r="D79" s="97">
        <v>0</v>
      </c>
      <c r="E79" s="97">
        <v>0</v>
      </c>
      <c r="F79" s="97">
        <v>0</v>
      </c>
      <c r="G79" s="97">
        <v>0</v>
      </c>
      <c r="H79" s="97">
        <v>0</v>
      </c>
      <c r="I79" s="97">
        <v>0</v>
      </c>
      <c r="J79" s="97">
        <v>0</v>
      </c>
      <c r="K79" s="97">
        <v>0</v>
      </c>
      <c r="L79" s="97">
        <v>0</v>
      </c>
      <c r="M79" s="80">
        <f t="shared" si="4"/>
        <v>0</v>
      </c>
      <c r="N79" s="97">
        <f t="shared" si="5"/>
        <v>0</v>
      </c>
      <c r="O79" s="80">
        <f t="shared" si="6"/>
        <v>0</v>
      </c>
      <c r="P79" s="97">
        <f t="shared" si="7"/>
        <v>0</v>
      </c>
      <c r="Q79" s="80"/>
    </row>
    <row r="80" spans="1:17" ht="15" hidden="1" x14ac:dyDescent="0.25">
      <c r="A80">
        <f>مرتبات!A80</f>
        <v>0</v>
      </c>
      <c r="B80" s="82">
        <f>مرتبات!B80</f>
        <v>0</v>
      </c>
      <c r="C80" s="96">
        <v>0</v>
      </c>
      <c r="D80" s="96">
        <v>0</v>
      </c>
      <c r="E80" s="96">
        <v>0</v>
      </c>
      <c r="F80" s="96">
        <v>0</v>
      </c>
      <c r="G80" s="96">
        <v>0</v>
      </c>
      <c r="H80" s="96">
        <v>0</v>
      </c>
      <c r="I80" s="157">
        <v>0</v>
      </c>
      <c r="J80" s="157">
        <v>0</v>
      </c>
      <c r="K80" s="157">
        <v>0</v>
      </c>
      <c r="L80" s="96">
        <v>0</v>
      </c>
      <c r="M80" s="81">
        <f t="shared" si="4"/>
        <v>0</v>
      </c>
      <c r="N80" s="96">
        <f t="shared" si="5"/>
        <v>0</v>
      </c>
      <c r="O80" s="81">
        <f t="shared" si="6"/>
        <v>0</v>
      </c>
      <c r="P80" s="96">
        <f t="shared" si="7"/>
        <v>0</v>
      </c>
      <c r="Q80" s="81"/>
    </row>
    <row r="81" spans="1:17" ht="15" x14ac:dyDescent="0.25">
      <c r="A81">
        <f>مرتبات!A81</f>
        <v>16</v>
      </c>
      <c r="B81" s="147" t="str">
        <f>مرتبات!B81</f>
        <v>أ/محمد عبدالجواد محمد</v>
      </c>
      <c r="C81" s="97">
        <v>0</v>
      </c>
      <c r="D81" s="97">
        <v>0</v>
      </c>
      <c r="E81" s="97">
        <v>0</v>
      </c>
      <c r="F81" s="97">
        <v>0</v>
      </c>
      <c r="G81" s="97">
        <v>0</v>
      </c>
      <c r="H81" s="97">
        <v>0</v>
      </c>
      <c r="I81" s="97">
        <v>0</v>
      </c>
      <c r="J81" s="97">
        <v>0</v>
      </c>
      <c r="K81" s="97">
        <v>0</v>
      </c>
      <c r="L81" s="97">
        <v>0</v>
      </c>
      <c r="M81" s="80">
        <f t="shared" si="4"/>
        <v>0</v>
      </c>
      <c r="N81" s="97">
        <f t="shared" si="5"/>
        <v>0</v>
      </c>
      <c r="O81" s="80">
        <f t="shared" si="6"/>
        <v>0</v>
      </c>
      <c r="P81" s="97">
        <f t="shared" si="7"/>
        <v>0</v>
      </c>
      <c r="Q81" s="80"/>
    </row>
    <row r="82" spans="1:17" ht="15" x14ac:dyDescent="0.25">
      <c r="A82">
        <f>مرتبات!A82</f>
        <v>17</v>
      </c>
      <c r="B82" s="82" t="str">
        <f>مرتبات!B82</f>
        <v>أ/ منة الله محب عبدالغفار السيد</v>
      </c>
      <c r="C82" s="96">
        <v>0</v>
      </c>
      <c r="D82" s="96">
        <v>0</v>
      </c>
      <c r="E82" s="96">
        <v>0</v>
      </c>
      <c r="F82" s="96">
        <v>0</v>
      </c>
      <c r="G82" s="96">
        <v>0</v>
      </c>
      <c r="H82" s="96">
        <v>0</v>
      </c>
      <c r="I82" s="96">
        <v>0</v>
      </c>
      <c r="J82" s="96">
        <v>0</v>
      </c>
      <c r="K82" s="96">
        <v>0</v>
      </c>
      <c r="L82" s="96">
        <v>0</v>
      </c>
      <c r="M82" s="81">
        <f t="shared" si="4"/>
        <v>0</v>
      </c>
      <c r="N82" s="96">
        <f t="shared" si="5"/>
        <v>0</v>
      </c>
      <c r="O82" s="81">
        <f t="shared" si="6"/>
        <v>0</v>
      </c>
      <c r="P82" s="96">
        <f t="shared" si="7"/>
        <v>0</v>
      </c>
      <c r="Q82" s="81"/>
    </row>
    <row r="83" spans="1:17" ht="15" x14ac:dyDescent="0.25">
      <c r="A83">
        <f>مرتبات!A83</f>
        <v>18</v>
      </c>
      <c r="B83" s="147" t="str">
        <f>مرتبات!B83</f>
        <v>أ/عاصم محمد سعيد عبده</v>
      </c>
      <c r="C83" s="97">
        <v>0</v>
      </c>
      <c r="D83" s="97">
        <v>0</v>
      </c>
      <c r="E83" s="97">
        <v>0</v>
      </c>
      <c r="F83" s="97">
        <v>0</v>
      </c>
      <c r="G83" s="97">
        <v>0</v>
      </c>
      <c r="H83" s="97">
        <v>0</v>
      </c>
      <c r="I83" s="97">
        <v>0</v>
      </c>
      <c r="J83" s="97">
        <v>0</v>
      </c>
      <c r="K83" s="97">
        <v>0</v>
      </c>
      <c r="L83" s="97">
        <v>0</v>
      </c>
      <c r="M83" s="80">
        <f t="shared" si="4"/>
        <v>0</v>
      </c>
      <c r="N83" s="97">
        <f t="shared" si="5"/>
        <v>0</v>
      </c>
      <c r="O83" s="80">
        <f t="shared" si="6"/>
        <v>0</v>
      </c>
      <c r="P83" s="97">
        <f t="shared" si="7"/>
        <v>0</v>
      </c>
      <c r="Q83" s="80"/>
    </row>
    <row r="84" spans="1:17" ht="15" x14ac:dyDescent="0.25">
      <c r="A84">
        <f>مرتبات!A84</f>
        <v>19</v>
      </c>
      <c r="B84" s="82" t="str">
        <f>مرتبات!B84</f>
        <v>أ/ نجوى إبراهيم محمود غنيم</v>
      </c>
      <c r="C84" s="96">
        <v>0</v>
      </c>
      <c r="D84" s="178">
        <v>0</v>
      </c>
      <c r="E84" s="96">
        <v>0</v>
      </c>
      <c r="F84" s="96">
        <v>0</v>
      </c>
      <c r="G84" s="96">
        <v>0</v>
      </c>
      <c r="H84" s="96">
        <v>0</v>
      </c>
      <c r="I84" s="96">
        <v>0</v>
      </c>
      <c r="J84" s="96">
        <v>0</v>
      </c>
      <c r="K84" s="96">
        <v>0</v>
      </c>
      <c r="L84" s="96">
        <v>0</v>
      </c>
      <c r="M84" s="81">
        <f t="shared" si="4"/>
        <v>0</v>
      </c>
      <c r="N84" s="96">
        <f t="shared" si="5"/>
        <v>0</v>
      </c>
      <c r="O84" s="81">
        <f t="shared" si="6"/>
        <v>0</v>
      </c>
      <c r="P84" s="96">
        <f t="shared" si="7"/>
        <v>0</v>
      </c>
      <c r="Q84" s="81"/>
    </row>
    <row r="85" spans="1:17" ht="15" x14ac:dyDescent="0.25">
      <c r="A85">
        <f>مرتبات!A85</f>
        <v>20</v>
      </c>
      <c r="B85" s="147" t="str">
        <f>مرتبات!B85</f>
        <v>محمد حسين محمد محمد</v>
      </c>
      <c r="C85" s="97">
        <v>0</v>
      </c>
      <c r="D85" s="97">
        <v>0</v>
      </c>
      <c r="E85" s="97">
        <v>0</v>
      </c>
      <c r="F85" s="97">
        <v>0</v>
      </c>
      <c r="G85" s="97">
        <v>0</v>
      </c>
      <c r="H85" s="97">
        <v>0</v>
      </c>
      <c r="I85" s="97">
        <v>0</v>
      </c>
      <c r="J85" s="97">
        <v>0</v>
      </c>
      <c r="K85" s="97">
        <v>0</v>
      </c>
      <c r="L85" s="97">
        <v>0</v>
      </c>
      <c r="M85" s="80">
        <f t="shared" si="4"/>
        <v>0</v>
      </c>
      <c r="N85" s="97">
        <f t="shared" si="5"/>
        <v>0</v>
      </c>
      <c r="O85" s="80">
        <f t="shared" si="6"/>
        <v>0</v>
      </c>
      <c r="P85" s="97">
        <f t="shared" si="7"/>
        <v>0</v>
      </c>
      <c r="Q85" s="80"/>
    </row>
    <row r="86" spans="1:17" ht="15" hidden="1" x14ac:dyDescent="0.25">
      <c r="A86">
        <f>مرتبات!A86</f>
        <v>0</v>
      </c>
      <c r="B86" s="82" t="str">
        <f>مرتبات!B86</f>
        <v>Spare</v>
      </c>
      <c r="C86" s="96">
        <v>0</v>
      </c>
      <c r="D86" s="96">
        <v>0</v>
      </c>
      <c r="E86" s="96">
        <v>0</v>
      </c>
      <c r="F86" s="96">
        <v>0</v>
      </c>
      <c r="G86" s="96">
        <v>0</v>
      </c>
      <c r="H86" s="96">
        <v>0</v>
      </c>
      <c r="I86" s="96">
        <v>0</v>
      </c>
      <c r="J86" s="96">
        <v>0</v>
      </c>
      <c r="K86" s="96">
        <v>0</v>
      </c>
      <c r="L86" s="96">
        <v>0</v>
      </c>
      <c r="M86" s="81">
        <f t="shared" si="4"/>
        <v>0</v>
      </c>
      <c r="N86" s="96">
        <f t="shared" si="5"/>
        <v>0</v>
      </c>
      <c r="O86" s="81">
        <f t="shared" si="6"/>
        <v>0</v>
      </c>
      <c r="P86" s="96">
        <f t="shared" si="7"/>
        <v>0</v>
      </c>
      <c r="Q86" s="81"/>
    </row>
    <row r="87" spans="1:17" ht="15" hidden="1" x14ac:dyDescent="0.25">
      <c r="A87">
        <f>مرتبات!A87</f>
        <v>0</v>
      </c>
      <c r="B87" s="147" t="str">
        <f>مرتبات!B87</f>
        <v>Spare</v>
      </c>
      <c r="C87" s="97">
        <v>0</v>
      </c>
      <c r="D87" s="97">
        <v>0</v>
      </c>
      <c r="E87" s="97">
        <v>0</v>
      </c>
      <c r="F87" s="97">
        <v>0</v>
      </c>
      <c r="G87" s="97">
        <v>0</v>
      </c>
      <c r="H87" s="97">
        <v>0</v>
      </c>
      <c r="I87" s="97">
        <v>0</v>
      </c>
      <c r="J87" s="97">
        <v>0</v>
      </c>
      <c r="K87" s="97">
        <v>0</v>
      </c>
      <c r="L87" s="97">
        <v>0</v>
      </c>
      <c r="M87" s="80">
        <f t="shared" si="4"/>
        <v>0</v>
      </c>
      <c r="N87" s="97">
        <f t="shared" si="5"/>
        <v>0</v>
      </c>
      <c r="O87" s="80">
        <f t="shared" si="6"/>
        <v>0</v>
      </c>
      <c r="P87" s="97">
        <f t="shared" si="7"/>
        <v>0</v>
      </c>
      <c r="Q87" s="80"/>
    </row>
    <row r="88" spans="1:17" ht="15" hidden="1" x14ac:dyDescent="0.25">
      <c r="A88">
        <f>مرتبات!A88</f>
        <v>0</v>
      </c>
      <c r="B88" s="82" t="str">
        <f>مرتبات!B88</f>
        <v>Spare</v>
      </c>
      <c r="C88" s="96">
        <v>0</v>
      </c>
      <c r="D88" s="96">
        <v>0</v>
      </c>
      <c r="E88" s="96">
        <v>0</v>
      </c>
      <c r="F88" s="96">
        <v>0</v>
      </c>
      <c r="G88" s="96">
        <v>0</v>
      </c>
      <c r="H88" s="96">
        <v>0</v>
      </c>
      <c r="I88" s="96">
        <v>0</v>
      </c>
      <c r="J88" s="96">
        <v>0</v>
      </c>
      <c r="K88" s="96">
        <v>0</v>
      </c>
      <c r="L88" s="96">
        <v>0</v>
      </c>
      <c r="M88" s="81">
        <f t="shared" si="4"/>
        <v>0</v>
      </c>
      <c r="N88" s="96">
        <f t="shared" si="5"/>
        <v>0</v>
      </c>
      <c r="O88" s="81">
        <f t="shared" si="6"/>
        <v>0</v>
      </c>
      <c r="P88" s="96">
        <f t="shared" si="7"/>
        <v>0</v>
      </c>
      <c r="Q88" s="81"/>
    </row>
    <row r="89" spans="1:17" ht="15" hidden="1" x14ac:dyDescent="0.25">
      <c r="A89">
        <f>مرتبات!A89</f>
        <v>0</v>
      </c>
      <c r="B89" s="147" t="str">
        <f>مرتبات!B89</f>
        <v>Spare</v>
      </c>
      <c r="C89" s="97">
        <v>0</v>
      </c>
      <c r="D89" s="97">
        <v>0</v>
      </c>
      <c r="E89" s="97">
        <v>0</v>
      </c>
      <c r="F89" s="97">
        <v>0</v>
      </c>
      <c r="G89" s="97">
        <v>0</v>
      </c>
      <c r="H89" s="97">
        <v>0</v>
      </c>
      <c r="I89" s="97">
        <v>0</v>
      </c>
      <c r="J89" s="97">
        <v>0</v>
      </c>
      <c r="K89" s="97">
        <v>0</v>
      </c>
      <c r="L89" s="97">
        <v>0</v>
      </c>
      <c r="M89" s="80">
        <f t="shared" si="4"/>
        <v>0</v>
      </c>
      <c r="N89" s="97">
        <f t="shared" si="5"/>
        <v>0</v>
      </c>
      <c r="O89" s="80">
        <f t="shared" si="6"/>
        <v>0</v>
      </c>
      <c r="P89" s="97">
        <f t="shared" si="7"/>
        <v>0</v>
      </c>
      <c r="Q89" s="80"/>
    </row>
    <row r="90" spans="1:17" ht="15" hidden="1" x14ac:dyDescent="0.25">
      <c r="A90">
        <f>مرتبات!A90</f>
        <v>0</v>
      </c>
      <c r="B90" s="82" t="str">
        <f>مرتبات!B90</f>
        <v>Spare</v>
      </c>
      <c r="C90" s="96">
        <v>0</v>
      </c>
      <c r="D90" s="96">
        <v>0</v>
      </c>
      <c r="E90" s="96">
        <v>0</v>
      </c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0</v>
      </c>
      <c r="L90" s="96">
        <v>0</v>
      </c>
      <c r="M90" s="81">
        <f t="shared" si="4"/>
        <v>0</v>
      </c>
      <c r="N90" s="96">
        <f t="shared" si="5"/>
        <v>0</v>
      </c>
      <c r="O90" s="81">
        <f t="shared" si="6"/>
        <v>0</v>
      </c>
      <c r="P90" s="96">
        <f t="shared" si="7"/>
        <v>0</v>
      </c>
      <c r="Q90" s="81"/>
    </row>
    <row r="91" spans="1:17" ht="15" hidden="1" x14ac:dyDescent="0.25">
      <c r="A91">
        <f>مرتبات!A91</f>
        <v>0</v>
      </c>
      <c r="B91" s="147" t="str">
        <f>مرتبات!B91</f>
        <v>Spare</v>
      </c>
      <c r="C91" s="97">
        <v>0</v>
      </c>
      <c r="D91" s="97">
        <v>0</v>
      </c>
      <c r="E91" s="97">
        <v>0</v>
      </c>
      <c r="F91" s="97">
        <v>0</v>
      </c>
      <c r="G91" s="97">
        <v>0</v>
      </c>
      <c r="H91" s="97">
        <v>0</v>
      </c>
      <c r="I91" s="97">
        <v>0</v>
      </c>
      <c r="J91" s="97">
        <v>0</v>
      </c>
      <c r="K91" s="97">
        <v>0</v>
      </c>
      <c r="L91" s="97">
        <v>0</v>
      </c>
      <c r="M91" s="80">
        <f t="shared" si="4"/>
        <v>0</v>
      </c>
      <c r="N91" s="97">
        <f t="shared" si="5"/>
        <v>0</v>
      </c>
      <c r="O91" s="80">
        <f t="shared" si="6"/>
        <v>0</v>
      </c>
      <c r="P91" s="97">
        <f t="shared" si="7"/>
        <v>0</v>
      </c>
      <c r="Q91" s="80"/>
    </row>
    <row r="92" spans="1:17" ht="15" hidden="1" x14ac:dyDescent="0.25">
      <c r="A92">
        <f>مرتبات!A92</f>
        <v>0</v>
      </c>
      <c r="B92" s="82" t="str">
        <f>مرتبات!B92</f>
        <v>Spare</v>
      </c>
      <c r="C92" s="96">
        <v>0</v>
      </c>
      <c r="D92" s="96">
        <v>0</v>
      </c>
      <c r="E92" s="96">
        <v>0</v>
      </c>
      <c r="F92" s="96">
        <v>0</v>
      </c>
      <c r="G92" s="96">
        <v>0</v>
      </c>
      <c r="H92" s="96">
        <v>0</v>
      </c>
      <c r="I92" s="96">
        <v>0</v>
      </c>
      <c r="J92" s="96">
        <v>0</v>
      </c>
      <c r="K92" s="96">
        <v>0</v>
      </c>
      <c r="L92" s="96">
        <v>0</v>
      </c>
      <c r="M92" s="81">
        <f t="shared" si="4"/>
        <v>0</v>
      </c>
      <c r="N92" s="96">
        <f t="shared" si="5"/>
        <v>0</v>
      </c>
      <c r="O92" s="81">
        <f t="shared" si="6"/>
        <v>0</v>
      </c>
      <c r="P92" s="96">
        <f t="shared" si="7"/>
        <v>0</v>
      </c>
      <c r="Q92" s="81"/>
    </row>
    <row r="93" spans="1:17" ht="15" hidden="1" x14ac:dyDescent="0.25">
      <c r="A93">
        <f>مرتبات!A93</f>
        <v>0</v>
      </c>
      <c r="B93" s="147" t="str">
        <f>مرتبات!B93</f>
        <v>Spare</v>
      </c>
      <c r="C93" s="97">
        <v>0</v>
      </c>
      <c r="D93" s="97">
        <v>0</v>
      </c>
      <c r="E93" s="97">
        <v>0</v>
      </c>
      <c r="F93" s="97">
        <v>0</v>
      </c>
      <c r="G93" s="97">
        <v>0</v>
      </c>
      <c r="H93" s="97">
        <v>0</v>
      </c>
      <c r="I93" s="97">
        <v>0</v>
      </c>
      <c r="J93" s="97">
        <v>0</v>
      </c>
      <c r="K93" s="97">
        <v>0</v>
      </c>
      <c r="L93" s="97">
        <v>0</v>
      </c>
      <c r="M93" s="80">
        <f t="shared" si="4"/>
        <v>0</v>
      </c>
      <c r="N93" s="97">
        <f t="shared" si="5"/>
        <v>0</v>
      </c>
      <c r="O93" s="80">
        <f t="shared" si="6"/>
        <v>0</v>
      </c>
      <c r="P93" s="97">
        <f t="shared" si="7"/>
        <v>0</v>
      </c>
      <c r="Q93" s="80"/>
    </row>
    <row r="94" spans="1:17" ht="15" hidden="1" x14ac:dyDescent="0.25">
      <c r="A94">
        <f>مرتبات!A94</f>
        <v>0</v>
      </c>
      <c r="B94" s="82" t="str">
        <f>مرتبات!B94</f>
        <v>Spare</v>
      </c>
      <c r="C94" s="96">
        <v>0</v>
      </c>
      <c r="D94" s="96">
        <v>0</v>
      </c>
      <c r="E94" s="96">
        <v>0</v>
      </c>
      <c r="F94" s="96">
        <v>0</v>
      </c>
      <c r="G94" s="96">
        <v>0</v>
      </c>
      <c r="H94" s="96">
        <v>0</v>
      </c>
      <c r="I94" s="96">
        <v>0</v>
      </c>
      <c r="J94" s="96">
        <v>0</v>
      </c>
      <c r="K94" s="96">
        <v>0</v>
      </c>
      <c r="L94" s="96">
        <v>0</v>
      </c>
      <c r="M94" s="81">
        <f t="shared" si="4"/>
        <v>0</v>
      </c>
      <c r="N94" s="96">
        <f t="shared" si="5"/>
        <v>0</v>
      </c>
      <c r="O94" s="81">
        <f t="shared" si="6"/>
        <v>0</v>
      </c>
      <c r="P94" s="96">
        <f t="shared" si="7"/>
        <v>0</v>
      </c>
      <c r="Q94" s="81"/>
    </row>
    <row r="95" spans="1:17" ht="15" hidden="1" x14ac:dyDescent="0.25">
      <c r="A95">
        <f>مرتبات!A95</f>
        <v>0</v>
      </c>
      <c r="B95" s="147" t="str">
        <f>مرتبات!B95</f>
        <v>Spare</v>
      </c>
      <c r="C95" s="97">
        <v>0</v>
      </c>
      <c r="D95" s="97">
        <v>0</v>
      </c>
      <c r="E95" s="97">
        <v>0</v>
      </c>
      <c r="F95" s="97">
        <v>0</v>
      </c>
      <c r="G95" s="97">
        <v>0</v>
      </c>
      <c r="H95" s="97">
        <v>0</v>
      </c>
      <c r="I95" s="97">
        <v>0</v>
      </c>
      <c r="J95" s="97">
        <v>0</v>
      </c>
      <c r="K95" s="97">
        <v>0</v>
      </c>
      <c r="L95" s="97">
        <v>0</v>
      </c>
      <c r="M95" s="80">
        <f t="shared" si="4"/>
        <v>0</v>
      </c>
      <c r="N95" s="97">
        <f t="shared" si="5"/>
        <v>0</v>
      </c>
      <c r="O95" s="80">
        <f t="shared" si="6"/>
        <v>0</v>
      </c>
      <c r="P95" s="97">
        <f t="shared" si="7"/>
        <v>0</v>
      </c>
      <c r="Q95" s="80"/>
    </row>
    <row r="96" spans="1:17" ht="15" hidden="1" x14ac:dyDescent="0.25">
      <c r="A96">
        <f>مرتبات!A96</f>
        <v>0</v>
      </c>
      <c r="B96" s="82" t="str">
        <f>مرتبات!B96</f>
        <v>Spare</v>
      </c>
      <c r="C96" s="96">
        <v>0</v>
      </c>
      <c r="D96" s="96">
        <v>0</v>
      </c>
      <c r="E96" s="96">
        <v>0</v>
      </c>
      <c r="F96" s="96">
        <v>0</v>
      </c>
      <c r="G96" s="96">
        <v>0</v>
      </c>
      <c r="H96" s="96">
        <v>0</v>
      </c>
      <c r="I96" s="96">
        <v>0</v>
      </c>
      <c r="J96" s="96">
        <v>0</v>
      </c>
      <c r="K96" s="96">
        <v>0</v>
      </c>
      <c r="L96" s="96">
        <v>0</v>
      </c>
      <c r="M96" s="81">
        <f t="shared" si="4"/>
        <v>0</v>
      </c>
      <c r="N96" s="96">
        <f t="shared" si="5"/>
        <v>0</v>
      </c>
      <c r="O96" s="81">
        <f t="shared" si="6"/>
        <v>0</v>
      </c>
      <c r="P96" s="96">
        <f t="shared" si="7"/>
        <v>0</v>
      </c>
      <c r="Q96" s="81"/>
    </row>
    <row r="97" spans="1:17" ht="15" hidden="1" x14ac:dyDescent="0.25">
      <c r="A97">
        <f>مرتبات!A97</f>
        <v>0</v>
      </c>
      <c r="B97" s="147" t="str">
        <f>مرتبات!B97</f>
        <v>Spare</v>
      </c>
      <c r="C97" s="97">
        <v>0</v>
      </c>
      <c r="D97" s="97">
        <v>0</v>
      </c>
      <c r="E97" s="97">
        <v>0</v>
      </c>
      <c r="F97" s="97">
        <v>0</v>
      </c>
      <c r="G97" s="97">
        <v>0</v>
      </c>
      <c r="H97" s="97">
        <v>0</v>
      </c>
      <c r="I97" s="97">
        <v>0</v>
      </c>
      <c r="J97" s="97">
        <v>0</v>
      </c>
      <c r="K97" s="97">
        <v>0</v>
      </c>
      <c r="L97" s="97">
        <v>0</v>
      </c>
      <c r="M97" s="80">
        <f t="shared" si="4"/>
        <v>0</v>
      </c>
      <c r="N97" s="97">
        <f t="shared" si="5"/>
        <v>0</v>
      </c>
      <c r="O97" s="80">
        <f t="shared" si="6"/>
        <v>0</v>
      </c>
      <c r="P97" s="97">
        <f t="shared" si="7"/>
        <v>0</v>
      </c>
      <c r="Q97" s="80"/>
    </row>
    <row r="98" spans="1:17" ht="15" hidden="1" x14ac:dyDescent="0.25">
      <c r="A98">
        <f>مرتبات!A98</f>
        <v>0</v>
      </c>
      <c r="B98" s="82" t="str">
        <f>مرتبات!B98</f>
        <v>Spare</v>
      </c>
      <c r="C98" s="96">
        <v>0</v>
      </c>
      <c r="D98" s="96">
        <v>0</v>
      </c>
      <c r="E98" s="96">
        <v>0</v>
      </c>
      <c r="F98" s="96">
        <v>0</v>
      </c>
      <c r="G98" s="96">
        <v>0</v>
      </c>
      <c r="H98" s="96">
        <v>0</v>
      </c>
      <c r="I98" s="96">
        <v>0</v>
      </c>
      <c r="J98" s="96">
        <v>0</v>
      </c>
      <c r="K98" s="96">
        <v>0</v>
      </c>
      <c r="L98" s="96">
        <v>0</v>
      </c>
      <c r="M98" s="81">
        <f t="shared" si="4"/>
        <v>0</v>
      </c>
      <c r="N98" s="96">
        <f t="shared" si="5"/>
        <v>0</v>
      </c>
      <c r="O98" s="81">
        <f t="shared" si="6"/>
        <v>0</v>
      </c>
      <c r="P98" s="96">
        <f t="shared" si="7"/>
        <v>0</v>
      </c>
      <c r="Q98" s="81"/>
    </row>
    <row r="99" spans="1:17" ht="15" hidden="1" x14ac:dyDescent="0.25">
      <c r="A99">
        <f>مرتبات!A99</f>
        <v>0</v>
      </c>
      <c r="B99" s="147" t="str">
        <f>مرتبات!B99</f>
        <v>Spare</v>
      </c>
      <c r="C99" s="97">
        <v>0</v>
      </c>
      <c r="D99" s="97">
        <v>0</v>
      </c>
      <c r="E99" s="97">
        <v>0</v>
      </c>
      <c r="F99" s="97">
        <v>0</v>
      </c>
      <c r="G99" s="97">
        <v>0</v>
      </c>
      <c r="H99" s="97">
        <v>0</v>
      </c>
      <c r="I99" s="97">
        <v>0</v>
      </c>
      <c r="J99" s="97">
        <v>0</v>
      </c>
      <c r="K99" s="97">
        <v>0</v>
      </c>
      <c r="L99" s="97">
        <v>0</v>
      </c>
      <c r="M99" s="80">
        <f t="shared" si="4"/>
        <v>0</v>
      </c>
      <c r="N99" s="97">
        <f t="shared" si="5"/>
        <v>0</v>
      </c>
      <c r="O99" s="80">
        <f t="shared" si="6"/>
        <v>0</v>
      </c>
      <c r="P99" s="97">
        <f t="shared" si="7"/>
        <v>0</v>
      </c>
      <c r="Q99" s="80"/>
    </row>
    <row r="100" spans="1:17" ht="15" hidden="1" x14ac:dyDescent="0.25">
      <c r="A100">
        <f>مرتبات!A100</f>
        <v>0</v>
      </c>
      <c r="B100" s="82" t="str">
        <f>مرتبات!B100</f>
        <v>Spare</v>
      </c>
      <c r="C100" s="96">
        <v>0</v>
      </c>
      <c r="D100" s="96">
        <v>0</v>
      </c>
      <c r="E100" s="96">
        <v>0</v>
      </c>
      <c r="F100" s="96">
        <v>0</v>
      </c>
      <c r="G100" s="96">
        <v>0</v>
      </c>
      <c r="H100" s="96">
        <v>0</v>
      </c>
      <c r="I100" s="96">
        <v>0</v>
      </c>
      <c r="J100" s="96">
        <v>0</v>
      </c>
      <c r="K100" s="96">
        <v>0</v>
      </c>
      <c r="L100" s="96">
        <v>0</v>
      </c>
      <c r="M100" s="81">
        <f t="shared" si="4"/>
        <v>0</v>
      </c>
      <c r="N100" s="96">
        <f t="shared" si="5"/>
        <v>0</v>
      </c>
      <c r="O100" s="81">
        <f t="shared" si="6"/>
        <v>0</v>
      </c>
      <c r="P100" s="96">
        <f t="shared" si="7"/>
        <v>0</v>
      </c>
      <c r="Q100" s="81"/>
    </row>
    <row r="101" spans="1:17" ht="15.6" x14ac:dyDescent="0.3">
      <c r="A101">
        <v>19</v>
      </c>
      <c r="B101" s="146" t="s">
        <v>90</v>
      </c>
      <c r="C101" s="146"/>
      <c r="D101" s="146"/>
      <c r="E101" s="146"/>
      <c r="F101" s="146"/>
      <c r="G101" s="146"/>
      <c r="H101" s="146"/>
      <c r="I101" s="146"/>
      <c r="J101" s="146"/>
      <c r="K101" s="146"/>
      <c r="L101" s="146"/>
      <c r="M101" s="146"/>
      <c r="N101" s="165"/>
      <c r="O101" s="146"/>
      <c r="P101" s="165"/>
      <c r="Q101" s="146"/>
    </row>
    <row r="102" spans="1:17" ht="15" x14ac:dyDescent="0.25">
      <c r="A102">
        <f>مرتبات!A102</f>
        <v>1</v>
      </c>
      <c r="B102" s="82" t="str">
        <f>مرتبات!B102</f>
        <v>أ/هالة فوزي</v>
      </c>
      <c r="C102" s="96">
        <v>0</v>
      </c>
      <c r="D102" s="96">
        <v>0</v>
      </c>
      <c r="E102" s="96">
        <v>0</v>
      </c>
      <c r="F102" s="96">
        <v>0</v>
      </c>
      <c r="G102" s="96">
        <v>0</v>
      </c>
      <c r="H102" s="96">
        <v>0</v>
      </c>
      <c r="I102" s="96">
        <v>0</v>
      </c>
      <c r="J102" s="96">
        <v>0</v>
      </c>
      <c r="K102" s="96">
        <v>0</v>
      </c>
      <c r="L102" s="96">
        <v>0</v>
      </c>
      <c r="M102" s="81">
        <f t="shared" ref="M102:M118" si="8">SUM(C102:E102)+L102</f>
        <v>0</v>
      </c>
      <c r="N102" s="96">
        <f t="shared" ref="N102:N118" si="9">SUM(I102:K102)</f>
        <v>0</v>
      </c>
      <c r="O102" s="81">
        <f t="shared" ref="O102:O118" si="10">SUM(G102:H102)</f>
        <v>0</v>
      </c>
      <c r="P102" s="96">
        <f t="shared" ref="P102:P118" si="11">SUM(M102:O102)</f>
        <v>0</v>
      </c>
      <c r="Q102" s="81"/>
    </row>
    <row r="103" spans="1:17" ht="15" x14ac:dyDescent="0.25">
      <c r="A103">
        <f>مرتبات!A103</f>
        <v>2</v>
      </c>
      <c r="B103" s="147" t="str">
        <f>مرتبات!B103</f>
        <v>د/أمجد سعيد</v>
      </c>
      <c r="C103" s="97">
        <v>0</v>
      </c>
      <c r="D103" s="97">
        <v>0</v>
      </c>
      <c r="E103" s="97">
        <v>0</v>
      </c>
      <c r="F103" s="97">
        <v>0</v>
      </c>
      <c r="G103" s="97">
        <v>0</v>
      </c>
      <c r="H103" s="97">
        <v>0</v>
      </c>
      <c r="I103" s="97">
        <v>0</v>
      </c>
      <c r="J103" s="97">
        <v>0</v>
      </c>
      <c r="K103" s="97">
        <v>0</v>
      </c>
      <c r="L103" s="97">
        <v>0</v>
      </c>
      <c r="M103" s="80">
        <f t="shared" si="8"/>
        <v>0</v>
      </c>
      <c r="N103" s="97">
        <f t="shared" si="9"/>
        <v>0</v>
      </c>
      <c r="O103" s="80">
        <f t="shared" si="10"/>
        <v>0</v>
      </c>
      <c r="P103" s="97">
        <f t="shared" si="11"/>
        <v>0</v>
      </c>
      <c r="Q103" s="80"/>
    </row>
    <row r="104" spans="1:17" ht="15" x14ac:dyDescent="0.25">
      <c r="A104">
        <f>مرتبات!A104</f>
        <v>3</v>
      </c>
      <c r="B104" s="82" t="str">
        <f>مرتبات!B104</f>
        <v>د/وليد رزق</v>
      </c>
      <c r="C104" s="96">
        <v>0</v>
      </c>
      <c r="D104" s="96">
        <v>0</v>
      </c>
      <c r="E104" s="96">
        <v>0</v>
      </c>
      <c r="F104" s="96">
        <v>0</v>
      </c>
      <c r="G104" s="96">
        <v>0</v>
      </c>
      <c r="H104" s="96">
        <v>0</v>
      </c>
      <c r="I104" s="96">
        <v>0</v>
      </c>
      <c r="J104" s="96">
        <v>0</v>
      </c>
      <c r="K104" s="96">
        <v>0</v>
      </c>
      <c r="L104" s="96">
        <v>0</v>
      </c>
      <c r="M104" s="81">
        <f t="shared" si="8"/>
        <v>0</v>
      </c>
      <c r="N104" s="96">
        <f t="shared" si="9"/>
        <v>0</v>
      </c>
      <c r="O104" s="81">
        <f t="shared" si="10"/>
        <v>0</v>
      </c>
      <c r="P104" s="96">
        <f t="shared" si="11"/>
        <v>0</v>
      </c>
      <c r="Q104" s="81"/>
    </row>
    <row r="105" spans="1:17" ht="15" x14ac:dyDescent="0.25">
      <c r="A105">
        <f>مرتبات!A105</f>
        <v>4</v>
      </c>
      <c r="B105" s="147" t="str">
        <f>مرتبات!B105</f>
        <v>د/أمينة العطيفي</v>
      </c>
      <c r="C105" s="97">
        <v>0</v>
      </c>
      <c r="D105" s="97">
        <v>0</v>
      </c>
      <c r="E105" s="97">
        <v>0</v>
      </c>
      <c r="F105" s="97">
        <v>0</v>
      </c>
      <c r="G105" s="97">
        <v>0</v>
      </c>
      <c r="H105" s="97">
        <v>0</v>
      </c>
      <c r="I105" s="97">
        <v>0</v>
      </c>
      <c r="J105" s="97">
        <v>0</v>
      </c>
      <c r="K105" s="97">
        <v>0</v>
      </c>
      <c r="L105" s="97">
        <v>0</v>
      </c>
      <c r="M105" s="80">
        <f t="shared" si="8"/>
        <v>0</v>
      </c>
      <c r="N105" s="97">
        <f t="shared" si="9"/>
        <v>0</v>
      </c>
      <c r="O105" s="80">
        <f t="shared" si="10"/>
        <v>0</v>
      </c>
      <c r="P105" s="97">
        <f t="shared" si="11"/>
        <v>0</v>
      </c>
      <c r="Q105" s="80"/>
    </row>
    <row r="106" spans="1:17" ht="15" x14ac:dyDescent="0.25">
      <c r="A106">
        <f>مرتبات!A106</f>
        <v>5</v>
      </c>
      <c r="B106" s="82" t="str">
        <f>مرتبات!B106</f>
        <v>أ/ محمد فاروق عبد الحليم</v>
      </c>
      <c r="C106" s="96">
        <v>0</v>
      </c>
      <c r="D106" s="96">
        <v>0</v>
      </c>
      <c r="E106" s="96">
        <v>0</v>
      </c>
      <c r="F106" s="96">
        <v>0</v>
      </c>
      <c r="G106" s="96">
        <v>0</v>
      </c>
      <c r="H106" s="96">
        <v>0</v>
      </c>
      <c r="I106" s="96">
        <v>0</v>
      </c>
      <c r="J106" s="96">
        <v>0</v>
      </c>
      <c r="K106" s="96">
        <v>0</v>
      </c>
      <c r="L106" s="96">
        <v>0</v>
      </c>
      <c r="M106" s="81">
        <f t="shared" si="8"/>
        <v>0</v>
      </c>
      <c r="N106" s="96">
        <f t="shared" si="9"/>
        <v>0</v>
      </c>
      <c r="O106" s="81">
        <f t="shared" si="10"/>
        <v>0</v>
      </c>
      <c r="P106" s="96">
        <f t="shared" si="11"/>
        <v>0</v>
      </c>
      <c r="Q106" s="81"/>
    </row>
    <row r="107" spans="1:17" ht="15" x14ac:dyDescent="0.25">
      <c r="A107">
        <f>مرتبات!A107</f>
        <v>6</v>
      </c>
      <c r="B107" s="147" t="str">
        <f>مرتبات!B107</f>
        <v>د/ أحمد بغدادي رشدي محمد</v>
      </c>
      <c r="C107" s="97">
        <v>0</v>
      </c>
      <c r="D107" s="97">
        <v>0</v>
      </c>
      <c r="E107" s="97">
        <v>0</v>
      </c>
      <c r="F107" s="97">
        <v>0</v>
      </c>
      <c r="G107" s="97">
        <v>0</v>
      </c>
      <c r="H107" s="97">
        <v>0</v>
      </c>
      <c r="I107" s="97">
        <v>0</v>
      </c>
      <c r="J107" s="97">
        <v>0</v>
      </c>
      <c r="K107" s="97">
        <v>0</v>
      </c>
      <c r="L107" s="97">
        <v>0</v>
      </c>
      <c r="M107" s="80">
        <f t="shared" si="8"/>
        <v>0</v>
      </c>
      <c r="N107" s="97">
        <f t="shared" si="9"/>
        <v>0</v>
      </c>
      <c r="O107" s="80">
        <f t="shared" si="10"/>
        <v>0</v>
      </c>
      <c r="P107" s="97">
        <f t="shared" si="11"/>
        <v>0</v>
      </c>
      <c r="Q107" s="80"/>
    </row>
    <row r="108" spans="1:17" ht="15.6" thickBot="1" x14ac:dyDescent="0.3">
      <c r="A108">
        <f>مرتبات!A108</f>
        <v>7</v>
      </c>
      <c r="B108" s="82" t="s">
        <v>155</v>
      </c>
      <c r="C108" s="96">
        <v>0</v>
      </c>
      <c r="D108" s="96">
        <v>0</v>
      </c>
      <c r="E108" s="96">
        <v>0</v>
      </c>
      <c r="F108" s="96">
        <v>0</v>
      </c>
      <c r="G108" s="96">
        <v>0</v>
      </c>
      <c r="H108" s="96">
        <v>0</v>
      </c>
      <c r="I108" s="96">
        <v>0</v>
      </c>
      <c r="J108" s="96">
        <v>0</v>
      </c>
      <c r="K108" s="96">
        <v>0</v>
      </c>
      <c r="L108" s="96">
        <v>0</v>
      </c>
      <c r="M108" s="81">
        <f t="shared" si="8"/>
        <v>0</v>
      </c>
      <c r="N108" s="81">
        <f t="shared" si="9"/>
        <v>0</v>
      </c>
      <c r="O108" s="81">
        <f t="shared" si="10"/>
        <v>0</v>
      </c>
      <c r="P108" s="81">
        <f t="shared" si="11"/>
        <v>0</v>
      </c>
      <c r="Q108" s="81"/>
    </row>
    <row r="109" spans="1:17" ht="15" hidden="1" x14ac:dyDescent="0.25">
      <c r="A109">
        <f>مرتبات!A109</f>
        <v>0</v>
      </c>
      <c r="B109" s="147" t="str">
        <f>مرتبات!B109</f>
        <v>Spare</v>
      </c>
      <c r="C109" s="97">
        <v>0</v>
      </c>
      <c r="D109" s="97">
        <v>0</v>
      </c>
      <c r="E109" s="97">
        <v>0</v>
      </c>
      <c r="F109" s="97">
        <v>0</v>
      </c>
      <c r="G109" s="97">
        <v>0</v>
      </c>
      <c r="H109" s="97">
        <v>0</v>
      </c>
      <c r="I109" s="97">
        <v>0</v>
      </c>
      <c r="J109" s="97">
        <v>0</v>
      </c>
      <c r="K109" s="97">
        <v>0</v>
      </c>
      <c r="L109" s="97">
        <v>0</v>
      </c>
      <c r="M109" s="80">
        <f t="shared" si="8"/>
        <v>0</v>
      </c>
      <c r="N109" s="80">
        <f t="shared" si="9"/>
        <v>0</v>
      </c>
      <c r="O109" s="80">
        <f t="shared" si="10"/>
        <v>0</v>
      </c>
      <c r="P109" s="80">
        <f t="shared" si="11"/>
        <v>0</v>
      </c>
      <c r="Q109" s="80"/>
    </row>
    <row r="110" spans="1:17" ht="15" hidden="1" x14ac:dyDescent="0.25">
      <c r="A110">
        <f>مرتبات!A110</f>
        <v>0</v>
      </c>
      <c r="B110" s="82" t="str">
        <f>مرتبات!B110</f>
        <v>Spare</v>
      </c>
      <c r="C110" s="96">
        <v>0</v>
      </c>
      <c r="D110" s="96">
        <v>0</v>
      </c>
      <c r="E110" s="96">
        <v>0</v>
      </c>
      <c r="F110" s="96">
        <v>0</v>
      </c>
      <c r="G110" s="96">
        <v>0</v>
      </c>
      <c r="H110" s="96">
        <v>0</v>
      </c>
      <c r="I110" s="96">
        <v>0</v>
      </c>
      <c r="J110" s="96">
        <v>0</v>
      </c>
      <c r="K110" s="96">
        <v>0</v>
      </c>
      <c r="L110" s="96">
        <v>0</v>
      </c>
      <c r="M110" s="81">
        <f t="shared" si="8"/>
        <v>0</v>
      </c>
      <c r="N110" s="81">
        <f t="shared" si="9"/>
        <v>0</v>
      </c>
      <c r="O110" s="81">
        <f t="shared" si="10"/>
        <v>0</v>
      </c>
      <c r="P110" s="81">
        <f t="shared" si="11"/>
        <v>0</v>
      </c>
      <c r="Q110" s="81"/>
    </row>
    <row r="111" spans="1:17" ht="15" hidden="1" x14ac:dyDescent="0.25">
      <c r="A111">
        <f>مرتبات!A111</f>
        <v>0</v>
      </c>
      <c r="B111" s="147" t="str">
        <f>مرتبات!B111</f>
        <v>Spare</v>
      </c>
      <c r="C111" s="97">
        <v>0</v>
      </c>
      <c r="D111" s="97">
        <v>0</v>
      </c>
      <c r="E111" s="97">
        <v>0</v>
      </c>
      <c r="F111" s="97">
        <v>0</v>
      </c>
      <c r="G111" s="97">
        <v>0</v>
      </c>
      <c r="H111" s="97">
        <v>0</v>
      </c>
      <c r="I111" s="97">
        <v>0</v>
      </c>
      <c r="J111" s="97">
        <v>0</v>
      </c>
      <c r="K111" s="97">
        <v>0</v>
      </c>
      <c r="L111" s="97">
        <v>0</v>
      </c>
      <c r="M111" s="80">
        <f t="shared" si="8"/>
        <v>0</v>
      </c>
      <c r="N111" s="80">
        <f t="shared" si="9"/>
        <v>0</v>
      </c>
      <c r="O111" s="80">
        <f t="shared" si="10"/>
        <v>0</v>
      </c>
      <c r="P111" s="80">
        <f t="shared" si="11"/>
        <v>0</v>
      </c>
      <c r="Q111" s="80"/>
    </row>
    <row r="112" spans="1:17" ht="15" hidden="1" x14ac:dyDescent="0.25">
      <c r="A112">
        <f>مرتبات!A112</f>
        <v>0</v>
      </c>
      <c r="B112" s="82" t="str">
        <f>مرتبات!B112</f>
        <v>Spare</v>
      </c>
      <c r="C112" s="96">
        <v>0</v>
      </c>
      <c r="D112" s="96">
        <v>0</v>
      </c>
      <c r="E112" s="96">
        <v>0</v>
      </c>
      <c r="F112" s="96">
        <v>0</v>
      </c>
      <c r="G112" s="96">
        <v>0</v>
      </c>
      <c r="H112" s="96">
        <v>0</v>
      </c>
      <c r="I112" s="96">
        <v>0</v>
      </c>
      <c r="J112" s="96">
        <v>0</v>
      </c>
      <c r="K112" s="96">
        <v>0</v>
      </c>
      <c r="L112" s="96">
        <v>0</v>
      </c>
      <c r="M112" s="81">
        <f t="shared" si="8"/>
        <v>0</v>
      </c>
      <c r="N112" s="81">
        <f t="shared" si="9"/>
        <v>0</v>
      </c>
      <c r="O112" s="81">
        <f t="shared" si="10"/>
        <v>0</v>
      </c>
      <c r="P112" s="81">
        <f t="shared" si="11"/>
        <v>0</v>
      </c>
      <c r="Q112" s="81"/>
    </row>
    <row r="113" spans="1:17" ht="15" hidden="1" x14ac:dyDescent="0.25">
      <c r="A113">
        <f>مرتبات!A113</f>
        <v>0</v>
      </c>
      <c r="B113" s="147" t="str">
        <f>مرتبات!B113</f>
        <v>Spare</v>
      </c>
      <c r="C113" s="97">
        <v>0</v>
      </c>
      <c r="D113" s="97">
        <v>0</v>
      </c>
      <c r="E113" s="97">
        <v>0</v>
      </c>
      <c r="F113" s="97">
        <v>0</v>
      </c>
      <c r="G113" s="97">
        <v>0</v>
      </c>
      <c r="H113" s="97">
        <v>0</v>
      </c>
      <c r="I113" s="97">
        <v>0</v>
      </c>
      <c r="J113" s="97">
        <v>0</v>
      </c>
      <c r="K113" s="97">
        <v>0</v>
      </c>
      <c r="L113" s="97">
        <v>0</v>
      </c>
      <c r="M113" s="80">
        <f t="shared" si="8"/>
        <v>0</v>
      </c>
      <c r="N113" s="80">
        <f t="shared" si="9"/>
        <v>0</v>
      </c>
      <c r="O113" s="80">
        <f t="shared" si="10"/>
        <v>0</v>
      </c>
      <c r="P113" s="80">
        <f t="shared" si="11"/>
        <v>0</v>
      </c>
      <c r="Q113" s="80"/>
    </row>
    <row r="114" spans="1:17" ht="15" hidden="1" x14ac:dyDescent="0.25">
      <c r="A114">
        <f>مرتبات!A114</f>
        <v>0</v>
      </c>
      <c r="B114" s="82" t="str">
        <f>مرتبات!B114</f>
        <v>Spare</v>
      </c>
      <c r="C114" s="96">
        <v>0</v>
      </c>
      <c r="D114" s="96">
        <v>0</v>
      </c>
      <c r="E114" s="96">
        <v>0</v>
      </c>
      <c r="F114" s="96">
        <v>0</v>
      </c>
      <c r="G114" s="96">
        <v>0</v>
      </c>
      <c r="H114" s="96">
        <v>0</v>
      </c>
      <c r="I114" s="96">
        <v>0</v>
      </c>
      <c r="J114" s="96">
        <v>0</v>
      </c>
      <c r="K114" s="96">
        <v>0</v>
      </c>
      <c r="L114" s="96">
        <v>0</v>
      </c>
      <c r="M114" s="81">
        <f t="shared" si="8"/>
        <v>0</v>
      </c>
      <c r="N114" s="81">
        <f t="shared" si="9"/>
        <v>0</v>
      </c>
      <c r="O114" s="81">
        <f t="shared" si="10"/>
        <v>0</v>
      </c>
      <c r="P114" s="81">
        <f t="shared" si="11"/>
        <v>0</v>
      </c>
      <c r="Q114" s="81"/>
    </row>
    <row r="115" spans="1:17" ht="15" hidden="1" x14ac:dyDescent="0.25">
      <c r="A115">
        <f>مرتبات!A115</f>
        <v>0</v>
      </c>
      <c r="B115" s="147" t="str">
        <f>مرتبات!B115</f>
        <v>Spare</v>
      </c>
      <c r="C115" s="97">
        <v>0</v>
      </c>
      <c r="D115" s="97">
        <v>0</v>
      </c>
      <c r="E115" s="97">
        <v>0</v>
      </c>
      <c r="F115" s="97">
        <v>0</v>
      </c>
      <c r="G115" s="97">
        <v>0</v>
      </c>
      <c r="H115" s="97">
        <v>0</v>
      </c>
      <c r="I115" s="97">
        <v>0</v>
      </c>
      <c r="J115" s="97">
        <v>0</v>
      </c>
      <c r="K115" s="97">
        <v>0</v>
      </c>
      <c r="L115" s="97">
        <v>0</v>
      </c>
      <c r="M115" s="80">
        <f t="shared" si="8"/>
        <v>0</v>
      </c>
      <c r="N115" s="80">
        <f t="shared" si="9"/>
        <v>0</v>
      </c>
      <c r="O115" s="80">
        <f t="shared" si="10"/>
        <v>0</v>
      </c>
      <c r="P115" s="80">
        <f t="shared" si="11"/>
        <v>0</v>
      </c>
      <c r="Q115" s="80"/>
    </row>
    <row r="116" spans="1:17" ht="15" hidden="1" x14ac:dyDescent="0.25">
      <c r="A116">
        <f>مرتبات!A116</f>
        <v>0</v>
      </c>
      <c r="B116" s="82" t="str">
        <f>مرتبات!B116</f>
        <v>Spare</v>
      </c>
      <c r="C116" s="96">
        <v>0</v>
      </c>
      <c r="D116" s="96">
        <v>0</v>
      </c>
      <c r="E116" s="96">
        <v>0</v>
      </c>
      <c r="F116" s="96">
        <v>0</v>
      </c>
      <c r="G116" s="96">
        <v>0</v>
      </c>
      <c r="H116" s="96">
        <v>0</v>
      </c>
      <c r="I116" s="96">
        <v>0</v>
      </c>
      <c r="J116" s="96">
        <v>0</v>
      </c>
      <c r="K116" s="96">
        <v>0</v>
      </c>
      <c r="L116" s="96">
        <v>0</v>
      </c>
      <c r="M116" s="81">
        <f t="shared" si="8"/>
        <v>0</v>
      </c>
      <c r="N116" s="81">
        <f t="shared" si="9"/>
        <v>0</v>
      </c>
      <c r="O116" s="81">
        <f t="shared" si="10"/>
        <v>0</v>
      </c>
      <c r="P116" s="81">
        <f t="shared" si="11"/>
        <v>0</v>
      </c>
      <c r="Q116" s="81"/>
    </row>
    <row r="117" spans="1:17" ht="15.6" hidden="1" thickBot="1" x14ac:dyDescent="0.3">
      <c r="A117">
        <f>مرتبات!A117</f>
        <v>0</v>
      </c>
      <c r="B117" s="147" t="str">
        <f>مرتبات!B117</f>
        <v>Spare</v>
      </c>
      <c r="C117" s="97">
        <v>0</v>
      </c>
      <c r="D117" s="97">
        <v>0</v>
      </c>
      <c r="E117" s="97">
        <v>0</v>
      </c>
      <c r="F117" s="97">
        <v>0</v>
      </c>
      <c r="G117" s="97">
        <v>0</v>
      </c>
      <c r="H117" s="97">
        <v>0</v>
      </c>
      <c r="I117" s="97">
        <v>0</v>
      </c>
      <c r="J117" s="97">
        <v>0</v>
      </c>
      <c r="K117" s="97">
        <v>0</v>
      </c>
      <c r="L117" s="97">
        <v>0</v>
      </c>
      <c r="M117" s="80">
        <f t="shared" si="8"/>
        <v>0</v>
      </c>
      <c r="N117" s="80">
        <f t="shared" si="9"/>
        <v>0</v>
      </c>
      <c r="O117" s="80">
        <f t="shared" si="10"/>
        <v>0</v>
      </c>
      <c r="P117" s="80">
        <f t="shared" si="11"/>
        <v>0</v>
      </c>
      <c r="Q117" s="80"/>
    </row>
    <row r="118" spans="1:17" ht="16.2" thickBot="1" x14ac:dyDescent="0.3">
      <c r="A118">
        <f>مرتبات!A118</f>
        <v>6</v>
      </c>
      <c r="B118" s="141" t="s">
        <v>63</v>
      </c>
      <c r="C118" s="89">
        <f t="shared" ref="C118:L118" si="12">SUM(C4:C17)+SUM(C19:C55)+SUM(C57:C100)+SUM(C102:C117)</f>
        <v>0</v>
      </c>
      <c r="D118" s="89">
        <f t="shared" si="12"/>
        <v>0</v>
      </c>
      <c r="E118" s="89">
        <f t="shared" si="12"/>
        <v>0</v>
      </c>
      <c r="F118" s="89">
        <f t="shared" si="12"/>
        <v>0</v>
      </c>
      <c r="G118" s="89">
        <f t="shared" si="12"/>
        <v>0</v>
      </c>
      <c r="H118" s="89">
        <f t="shared" si="12"/>
        <v>0</v>
      </c>
      <c r="I118" s="89">
        <f t="shared" si="12"/>
        <v>0</v>
      </c>
      <c r="J118" s="89">
        <f t="shared" si="12"/>
        <v>0</v>
      </c>
      <c r="K118" s="89">
        <f t="shared" si="12"/>
        <v>0</v>
      </c>
      <c r="L118" s="89">
        <f t="shared" si="12"/>
        <v>0</v>
      </c>
      <c r="M118" s="89">
        <f t="shared" si="8"/>
        <v>0</v>
      </c>
      <c r="N118" s="89">
        <f t="shared" si="9"/>
        <v>0</v>
      </c>
      <c r="O118" s="90">
        <f t="shared" si="10"/>
        <v>0</v>
      </c>
      <c r="P118" s="89">
        <f t="shared" si="11"/>
        <v>0</v>
      </c>
      <c r="Q118" s="91"/>
    </row>
  </sheetData>
  <mergeCells count="1">
    <mergeCell ref="A1:B1"/>
  </mergeCells>
  <pageMargins left="0.7" right="0.7" top="0.75" bottom="0.75" header="0.3" footer="0.3"/>
  <pageSetup paperSize="9" scale="54" fitToHeight="0"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M188"/>
  <sheetViews>
    <sheetView rightToLeft="1" tabSelected="1" zoomScale="70" zoomScaleNormal="70" workbookViewId="0">
      <selection activeCell="A81" sqref="A81"/>
    </sheetView>
  </sheetViews>
  <sheetFormatPr defaultColWidth="9.109375" defaultRowHeight="15" x14ac:dyDescent="0.25"/>
  <cols>
    <col min="1" max="1" width="9.109375" style="9"/>
    <col min="2" max="2" width="34.88671875" style="9" customWidth="1"/>
    <col min="3" max="4" width="16.77734375" style="9" customWidth="1"/>
    <col min="5" max="5" width="16.6640625" style="9" customWidth="1"/>
    <col min="6" max="6" width="17.77734375" style="9" customWidth="1"/>
    <col min="7" max="7" width="16.88671875" style="9" customWidth="1"/>
    <col min="8" max="8" width="15.88671875" style="9" customWidth="1"/>
    <col min="9" max="9" width="13.21875" style="9" customWidth="1"/>
    <col min="10" max="10" width="14.44140625" style="9" customWidth="1"/>
    <col min="11" max="11" width="13.88671875" style="9" customWidth="1"/>
    <col min="12" max="12" width="14.21875" style="9" customWidth="1"/>
    <col min="13" max="13" width="57.33203125" style="9" customWidth="1"/>
    <col min="14" max="16384" width="9.109375" style="9"/>
  </cols>
  <sheetData>
    <row r="1" spans="1:13" ht="16.2" thickBot="1" x14ac:dyDescent="0.3">
      <c r="B1" s="142" t="s">
        <v>14</v>
      </c>
    </row>
    <row r="2" spans="1:13" ht="53.4" thickBot="1" x14ac:dyDescent="0.3">
      <c r="A2" s="135" t="s">
        <v>5</v>
      </c>
      <c r="B2" s="168" t="s">
        <v>149</v>
      </c>
      <c r="C2" s="143" t="s">
        <v>47</v>
      </c>
      <c r="D2" s="143" t="s">
        <v>48</v>
      </c>
      <c r="E2" s="143" t="s">
        <v>49</v>
      </c>
      <c r="F2" s="143" t="s">
        <v>50</v>
      </c>
      <c r="G2" s="143" t="s">
        <v>51</v>
      </c>
      <c r="H2" s="143" t="s">
        <v>52</v>
      </c>
      <c r="I2" s="143" t="s">
        <v>53</v>
      </c>
      <c r="J2" s="143" t="s">
        <v>54</v>
      </c>
      <c r="K2" s="143" t="s">
        <v>55</v>
      </c>
      <c r="L2" s="139" t="s">
        <v>56</v>
      </c>
      <c r="M2" s="40" t="s">
        <v>16</v>
      </c>
    </row>
    <row r="3" spans="1:13" ht="15.6" x14ac:dyDescent="0.3">
      <c r="A3" s="13"/>
      <c r="B3" s="140" t="s">
        <v>60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</row>
    <row r="4" spans="1:13" x14ac:dyDescent="0.25">
      <c r="A4" s="98">
        <f>مرتبات!A4</f>
        <v>1</v>
      </c>
      <c r="B4" s="19" t="str">
        <f>مرتبات!B4</f>
        <v>د/هانى صلاح الدين محمد سري الدين</v>
      </c>
      <c r="C4" s="64">
        <v>0</v>
      </c>
      <c r="D4" s="64">
        <v>0</v>
      </c>
      <c r="E4" s="64">
        <v>0</v>
      </c>
      <c r="F4" s="64">
        <v>0</v>
      </c>
      <c r="G4" s="64">
        <v>0</v>
      </c>
      <c r="H4" s="64">
        <v>0</v>
      </c>
      <c r="I4" s="64">
        <v>0</v>
      </c>
      <c r="J4" s="64">
        <v>0</v>
      </c>
      <c r="K4" s="64">
        <v>0</v>
      </c>
      <c r="L4" s="64">
        <f t="shared" ref="L4:L67" si="0">SUM(C4:K4)</f>
        <v>0</v>
      </c>
      <c r="M4" s="23"/>
    </row>
    <row r="5" spans="1:13" x14ac:dyDescent="0.25">
      <c r="A5" s="98">
        <f>مرتبات!A5</f>
        <v>2</v>
      </c>
      <c r="B5" s="19" t="str">
        <f>مرتبات!B5</f>
        <v>أ/أميرة محمد على شريف</v>
      </c>
      <c r="C5" s="64">
        <v>0</v>
      </c>
      <c r="D5" s="64">
        <v>0</v>
      </c>
      <c r="E5" s="64">
        <v>0</v>
      </c>
      <c r="F5" s="64">
        <v>0</v>
      </c>
      <c r="G5" s="64">
        <v>0</v>
      </c>
      <c r="H5" s="64">
        <v>0</v>
      </c>
      <c r="I5" s="64">
        <v>0</v>
      </c>
      <c r="J5" s="64">
        <v>0</v>
      </c>
      <c r="K5" s="64">
        <v>0</v>
      </c>
      <c r="L5" s="64">
        <f t="shared" si="0"/>
        <v>0</v>
      </c>
      <c r="M5" s="68"/>
    </row>
    <row r="6" spans="1:13" x14ac:dyDescent="0.25">
      <c r="A6" s="98">
        <f>مرتبات!A6</f>
        <v>3</v>
      </c>
      <c r="B6" s="19" t="str">
        <f>مرتبات!B6</f>
        <v>أ/إيهاب حمدى ابراهيم</v>
      </c>
      <c r="C6" s="64">
        <v>0</v>
      </c>
      <c r="D6" s="64">
        <v>0</v>
      </c>
      <c r="E6" s="64">
        <v>0</v>
      </c>
      <c r="F6" s="64">
        <v>0</v>
      </c>
      <c r="G6" s="64">
        <v>0</v>
      </c>
      <c r="H6" s="64">
        <v>0</v>
      </c>
      <c r="I6" s="64">
        <v>0</v>
      </c>
      <c r="J6" s="64">
        <v>0</v>
      </c>
      <c r="K6" s="64">
        <v>0</v>
      </c>
      <c r="L6" s="64">
        <f t="shared" si="0"/>
        <v>0</v>
      </c>
      <c r="M6" s="58"/>
    </row>
    <row r="7" spans="1:13" hidden="1" x14ac:dyDescent="0.25">
      <c r="A7" s="98">
        <f>مرتبات!A7</f>
        <v>0</v>
      </c>
      <c r="B7" s="19" t="str">
        <f>مرتبات!B7</f>
        <v>Spare</v>
      </c>
      <c r="C7" s="64">
        <v>0</v>
      </c>
      <c r="D7" s="64">
        <v>0</v>
      </c>
      <c r="E7" s="64">
        <v>0</v>
      </c>
      <c r="F7" s="64">
        <v>0</v>
      </c>
      <c r="G7" s="64">
        <v>0</v>
      </c>
      <c r="H7" s="64">
        <v>0</v>
      </c>
      <c r="I7" s="64">
        <v>0</v>
      </c>
      <c r="J7" s="64">
        <v>0</v>
      </c>
      <c r="K7" s="64">
        <v>0</v>
      </c>
      <c r="L7" s="64">
        <f t="shared" si="0"/>
        <v>0</v>
      </c>
      <c r="M7" s="23"/>
    </row>
    <row r="8" spans="1:13" hidden="1" x14ac:dyDescent="0.25">
      <c r="A8" s="98">
        <f>مرتبات!A8</f>
        <v>0</v>
      </c>
      <c r="B8" s="19" t="str">
        <f>مرتبات!B8</f>
        <v>Spare</v>
      </c>
      <c r="C8" s="64">
        <v>0</v>
      </c>
      <c r="D8" s="64">
        <v>0</v>
      </c>
      <c r="E8" s="64">
        <v>0</v>
      </c>
      <c r="F8" s="64">
        <v>0</v>
      </c>
      <c r="G8" s="64">
        <v>0</v>
      </c>
      <c r="H8" s="64">
        <v>0</v>
      </c>
      <c r="I8" s="64">
        <v>0</v>
      </c>
      <c r="J8" s="64">
        <v>0</v>
      </c>
      <c r="K8" s="64">
        <v>0</v>
      </c>
      <c r="L8" s="64">
        <f t="shared" si="0"/>
        <v>0</v>
      </c>
      <c r="M8" s="23"/>
    </row>
    <row r="9" spans="1:13" hidden="1" x14ac:dyDescent="0.25">
      <c r="A9" s="98">
        <f>مرتبات!A9</f>
        <v>0</v>
      </c>
      <c r="B9" s="19" t="str">
        <f>مرتبات!B9</f>
        <v>Spare</v>
      </c>
      <c r="C9" s="64">
        <v>0</v>
      </c>
      <c r="D9" s="64">
        <v>0</v>
      </c>
      <c r="E9" s="64">
        <v>0</v>
      </c>
      <c r="F9" s="64">
        <v>0</v>
      </c>
      <c r="G9" s="64">
        <v>0</v>
      </c>
      <c r="H9" s="64">
        <v>0</v>
      </c>
      <c r="I9" s="64">
        <v>0</v>
      </c>
      <c r="J9" s="64">
        <v>0</v>
      </c>
      <c r="K9" s="64">
        <v>0</v>
      </c>
      <c r="L9" s="64">
        <f t="shared" si="0"/>
        <v>0</v>
      </c>
      <c r="M9" s="29"/>
    </row>
    <row r="10" spans="1:13" hidden="1" x14ac:dyDescent="0.25">
      <c r="A10" s="98">
        <f>مرتبات!A10</f>
        <v>0</v>
      </c>
      <c r="B10" s="19" t="str">
        <f>مرتبات!B10</f>
        <v>Spare</v>
      </c>
      <c r="C10" s="64">
        <v>0</v>
      </c>
      <c r="D10" s="64">
        <v>0</v>
      </c>
      <c r="E10" s="64">
        <v>0</v>
      </c>
      <c r="F10" s="64">
        <v>0</v>
      </c>
      <c r="G10" s="64">
        <v>0</v>
      </c>
      <c r="H10" s="64">
        <v>0</v>
      </c>
      <c r="I10" s="64">
        <v>0</v>
      </c>
      <c r="J10" s="64">
        <v>0</v>
      </c>
      <c r="K10" s="64">
        <v>0</v>
      </c>
      <c r="L10" s="64">
        <f t="shared" si="0"/>
        <v>0</v>
      </c>
      <c r="M10" s="23"/>
    </row>
    <row r="11" spans="1:13" hidden="1" x14ac:dyDescent="0.25">
      <c r="A11" s="98">
        <f>مرتبات!A11</f>
        <v>0</v>
      </c>
      <c r="B11" s="19" t="str">
        <f>مرتبات!B11</f>
        <v>Spare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  <c r="H11" s="64">
        <v>0</v>
      </c>
      <c r="I11" s="64">
        <v>0</v>
      </c>
      <c r="J11" s="64">
        <v>0</v>
      </c>
      <c r="K11" s="64">
        <v>0</v>
      </c>
      <c r="L11" s="64">
        <f t="shared" si="0"/>
        <v>0</v>
      </c>
      <c r="M11" s="24"/>
    </row>
    <row r="12" spans="1:13" hidden="1" x14ac:dyDescent="0.25">
      <c r="A12" s="98">
        <f>مرتبات!A12</f>
        <v>0</v>
      </c>
      <c r="B12" s="19" t="str">
        <f>مرتبات!B12</f>
        <v>Spare</v>
      </c>
      <c r="C12" s="64">
        <v>0</v>
      </c>
      <c r="D12" s="64">
        <v>0</v>
      </c>
      <c r="E12" s="64">
        <v>0</v>
      </c>
      <c r="F12" s="64">
        <v>0</v>
      </c>
      <c r="G12" s="64">
        <v>0</v>
      </c>
      <c r="H12" s="64">
        <v>0</v>
      </c>
      <c r="I12" s="64">
        <v>0</v>
      </c>
      <c r="J12" s="64">
        <v>0</v>
      </c>
      <c r="K12" s="64">
        <v>0</v>
      </c>
      <c r="L12" s="64">
        <f t="shared" si="0"/>
        <v>0</v>
      </c>
      <c r="M12" s="72"/>
    </row>
    <row r="13" spans="1:13" hidden="1" x14ac:dyDescent="0.25">
      <c r="A13" s="98">
        <f>مرتبات!A13</f>
        <v>0</v>
      </c>
      <c r="B13" s="19" t="str">
        <f>مرتبات!B13</f>
        <v>Spare</v>
      </c>
      <c r="C13" s="64">
        <v>0</v>
      </c>
      <c r="D13" s="64">
        <v>0</v>
      </c>
      <c r="E13" s="64">
        <v>0</v>
      </c>
      <c r="F13" s="64">
        <v>0</v>
      </c>
      <c r="G13" s="64">
        <v>0</v>
      </c>
      <c r="H13" s="64">
        <v>0</v>
      </c>
      <c r="I13" s="64">
        <v>0</v>
      </c>
      <c r="J13" s="64">
        <v>0</v>
      </c>
      <c r="K13" s="64">
        <v>0</v>
      </c>
      <c r="L13" s="64">
        <f t="shared" si="0"/>
        <v>0</v>
      </c>
      <c r="M13" s="23"/>
    </row>
    <row r="14" spans="1:13" hidden="1" x14ac:dyDescent="0.25">
      <c r="A14" s="98">
        <f>مرتبات!A14</f>
        <v>0</v>
      </c>
      <c r="B14" s="19" t="str">
        <f>مرتبات!B14</f>
        <v>Spare</v>
      </c>
      <c r="C14" s="64">
        <v>0</v>
      </c>
      <c r="D14" s="64">
        <v>0</v>
      </c>
      <c r="E14" s="64">
        <v>0</v>
      </c>
      <c r="F14" s="64">
        <v>0</v>
      </c>
      <c r="G14" s="64">
        <v>0</v>
      </c>
      <c r="H14" s="64">
        <v>0</v>
      </c>
      <c r="I14" s="64">
        <v>0</v>
      </c>
      <c r="J14" s="64">
        <v>0</v>
      </c>
      <c r="K14" s="64">
        <v>0</v>
      </c>
      <c r="L14" s="64">
        <f t="shared" si="0"/>
        <v>0</v>
      </c>
      <c r="M14" s="23"/>
    </row>
    <row r="15" spans="1:13" hidden="1" x14ac:dyDescent="0.25">
      <c r="A15" s="98">
        <f>مرتبات!A15</f>
        <v>0</v>
      </c>
      <c r="B15" s="19" t="str">
        <f>مرتبات!B15</f>
        <v>Spare</v>
      </c>
      <c r="C15" s="64">
        <v>0</v>
      </c>
      <c r="D15" s="64">
        <v>0</v>
      </c>
      <c r="E15" s="64">
        <v>0</v>
      </c>
      <c r="F15" s="64">
        <v>0</v>
      </c>
      <c r="G15" s="64">
        <v>0</v>
      </c>
      <c r="H15" s="64">
        <v>0</v>
      </c>
      <c r="I15" s="64">
        <v>0</v>
      </c>
      <c r="J15" s="64">
        <v>0</v>
      </c>
      <c r="K15" s="64">
        <v>0</v>
      </c>
      <c r="L15" s="64">
        <f t="shared" si="0"/>
        <v>0</v>
      </c>
      <c r="M15" s="23"/>
    </row>
    <row r="16" spans="1:13" hidden="1" x14ac:dyDescent="0.25">
      <c r="A16" s="98">
        <f>مرتبات!A16</f>
        <v>0</v>
      </c>
      <c r="B16" s="19" t="str">
        <f>مرتبات!B16</f>
        <v>Spare</v>
      </c>
      <c r="C16" s="64">
        <v>0</v>
      </c>
      <c r="D16" s="64">
        <v>0</v>
      </c>
      <c r="E16" s="64">
        <v>0</v>
      </c>
      <c r="F16" s="64">
        <v>0</v>
      </c>
      <c r="G16" s="64">
        <v>0</v>
      </c>
      <c r="H16" s="64">
        <v>0</v>
      </c>
      <c r="I16" s="64">
        <v>0</v>
      </c>
      <c r="J16" s="64">
        <v>0</v>
      </c>
      <c r="K16" s="64">
        <v>0</v>
      </c>
      <c r="L16" s="64">
        <f t="shared" si="0"/>
        <v>0</v>
      </c>
      <c r="M16" s="23"/>
    </row>
    <row r="17" spans="1:13" hidden="1" x14ac:dyDescent="0.25">
      <c r="A17" s="98">
        <f>مرتبات!A17</f>
        <v>0</v>
      </c>
      <c r="B17" s="19" t="str">
        <f>مرتبات!B17</f>
        <v>Spare</v>
      </c>
      <c r="C17" s="64">
        <v>0</v>
      </c>
      <c r="D17" s="64">
        <v>0</v>
      </c>
      <c r="E17" s="64">
        <v>0</v>
      </c>
      <c r="F17" s="64">
        <v>0</v>
      </c>
      <c r="G17" s="64">
        <v>0</v>
      </c>
      <c r="H17" s="64">
        <v>0</v>
      </c>
      <c r="I17" s="64">
        <v>0</v>
      </c>
      <c r="J17" s="64">
        <v>0</v>
      </c>
      <c r="K17" s="64">
        <v>0</v>
      </c>
      <c r="L17" s="64">
        <f t="shared" si="0"/>
        <v>0</v>
      </c>
      <c r="M17" s="23"/>
    </row>
    <row r="18" spans="1:13" ht="15.6" x14ac:dyDescent="0.3">
      <c r="A18" s="98">
        <f>مرتبات!A18</f>
        <v>3</v>
      </c>
      <c r="B18" s="140" t="s">
        <v>61</v>
      </c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</row>
    <row r="19" spans="1:13" x14ac:dyDescent="0.25">
      <c r="A19" s="98">
        <f>مرتبات!A19</f>
        <v>1</v>
      </c>
      <c r="B19" s="19" t="str">
        <f>مرتبات!B19</f>
        <v>أ/ناجى رمضان أمين محمد</v>
      </c>
      <c r="C19" s="64">
        <v>0</v>
      </c>
      <c r="D19" s="64">
        <v>0</v>
      </c>
      <c r="E19" s="64">
        <v>0</v>
      </c>
      <c r="F19" s="64">
        <v>0</v>
      </c>
      <c r="G19" s="64">
        <v>0</v>
      </c>
      <c r="H19" s="64">
        <v>0</v>
      </c>
      <c r="I19" s="64">
        <v>0</v>
      </c>
      <c r="J19" s="64">
        <v>0</v>
      </c>
      <c r="K19" s="64">
        <v>0</v>
      </c>
      <c r="L19" s="64">
        <f t="shared" si="0"/>
        <v>0</v>
      </c>
      <c r="M19" s="158"/>
    </row>
    <row r="20" spans="1:13" x14ac:dyDescent="0.25">
      <c r="A20" s="98">
        <f>مرتبات!A20</f>
        <v>2</v>
      </c>
      <c r="B20" s="19" t="str">
        <f>مرتبات!B20</f>
        <v>أ/محمد عبد العزيز عبدالحافظ</v>
      </c>
      <c r="C20" s="64">
        <v>0</v>
      </c>
      <c r="D20" s="64">
        <v>0</v>
      </c>
      <c r="E20" s="64">
        <v>0</v>
      </c>
      <c r="F20" s="64">
        <v>0</v>
      </c>
      <c r="G20" s="64">
        <v>0</v>
      </c>
      <c r="H20" s="64">
        <v>0</v>
      </c>
      <c r="I20" s="64">
        <v>0</v>
      </c>
      <c r="J20" s="64">
        <v>0</v>
      </c>
      <c r="K20" s="64">
        <v>0</v>
      </c>
      <c r="L20" s="64">
        <f t="shared" si="0"/>
        <v>0</v>
      </c>
      <c r="M20" s="72"/>
    </row>
    <row r="21" spans="1:13" x14ac:dyDescent="0.25">
      <c r="A21" s="98">
        <f>مرتبات!A21</f>
        <v>3</v>
      </c>
      <c r="B21" s="19" t="str">
        <f>مرتبات!B21</f>
        <v>أ/ أحمد سعيد أحمد محمد علي</v>
      </c>
      <c r="C21" s="64">
        <v>0</v>
      </c>
      <c r="D21" s="64">
        <v>0</v>
      </c>
      <c r="E21" s="64">
        <v>0</v>
      </c>
      <c r="F21" s="64">
        <v>0</v>
      </c>
      <c r="G21" s="64">
        <v>0</v>
      </c>
      <c r="H21" s="64">
        <v>0</v>
      </c>
      <c r="I21" s="64">
        <v>0</v>
      </c>
      <c r="J21" s="64">
        <v>0</v>
      </c>
      <c r="K21" s="64">
        <v>0</v>
      </c>
      <c r="L21" s="64">
        <f t="shared" si="0"/>
        <v>0</v>
      </c>
      <c r="M21" s="23"/>
    </row>
    <row r="22" spans="1:13" x14ac:dyDescent="0.25">
      <c r="A22" s="98">
        <f>مرتبات!A22</f>
        <v>4</v>
      </c>
      <c r="B22" s="19" t="str">
        <f>مرتبات!B22</f>
        <v>أ/منة الله البلتاجى</v>
      </c>
      <c r="C22" s="64">
        <v>0</v>
      </c>
      <c r="D22" s="64">
        <v>0</v>
      </c>
      <c r="E22" s="64">
        <v>0</v>
      </c>
      <c r="F22" s="64">
        <v>0</v>
      </c>
      <c r="G22" s="64">
        <v>0</v>
      </c>
      <c r="H22" s="95">
        <v>0</v>
      </c>
      <c r="I22" s="95">
        <v>0</v>
      </c>
      <c r="J22" s="179">
        <v>0</v>
      </c>
      <c r="K22" s="64">
        <v>0</v>
      </c>
      <c r="L22" s="95">
        <f t="shared" si="0"/>
        <v>0</v>
      </c>
      <c r="M22" s="177"/>
    </row>
    <row r="23" spans="1:13" x14ac:dyDescent="0.25">
      <c r="A23" s="98">
        <f>مرتبات!A23</f>
        <v>5</v>
      </c>
      <c r="B23" s="19" t="str">
        <f>مرتبات!B23</f>
        <v>أ/نهى عمرو محمد رضوان</v>
      </c>
      <c r="C23" s="64">
        <v>0</v>
      </c>
      <c r="D23" s="64">
        <v>0</v>
      </c>
      <c r="E23" s="64">
        <v>0</v>
      </c>
      <c r="F23" s="64">
        <v>0</v>
      </c>
      <c r="G23" s="64">
        <v>0</v>
      </c>
      <c r="H23" s="64">
        <v>0</v>
      </c>
      <c r="I23" s="64">
        <v>0</v>
      </c>
      <c r="J23" s="64">
        <v>0</v>
      </c>
      <c r="K23" s="64">
        <v>0</v>
      </c>
      <c r="L23" s="64">
        <f t="shared" si="0"/>
        <v>0</v>
      </c>
      <c r="M23" s="23"/>
    </row>
    <row r="24" spans="1:13" x14ac:dyDescent="0.25">
      <c r="A24" s="98">
        <f>مرتبات!A24</f>
        <v>6</v>
      </c>
      <c r="B24" s="19" t="str">
        <f>مرتبات!B24</f>
        <v>أ/عبد الله عمرو حافظ</v>
      </c>
      <c r="C24" s="64">
        <v>0</v>
      </c>
      <c r="D24" s="64">
        <v>0</v>
      </c>
      <c r="E24" s="64">
        <v>0</v>
      </c>
      <c r="F24" s="64">
        <v>0</v>
      </c>
      <c r="G24" s="64">
        <v>0</v>
      </c>
      <c r="H24" s="64">
        <v>0</v>
      </c>
      <c r="I24" s="64">
        <v>0</v>
      </c>
      <c r="J24" s="64">
        <v>0</v>
      </c>
      <c r="K24" s="64">
        <v>0</v>
      </c>
      <c r="L24" s="64">
        <f t="shared" si="0"/>
        <v>0</v>
      </c>
      <c r="M24" s="73"/>
    </row>
    <row r="25" spans="1:13" x14ac:dyDescent="0.25">
      <c r="A25" s="98">
        <f>مرتبات!A25</f>
        <v>7</v>
      </c>
      <c r="B25" s="19" t="str">
        <f>مرتبات!B25</f>
        <v>أ/محمد حمدى كامل</v>
      </c>
      <c r="C25" s="64">
        <v>0</v>
      </c>
      <c r="D25" s="64">
        <v>0</v>
      </c>
      <c r="E25" s="64">
        <v>0</v>
      </c>
      <c r="F25" s="64">
        <v>0</v>
      </c>
      <c r="G25" s="64">
        <v>0</v>
      </c>
      <c r="H25" s="64">
        <v>0</v>
      </c>
      <c r="I25" s="64">
        <v>0</v>
      </c>
      <c r="J25" s="64">
        <v>0</v>
      </c>
      <c r="K25" s="64">
        <v>0</v>
      </c>
      <c r="L25" s="64">
        <f t="shared" si="0"/>
        <v>0</v>
      </c>
      <c r="M25" s="23"/>
    </row>
    <row r="26" spans="1:13" hidden="1" x14ac:dyDescent="0.25">
      <c r="A26" s="98">
        <f>مرتبات!A26</f>
        <v>0</v>
      </c>
      <c r="B26" s="19" t="str">
        <f>مرتبات!B26</f>
        <v>Spare</v>
      </c>
      <c r="C26" s="64">
        <v>0</v>
      </c>
      <c r="D26" s="64">
        <v>0</v>
      </c>
      <c r="E26" s="64">
        <v>0</v>
      </c>
      <c r="F26" s="64">
        <v>0</v>
      </c>
      <c r="G26" s="64">
        <v>0</v>
      </c>
      <c r="H26" s="64">
        <v>0</v>
      </c>
      <c r="I26" s="64">
        <v>0</v>
      </c>
      <c r="J26" s="64">
        <v>0</v>
      </c>
      <c r="K26" s="64">
        <v>0</v>
      </c>
      <c r="L26" s="64">
        <f t="shared" si="0"/>
        <v>0</v>
      </c>
      <c r="M26" s="23"/>
    </row>
    <row r="27" spans="1:13" hidden="1" x14ac:dyDescent="0.25">
      <c r="A27" s="98">
        <f>مرتبات!A27</f>
        <v>0</v>
      </c>
      <c r="B27" s="19" t="str">
        <f>مرتبات!B27</f>
        <v>Spare</v>
      </c>
      <c r="C27" s="64">
        <v>0</v>
      </c>
      <c r="D27" s="64">
        <v>0</v>
      </c>
      <c r="E27" s="64">
        <v>0</v>
      </c>
      <c r="F27" s="64">
        <v>0</v>
      </c>
      <c r="G27" s="64">
        <v>0</v>
      </c>
      <c r="H27" s="64">
        <v>0</v>
      </c>
      <c r="I27" s="64">
        <v>0</v>
      </c>
      <c r="J27" s="64">
        <v>0</v>
      </c>
      <c r="K27" s="64">
        <v>0</v>
      </c>
      <c r="L27" s="64">
        <f t="shared" si="0"/>
        <v>0</v>
      </c>
      <c r="M27" s="23"/>
    </row>
    <row r="28" spans="1:13" hidden="1" x14ac:dyDescent="0.25">
      <c r="A28" s="98">
        <f>مرتبات!A28</f>
        <v>0</v>
      </c>
      <c r="B28" s="19" t="str">
        <f>مرتبات!B28</f>
        <v>Spare</v>
      </c>
      <c r="C28" s="64">
        <v>0</v>
      </c>
      <c r="D28" s="64">
        <v>0</v>
      </c>
      <c r="E28" s="64">
        <v>0</v>
      </c>
      <c r="F28" s="64">
        <v>0</v>
      </c>
      <c r="G28" s="64">
        <v>0</v>
      </c>
      <c r="H28" s="64">
        <v>0</v>
      </c>
      <c r="I28" s="64">
        <v>0</v>
      </c>
      <c r="J28" s="64">
        <v>0</v>
      </c>
      <c r="K28" s="64">
        <v>0</v>
      </c>
      <c r="L28" s="64">
        <f t="shared" si="0"/>
        <v>0</v>
      </c>
      <c r="M28" s="23"/>
    </row>
    <row r="29" spans="1:13" hidden="1" x14ac:dyDescent="0.25">
      <c r="A29" s="98">
        <f>مرتبات!A29</f>
        <v>0</v>
      </c>
      <c r="B29" s="19" t="str">
        <f>مرتبات!B29</f>
        <v>Spare</v>
      </c>
      <c r="C29" s="64">
        <v>0</v>
      </c>
      <c r="D29" s="64">
        <v>0</v>
      </c>
      <c r="E29" s="64">
        <v>0</v>
      </c>
      <c r="F29" s="64">
        <v>0</v>
      </c>
      <c r="G29" s="64">
        <v>0</v>
      </c>
      <c r="H29" s="64">
        <v>0</v>
      </c>
      <c r="I29" s="64">
        <v>0</v>
      </c>
      <c r="J29" s="64">
        <v>0</v>
      </c>
      <c r="K29" s="64">
        <v>0</v>
      </c>
      <c r="L29" s="64">
        <f t="shared" si="0"/>
        <v>0</v>
      </c>
      <c r="M29" s="23"/>
    </row>
    <row r="30" spans="1:13" hidden="1" x14ac:dyDescent="0.25">
      <c r="A30" s="98">
        <f>مرتبات!A30</f>
        <v>0</v>
      </c>
      <c r="B30" s="19" t="str">
        <f>مرتبات!B30</f>
        <v>Spare</v>
      </c>
      <c r="C30" s="64">
        <v>0</v>
      </c>
      <c r="D30" s="64">
        <v>0</v>
      </c>
      <c r="E30" s="64">
        <v>0</v>
      </c>
      <c r="F30" s="64">
        <v>0</v>
      </c>
      <c r="G30" s="64">
        <v>0</v>
      </c>
      <c r="H30" s="64">
        <v>0</v>
      </c>
      <c r="I30" s="64">
        <v>0</v>
      </c>
      <c r="J30" s="64">
        <v>0</v>
      </c>
      <c r="K30" s="64">
        <v>0</v>
      </c>
      <c r="L30" s="64">
        <f t="shared" si="0"/>
        <v>0</v>
      </c>
      <c r="M30" s="23"/>
    </row>
    <row r="31" spans="1:13" hidden="1" x14ac:dyDescent="0.25">
      <c r="A31" s="98">
        <f>مرتبات!A31</f>
        <v>0</v>
      </c>
      <c r="B31" s="19" t="str">
        <f>مرتبات!B31</f>
        <v>Spare</v>
      </c>
      <c r="C31" s="64">
        <v>0</v>
      </c>
      <c r="D31" s="64">
        <v>0</v>
      </c>
      <c r="E31" s="64">
        <v>0</v>
      </c>
      <c r="F31" s="64">
        <v>0</v>
      </c>
      <c r="G31" s="64">
        <v>0</v>
      </c>
      <c r="H31" s="64">
        <v>0</v>
      </c>
      <c r="I31" s="64">
        <v>0</v>
      </c>
      <c r="J31" s="64">
        <v>0</v>
      </c>
      <c r="K31" s="64">
        <v>0</v>
      </c>
      <c r="L31" s="64">
        <f t="shared" si="0"/>
        <v>0</v>
      </c>
      <c r="M31" s="23"/>
    </row>
    <row r="32" spans="1:13" hidden="1" x14ac:dyDescent="0.25">
      <c r="A32" s="98">
        <f>مرتبات!A32</f>
        <v>0</v>
      </c>
      <c r="B32" s="19" t="str">
        <f>مرتبات!B32</f>
        <v>Spare</v>
      </c>
      <c r="C32" s="64">
        <v>0</v>
      </c>
      <c r="D32" s="64">
        <v>0</v>
      </c>
      <c r="E32" s="64">
        <v>0</v>
      </c>
      <c r="F32" s="64">
        <v>0</v>
      </c>
      <c r="G32" s="64">
        <v>0</v>
      </c>
      <c r="H32" s="64">
        <v>0</v>
      </c>
      <c r="I32" s="64">
        <v>0</v>
      </c>
      <c r="J32" s="64">
        <v>0</v>
      </c>
      <c r="K32" s="64">
        <v>0</v>
      </c>
      <c r="L32" s="64">
        <f t="shared" si="0"/>
        <v>0</v>
      </c>
      <c r="M32" s="23"/>
    </row>
    <row r="33" spans="1:13" x14ac:dyDescent="0.25">
      <c r="A33" s="98">
        <f>مرتبات!A33</f>
        <v>8</v>
      </c>
      <c r="B33" s="19" t="str">
        <f>مرتبات!B33</f>
        <v>أ/أحمد سيف الدين أبو بكر سري الدين</v>
      </c>
      <c r="C33" s="64">
        <v>0</v>
      </c>
      <c r="D33" s="64">
        <v>0</v>
      </c>
      <c r="E33" s="64">
        <v>0</v>
      </c>
      <c r="F33" s="64">
        <v>0</v>
      </c>
      <c r="G33" s="64">
        <v>0</v>
      </c>
      <c r="H33" s="64">
        <v>0</v>
      </c>
      <c r="I33" s="64">
        <v>0</v>
      </c>
      <c r="J33" s="64">
        <v>0</v>
      </c>
      <c r="K33" s="64">
        <v>0</v>
      </c>
      <c r="L33" s="64">
        <f t="shared" si="0"/>
        <v>0</v>
      </c>
      <c r="M33" s="72"/>
    </row>
    <row r="34" spans="1:13" x14ac:dyDescent="0.25">
      <c r="A34" s="98">
        <f>مرتبات!A34</f>
        <v>9</v>
      </c>
      <c r="B34" s="19" t="str">
        <f>مرتبات!B34</f>
        <v>أ/هاني أحمد الدالي</v>
      </c>
      <c r="C34" s="64">
        <v>0</v>
      </c>
      <c r="D34" s="64">
        <v>0</v>
      </c>
      <c r="E34" s="64">
        <v>0</v>
      </c>
      <c r="F34" s="64">
        <v>0</v>
      </c>
      <c r="G34" s="64">
        <v>0</v>
      </c>
      <c r="H34" s="64">
        <v>0</v>
      </c>
      <c r="I34" s="64">
        <v>0</v>
      </c>
      <c r="J34" s="64">
        <v>0</v>
      </c>
      <c r="K34" s="64">
        <v>0</v>
      </c>
      <c r="L34" s="64">
        <f t="shared" si="0"/>
        <v>0</v>
      </c>
      <c r="M34" s="23"/>
    </row>
    <row r="35" spans="1:13" x14ac:dyDescent="0.25">
      <c r="A35" s="98">
        <f>مرتبات!A35</f>
        <v>10</v>
      </c>
      <c r="B35" s="19" t="str">
        <f>مرتبات!B35</f>
        <v>أ/عبدالرحمن أحمد عبدالعزيز حسن</v>
      </c>
      <c r="C35" s="64">
        <v>0</v>
      </c>
      <c r="D35" s="64">
        <v>0</v>
      </c>
      <c r="E35" s="64">
        <v>0</v>
      </c>
      <c r="F35" s="64">
        <v>0</v>
      </c>
      <c r="G35" s="64">
        <v>0</v>
      </c>
      <c r="H35" s="64">
        <v>0</v>
      </c>
      <c r="I35" s="64">
        <v>0</v>
      </c>
      <c r="J35" s="64">
        <v>0</v>
      </c>
      <c r="K35" s="64">
        <v>0</v>
      </c>
      <c r="L35" s="64">
        <f t="shared" si="0"/>
        <v>0</v>
      </c>
      <c r="M35" s="23"/>
    </row>
    <row r="36" spans="1:13" hidden="1" x14ac:dyDescent="0.25">
      <c r="A36" s="98">
        <f>مرتبات!A36</f>
        <v>0</v>
      </c>
      <c r="B36" s="19" t="str">
        <f>مرتبات!B36</f>
        <v>Spare</v>
      </c>
      <c r="C36" s="64">
        <v>0</v>
      </c>
      <c r="D36" s="64">
        <v>0</v>
      </c>
      <c r="E36" s="64">
        <v>0</v>
      </c>
      <c r="F36" s="64">
        <v>0</v>
      </c>
      <c r="G36" s="64">
        <v>0</v>
      </c>
      <c r="H36" s="64">
        <v>0</v>
      </c>
      <c r="I36" s="64">
        <v>0</v>
      </c>
      <c r="J36" s="64">
        <v>0</v>
      </c>
      <c r="K36" s="64">
        <v>0</v>
      </c>
      <c r="L36" s="64">
        <f t="shared" si="0"/>
        <v>0</v>
      </c>
      <c r="M36" s="23"/>
    </row>
    <row r="37" spans="1:13" hidden="1" x14ac:dyDescent="0.25">
      <c r="A37" s="98">
        <f>مرتبات!A37</f>
        <v>0</v>
      </c>
      <c r="B37" s="19" t="str">
        <f>مرتبات!B37</f>
        <v>Spare</v>
      </c>
      <c r="C37" s="64">
        <v>0</v>
      </c>
      <c r="D37" s="64">
        <v>0</v>
      </c>
      <c r="E37" s="64">
        <v>0</v>
      </c>
      <c r="F37" s="64">
        <v>0</v>
      </c>
      <c r="G37" s="64">
        <v>0</v>
      </c>
      <c r="H37" s="64">
        <v>0</v>
      </c>
      <c r="I37" s="64">
        <v>0</v>
      </c>
      <c r="J37" s="64">
        <v>0</v>
      </c>
      <c r="K37" s="64">
        <v>0</v>
      </c>
      <c r="L37" s="64">
        <f t="shared" si="0"/>
        <v>0</v>
      </c>
      <c r="M37" s="23"/>
    </row>
    <row r="38" spans="1:13" hidden="1" x14ac:dyDescent="0.25">
      <c r="A38" s="98">
        <f>مرتبات!A38</f>
        <v>0</v>
      </c>
      <c r="B38" s="19" t="str">
        <f>مرتبات!B38</f>
        <v>Spare</v>
      </c>
      <c r="C38" s="64">
        <v>0</v>
      </c>
      <c r="D38" s="64">
        <v>0</v>
      </c>
      <c r="E38" s="64">
        <v>0</v>
      </c>
      <c r="F38" s="64">
        <v>0</v>
      </c>
      <c r="G38" s="64">
        <v>0</v>
      </c>
      <c r="H38" s="64">
        <v>0</v>
      </c>
      <c r="I38" s="64">
        <v>0</v>
      </c>
      <c r="J38" s="64">
        <v>0</v>
      </c>
      <c r="K38" s="64">
        <v>0</v>
      </c>
      <c r="L38" s="64">
        <f t="shared" si="0"/>
        <v>0</v>
      </c>
      <c r="M38" s="23"/>
    </row>
    <row r="39" spans="1:13" ht="15.6" hidden="1" x14ac:dyDescent="0.25">
      <c r="A39" s="98">
        <f>مرتبات!A39</f>
        <v>0</v>
      </c>
      <c r="B39" s="19" t="str">
        <f>مرتبات!B39</f>
        <v>Spare</v>
      </c>
      <c r="C39" s="64">
        <v>0</v>
      </c>
      <c r="D39" s="64">
        <v>0</v>
      </c>
      <c r="E39" s="64">
        <v>0</v>
      </c>
      <c r="F39" s="64">
        <v>0</v>
      </c>
      <c r="G39" s="64">
        <v>0</v>
      </c>
      <c r="H39" s="64">
        <v>0</v>
      </c>
      <c r="I39" s="64">
        <v>0</v>
      </c>
      <c r="J39" s="64">
        <v>0</v>
      </c>
      <c r="K39" s="64">
        <v>0</v>
      </c>
      <c r="L39" s="64">
        <f t="shared" si="0"/>
        <v>0</v>
      </c>
      <c r="M39" s="59"/>
    </row>
    <row r="40" spans="1:13" hidden="1" x14ac:dyDescent="0.25">
      <c r="A40" s="98">
        <f>مرتبات!A40</f>
        <v>0</v>
      </c>
      <c r="B40" s="19" t="str">
        <f>مرتبات!B40</f>
        <v>Spare</v>
      </c>
      <c r="C40" s="64">
        <v>0</v>
      </c>
      <c r="D40" s="64">
        <v>0</v>
      </c>
      <c r="E40" s="64">
        <v>0</v>
      </c>
      <c r="F40" s="64">
        <v>0</v>
      </c>
      <c r="G40" s="64">
        <v>0</v>
      </c>
      <c r="H40" s="64">
        <v>0</v>
      </c>
      <c r="I40" s="64">
        <v>0</v>
      </c>
      <c r="J40" s="64">
        <v>0</v>
      </c>
      <c r="K40" s="64">
        <v>0</v>
      </c>
      <c r="L40" s="64">
        <f t="shared" si="0"/>
        <v>0</v>
      </c>
      <c r="M40" s="73"/>
    </row>
    <row r="41" spans="1:13" hidden="1" x14ac:dyDescent="0.25">
      <c r="A41" s="98">
        <f>مرتبات!A41</f>
        <v>0</v>
      </c>
      <c r="B41" s="19" t="str">
        <f>مرتبات!B41</f>
        <v>Spare</v>
      </c>
      <c r="C41" s="64">
        <v>0</v>
      </c>
      <c r="D41" s="64">
        <v>0</v>
      </c>
      <c r="E41" s="64">
        <v>0</v>
      </c>
      <c r="F41" s="64">
        <v>0</v>
      </c>
      <c r="G41" s="64">
        <v>0</v>
      </c>
      <c r="H41" s="64">
        <v>0</v>
      </c>
      <c r="I41" s="64">
        <v>0</v>
      </c>
      <c r="J41" s="64">
        <v>0</v>
      </c>
      <c r="K41" s="64">
        <v>0</v>
      </c>
      <c r="L41" s="64">
        <f t="shared" si="0"/>
        <v>0</v>
      </c>
      <c r="M41" s="69"/>
    </row>
    <row r="42" spans="1:13" hidden="1" x14ac:dyDescent="0.25">
      <c r="A42" s="98">
        <f>مرتبات!A42</f>
        <v>0</v>
      </c>
      <c r="B42" s="19" t="str">
        <f>مرتبات!B42</f>
        <v>Spare</v>
      </c>
      <c r="C42" s="64">
        <v>0</v>
      </c>
      <c r="D42" s="64">
        <v>0</v>
      </c>
      <c r="E42" s="64">
        <v>0</v>
      </c>
      <c r="F42" s="64">
        <v>0</v>
      </c>
      <c r="G42" s="64">
        <v>0</v>
      </c>
      <c r="H42" s="64">
        <v>0</v>
      </c>
      <c r="I42" s="64">
        <v>0</v>
      </c>
      <c r="J42" s="64">
        <v>0</v>
      </c>
      <c r="K42" s="64">
        <v>0</v>
      </c>
      <c r="L42" s="64">
        <f t="shared" si="0"/>
        <v>0</v>
      </c>
      <c r="M42" s="23"/>
    </row>
    <row r="43" spans="1:13" ht="15.6" hidden="1" x14ac:dyDescent="0.25">
      <c r="A43" s="98">
        <f>مرتبات!A43</f>
        <v>0</v>
      </c>
      <c r="B43" s="19" t="str">
        <f>مرتبات!B43</f>
        <v>Spare</v>
      </c>
      <c r="C43" s="64">
        <v>0</v>
      </c>
      <c r="D43" s="64">
        <v>0</v>
      </c>
      <c r="E43" s="64">
        <v>0</v>
      </c>
      <c r="F43" s="64">
        <v>0</v>
      </c>
      <c r="G43" s="64">
        <v>0</v>
      </c>
      <c r="H43" s="64">
        <v>0</v>
      </c>
      <c r="I43" s="64">
        <v>0</v>
      </c>
      <c r="J43" s="64">
        <v>0</v>
      </c>
      <c r="K43" s="64">
        <v>0</v>
      </c>
      <c r="L43" s="64">
        <f t="shared" si="0"/>
        <v>0</v>
      </c>
      <c r="M43" s="59"/>
    </row>
    <row r="44" spans="1:13" hidden="1" x14ac:dyDescent="0.25">
      <c r="A44" s="98">
        <f>مرتبات!A44</f>
        <v>0</v>
      </c>
      <c r="B44" s="19" t="str">
        <f>مرتبات!B44</f>
        <v>Spare</v>
      </c>
      <c r="C44" s="64">
        <v>0</v>
      </c>
      <c r="D44" s="64">
        <v>0</v>
      </c>
      <c r="E44" s="64">
        <v>0</v>
      </c>
      <c r="F44" s="64">
        <v>0</v>
      </c>
      <c r="G44" s="64">
        <v>0</v>
      </c>
      <c r="H44" s="64">
        <v>0</v>
      </c>
      <c r="I44" s="64">
        <v>0</v>
      </c>
      <c r="J44" s="64">
        <v>0</v>
      </c>
      <c r="K44" s="64">
        <v>0</v>
      </c>
      <c r="L44" s="64">
        <f t="shared" si="0"/>
        <v>0</v>
      </c>
      <c r="M44" s="23"/>
    </row>
    <row r="45" spans="1:13" x14ac:dyDescent="0.25">
      <c r="A45" s="98">
        <f>مرتبات!A45</f>
        <v>11</v>
      </c>
      <c r="B45" s="19" t="str">
        <f>مرتبات!B45</f>
        <v>أ/حبيبة محمود سمير محمود عيسى</v>
      </c>
      <c r="C45" s="64">
        <v>0</v>
      </c>
      <c r="D45" s="64">
        <v>0</v>
      </c>
      <c r="E45" s="64">
        <v>0</v>
      </c>
      <c r="F45" s="64">
        <v>0</v>
      </c>
      <c r="G45" s="64">
        <v>0</v>
      </c>
      <c r="H45" s="95">
        <v>0</v>
      </c>
      <c r="I45" s="95">
        <v>0</v>
      </c>
      <c r="J45" s="64">
        <v>0</v>
      </c>
      <c r="K45" s="64">
        <v>0</v>
      </c>
      <c r="L45" s="95">
        <f t="shared" si="0"/>
        <v>0</v>
      </c>
      <c r="M45" s="177"/>
    </row>
    <row r="46" spans="1:13" x14ac:dyDescent="0.25">
      <c r="A46" s="98">
        <f>مرتبات!A46</f>
        <v>12</v>
      </c>
      <c r="B46" s="19" t="str">
        <f>مرتبات!B46</f>
        <v>أ/احمد ابو العباس محمد الاتربي</v>
      </c>
      <c r="C46" s="64">
        <v>0</v>
      </c>
      <c r="D46" s="64">
        <v>0</v>
      </c>
      <c r="E46" s="64">
        <v>0</v>
      </c>
      <c r="F46" s="64">
        <v>0</v>
      </c>
      <c r="G46" s="64">
        <v>0</v>
      </c>
      <c r="H46" s="64">
        <v>0</v>
      </c>
      <c r="I46" s="64">
        <v>0</v>
      </c>
      <c r="J46" s="64">
        <v>0</v>
      </c>
      <c r="K46" s="64">
        <v>0</v>
      </c>
      <c r="L46" s="64">
        <f t="shared" si="0"/>
        <v>0</v>
      </c>
      <c r="M46" s="72"/>
    </row>
    <row r="47" spans="1:13" x14ac:dyDescent="0.25">
      <c r="A47" s="98">
        <f>مرتبات!A47</f>
        <v>13</v>
      </c>
      <c r="B47" s="19" t="str">
        <f>مرتبات!B47</f>
        <v>أ/ليلي امين محمد امين طموم</v>
      </c>
      <c r="C47" s="64">
        <v>0</v>
      </c>
      <c r="D47" s="64">
        <v>0</v>
      </c>
      <c r="E47" s="64">
        <v>0</v>
      </c>
      <c r="F47" s="64">
        <v>0</v>
      </c>
      <c r="G47" s="64">
        <v>0</v>
      </c>
      <c r="H47" s="64">
        <v>0</v>
      </c>
      <c r="I47" s="64">
        <v>0</v>
      </c>
      <c r="J47" s="64">
        <v>0</v>
      </c>
      <c r="K47" s="64">
        <v>0</v>
      </c>
      <c r="L47" s="64">
        <f t="shared" si="0"/>
        <v>0</v>
      </c>
      <c r="M47" s="83"/>
    </row>
    <row r="48" spans="1:13" x14ac:dyDescent="0.25">
      <c r="A48" s="98">
        <f>مرتبات!A48</f>
        <v>14</v>
      </c>
      <c r="B48" s="19" t="str">
        <f>مرتبات!B48</f>
        <v>أ/كريم ايمن محمد عادل</v>
      </c>
      <c r="C48" s="64">
        <v>0</v>
      </c>
      <c r="D48" s="64">
        <v>0</v>
      </c>
      <c r="E48" s="64">
        <v>0</v>
      </c>
      <c r="F48" s="64">
        <v>0</v>
      </c>
      <c r="G48" s="64">
        <v>0</v>
      </c>
      <c r="H48" s="64">
        <v>0</v>
      </c>
      <c r="I48" s="64">
        <v>0</v>
      </c>
      <c r="J48" s="64">
        <v>0</v>
      </c>
      <c r="K48" s="64">
        <v>0</v>
      </c>
      <c r="L48" s="64">
        <f t="shared" si="0"/>
        <v>0</v>
      </c>
      <c r="M48" s="159"/>
    </row>
    <row r="49" spans="1:13" x14ac:dyDescent="0.25">
      <c r="A49" s="98">
        <f>مرتبات!A49</f>
        <v>15</v>
      </c>
      <c r="B49" s="19" t="str">
        <f>مرتبات!B49</f>
        <v>عمرو محمد عبدالحليم أبو سليم</v>
      </c>
      <c r="C49" s="64">
        <v>0</v>
      </c>
      <c r="D49" s="64">
        <v>0</v>
      </c>
      <c r="E49" s="64">
        <v>0</v>
      </c>
      <c r="F49" s="64">
        <v>0</v>
      </c>
      <c r="G49" s="64">
        <v>0</v>
      </c>
      <c r="H49" s="64">
        <v>0</v>
      </c>
      <c r="I49" s="64">
        <v>0</v>
      </c>
      <c r="J49" s="64">
        <v>0</v>
      </c>
      <c r="K49" s="64">
        <v>0</v>
      </c>
      <c r="L49" s="64">
        <f t="shared" si="0"/>
        <v>0</v>
      </c>
      <c r="M49" s="159"/>
    </row>
    <row r="50" spans="1:13" hidden="1" x14ac:dyDescent="0.25">
      <c r="A50" s="98">
        <f>مرتبات!A50</f>
        <v>0</v>
      </c>
      <c r="B50" s="19" t="str">
        <f>مرتبات!B50</f>
        <v>Spare</v>
      </c>
      <c r="C50" s="64">
        <v>0</v>
      </c>
      <c r="D50" s="64">
        <v>0</v>
      </c>
      <c r="E50" s="64">
        <v>0</v>
      </c>
      <c r="F50" s="64">
        <v>0</v>
      </c>
      <c r="G50" s="64">
        <v>0</v>
      </c>
      <c r="H50" s="64">
        <v>0</v>
      </c>
      <c r="I50" s="64">
        <v>0</v>
      </c>
      <c r="J50" s="64">
        <v>0</v>
      </c>
      <c r="K50" s="64">
        <v>0</v>
      </c>
      <c r="L50" s="64">
        <f t="shared" si="0"/>
        <v>0</v>
      </c>
      <c r="M50" s="33"/>
    </row>
    <row r="51" spans="1:13" hidden="1" x14ac:dyDescent="0.25">
      <c r="A51" s="98">
        <f>مرتبات!A51</f>
        <v>0</v>
      </c>
      <c r="B51" s="19" t="str">
        <f>مرتبات!B51</f>
        <v>Spare</v>
      </c>
      <c r="C51" s="64">
        <v>0</v>
      </c>
      <c r="D51" s="64">
        <v>0</v>
      </c>
      <c r="E51" s="64">
        <v>0</v>
      </c>
      <c r="F51" s="64">
        <v>0</v>
      </c>
      <c r="G51" s="64">
        <v>0</v>
      </c>
      <c r="H51" s="64">
        <v>0</v>
      </c>
      <c r="I51" s="64">
        <v>0</v>
      </c>
      <c r="J51" s="64">
        <v>0</v>
      </c>
      <c r="K51" s="64">
        <v>0</v>
      </c>
      <c r="L51" s="64">
        <f t="shared" si="0"/>
        <v>0</v>
      </c>
      <c r="M51" s="33"/>
    </row>
    <row r="52" spans="1:13" hidden="1" x14ac:dyDescent="0.25">
      <c r="A52" s="98">
        <f>مرتبات!A52</f>
        <v>0</v>
      </c>
      <c r="B52" s="19" t="str">
        <f>مرتبات!B52</f>
        <v>Spare</v>
      </c>
      <c r="C52" s="64">
        <v>0</v>
      </c>
      <c r="D52" s="64">
        <v>0</v>
      </c>
      <c r="E52" s="64">
        <v>0</v>
      </c>
      <c r="F52" s="64">
        <v>0</v>
      </c>
      <c r="G52" s="64">
        <v>0</v>
      </c>
      <c r="H52" s="64">
        <v>0</v>
      </c>
      <c r="I52" s="64">
        <v>0</v>
      </c>
      <c r="J52" s="64">
        <v>0</v>
      </c>
      <c r="K52" s="64">
        <v>0</v>
      </c>
      <c r="L52" s="64">
        <f t="shared" si="0"/>
        <v>0</v>
      </c>
      <c r="M52" s="60"/>
    </row>
    <row r="53" spans="1:13" hidden="1" x14ac:dyDescent="0.25">
      <c r="A53" s="98">
        <f>مرتبات!A53</f>
        <v>0</v>
      </c>
      <c r="B53" s="19" t="str">
        <f>مرتبات!B53</f>
        <v>Spare</v>
      </c>
      <c r="C53" s="64">
        <v>0</v>
      </c>
      <c r="D53" s="64">
        <v>0</v>
      </c>
      <c r="E53" s="64">
        <v>0</v>
      </c>
      <c r="F53" s="64">
        <v>0</v>
      </c>
      <c r="G53" s="64">
        <v>0</v>
      </c>
      <c r="H53" s="64">
        <v>0</v>
      </c>
      <c r="I53" s="64">
        <v>0</v>
      </c>
      <c r="J53" s="64">
        <v>0</v>
      </c>
      <c r="K53" s="64">
        <v>0</v>
      </c>
      <c r="L53" s="64">
        <f t="shared" si="0"/>
        <v>0</v>
      </c>
      <c r="M53" s="83"/>
    </row>
    <row r="54" spans="1:13" hidden="1" x14ac:dyDescent="0.25">
      <c r="A54" s="98">
        <f>مرتبات!A54</f>
        <v>0</v>
      </c>
      <c r="B54" s="19" t="str">
        <f>مرتبات!B54</f>
        <v>Spare</v>
      </c>
      <c r="C54" s="64">
        <v>0</v>
      </c>
      <c r="D54" s="64">
        <v>0</v>
      </c>
      <c r="E54" s="64">
        <v>0</v>
      </c>
      <c r="F54" s="64">
        <v>0</v>
      </c>
      <c r="G54" s="64">
        <v>0</v>
      </c>
      <c r="H54" s="64">
        <v>0</v>
      </c>
      <c r="I54" s="64">
        <v>0</v>
      </c>
      <c r="J54" s="64">
        <v>0</v>
      </c>
      <c r="K54" s="64">
        <v>0</v>
      </c>
      <c r="L54" s="64">
        <f t="shared" si="0"/>
        <v>0</v>
      </c>
      <c r="M54" s="83"/>
    </row>
    <row r="55" spans="1:13" hidden="1" x14ac:dyDescent="0.25">
      <c r="A55" s="98">
        <f>مرتبات!A55</f>
        <v>0</v>
      </c>
      <c r="B55" s="19" t="str">
        <f>مرتبات!B55</f>
        <v>Spare</v>
      </c>
      <c r="C55" s="64">
        <v>0</v>
      </c>
      <c r="D55" s="64">
        <v>0</v>
      </c>
      <c r="E55" s="64">
        <v>0</v>
      </c>
      <c r="F55" s="64">
        <v>0</v>
      </c>
      <c r="G55" s="64">
        <v>0</v>
      </c>
      <c r="H55" s="64">
        <v>0</v>
      </c>
      <c r="I55" s="64">
        <v>0</v>
      </c>
      <c r="J55" s="64">
        <v>0</v>
      </c>
      <c r="K55" s="64">
        <v>0</v>
      </c>
      <c r="L55" s="64">
        <f t="shared" si="0"/>
        <v>0</v>
      </c>
      <c r="M55" s="83"/>
    </row>
    <row r="56" spans="1:13" ht="15.6" x14ac:dyDescent="0.3">
      <c r="A56" s="167">
        <f>مرتبات!A56</f>
        <v>15</v>
      </c>
      <c r="B56" s="140" t="s">
        <v>89</v>
      </c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</row>
    <row r="57" spans="1:13" x14ac:dyDescent="0.25">
      <c r="A57" s="98">
        <f>مرتبات!A57</f>
        <v>1</v>
      </c>
      <c r="B57" s="19" t="str">
        <f>مرتبات!B57</f>
        <v>أ/دعاء عبد الدايم إبراهيم نصار</v>
      </c>
      <c r="C57" s="64">
        <v>0</v>
      </c>
      <c r="D57" s="64">
        <v>0</v>
      </c>
      <c r="E57" s="64">
        <v>0</v>
      </c>
      <c r="F57" s="64">
        <v>0</v>
      </c>
      <c r="G57" s="64">
        <v>0</v>
      </c>
      <c r="H57" s="64">
        <v>0</v>
      </c>
      <c r="I57" s="64">
        <v>0</v>
      </c>
      <c r="J57" s="64">
        <v>0</v>
      </c>
      <c r="K57" s="64">
        <v>0</v>
      </c>
      <c r="L57" s="64">
        <f t="shared" si="0"/>
        <v>0</v>
      </c>
      <c r="M57" s="160"/>
    </row>
    <row r="58" spans="1:13" x14ac:dyDescent="0.25">
      <c r="A58" s="98">
        <f>مرتبات!A58</f>
        <v>2</v>
      </c>
      <c r="B58" s="19" t="str">
        <f>مرتبات!B58</f>
        <v>أ/أحمد محمد رزق</v>
      </c>
      <c r="C58" s="64">
        <v>0</v>
      </c>
      <c r="D58" s="64">
        <v>0</v>
      </c>
      <c r="E58" s="64">
        <v>0</v>
      </c>
      <c r="F58" s="64">
        <v>0</v>
      </c>
      <c r="G58" s="64">
        <v>0</v>
      </c>
      <c r="H58" s="64">
        <v>0</v>
      </c>
      <c r="I58" s="64">
        <v>0</v>
      </c>
      <c r="J58" s="64">
        <v>0</v>
      </c>
      <c r="K58" s="64">
        <v>0</v>
      </c>
      <c r="L58" s="64">
        <f t="shared" si="0"/>
        <v>0</v>
      </c>
      <c r="M58" s="73"/>
    </row>
    <row r="59" spans="1:13" hidden="1" x14ac:dyDescent="0.25">
      <c r="A59" s="98">
        <f>مرتبات!A59</f>
        <v>0</v>
      </c>
      <c r="B59" s="19" t="str">
        <f>مرتبات!B59</f>
        <v>Manager Spare</v>
      </c>
      <c r="C59" s="64">
        <v>0</v>
      </c>
      <c r="D59" s="64">
        <v>0</v>
      </c>
      <c r="E59" s="64">
        <v>0</v>
      </c>
      <c r="F59" s="64">
        <v>0</v>
      </c>
      <c r="G59" s="64">
        <v>0</v>
      </c>
      <c r="H59" s="64">
        <v>0</v>
      </c>
      <c r="I59" s="64">
        <v>0</v>
      </c>
      <c r="J59" s="64">
        <v>0</v>
      </c>
      <c r="K59" s="64">
        <v>0</v>
      </c>
      <c r="L59" s="64">
        <f t="shared" si="0"/>
        <v>0</v>
      </c>
      <c r="M59" s="83"/>
    </row>
    <row r="60" spans="1:13" hidden="1" x14ac:dyDescent="0.25">
      <c r="A60" s="98">
        <f>مرتبات!A60</f>
        <v>0</v>
      </c>
      <c r="B60" s="19" t="str">
        <f>مرتبات!B60</f>
        <v>Manager Spare</v>
      </c>
      <c r="C60" s="64">
        <v>0</v>
      </c>
      <c r="D60" s="64">
        <v>0</v>
      </c>
      <c r="E60" s="64">
        <v>0</v>
      </c>
      <c r="F60" s="64">
        <v>0</v>
      </c>
      <c r="G60" s="64">
        <v>0</v>
      </c>
      <c r="H60" s="64">
        <v>0</v>
      </c>
      <c r="I60" s="64">
        <v>0</v>
      </c>
      <c r="J60" s="64">
        <v>0</v>
      </c>
      <c r="K60" s="64">
        <v>0</v>
      </c>
      <c r="L60" s="64">
        <f t="shared" si="0"/>
        <v>0</v>
      </c>
      <c r="M60" s="83"/>
    </row>
    <row r="61" spans="1:13" hidden="1" x14ac:dyDescent="0.25">
      <c r="A61" s="98">
        <f>مرتبات!A61</f>
        <v>0</v>
      </c>
      <c r="B61" s="19" t="str">
        <f>مرتبات!B61</f>
        <v>Manager Spare</v>
      </c>
      <c r="C61" s="64">
        <v>0</v>
      </c>
      <c r="D61" s="64">
        <v>0</v>
      </c>
      <c r="E61" s="64">
        <v>0</v>
      </c>
      <c r="F61" s="64">
        <v>0</v>
      </c>
      <c r="G61" s="64">
        <v>0</v>
      </c>
      <c r="H61" s="64">
        <v>0</v>
      </c>
      <c r="I61" s="64">
        <v>0</v>
      </c>
      <c r="J61" s="64">
        <v>0</v>
      </c>
      <c r="K61" s="64">
        <v>0</v>
      </c>
      <c r="L61" s="64">
        <f t="shared" si="0"/>
        <v>0</v>
      </c>
      <c r="M61" s="83"/>
    </row>
    <row r="62" spans="1:13" x14ac:dyDescent="0.25">
      <c r="A62" s="98">
        <f>مرتبات!A62</f>
        <v>3</v>
      </c>
      <c r="B62" s="19" t="str">
        <f>مرتبات!B62</f>
        <v>أ/خالد محمد حلمى</v>
      </c>
      <c r="C62" s="64">
        <v>0</v>
      </c>
      <c r="D62" s="64">
        <v>0</v>
      </c>
      <c r="E62" s="64">
        <v>0</v>
      </c>
      <c r="F62" s="64">
        <v>0</v>
      </c>
      <c r="G62" s="64">
        <v>0</v>
      </c>
      <c r="H62" s="64">
        <v>0</v>
      </c>
      <c r="I62" s="64">
        <v>0</v>
      </c>
      <c r="J62" s="64">
        <v>0</v>
      </c>
      <c r="K62" s="64">
        <v>0</v>
      </c>
      <c r="L62" s="64">
        <f t="shared" si="0"/>
        <v>0</v>
      </c>
      <c r="M62" s="158"/>
    </row>
    <row r="63" spans="1:13" x14ac:dyDescent="0.25">
      <c r="A63" s="98">
        <f>مرتبات!A63</f>
        <v>4</v>
      </c>
      <c r="B63" s="19" t="str">
        <f>مرتبات!B63</f>
        <v>أ/ نيرمين عصمت محمد حجازي</v>
      </c>
      <c r="C63" s="64">
        <v>0</v>
      </c>
      <c r="D63" s="64">
        <v>0</v>
      </c>
      <c r="E63" s="64">
        <v>0</v>
      </c>
      <c r="F63" s="64">
        <v>0</v>
      </c>
      <c r="G63" s="64">
        <v>0</v>
      </c>
      <c r="H63" s="64">
        <v>0</v>
      </c>
      <c r="I63" s="64">
        <v>0</v>
      </c>
      <c r="J63" s="64">
        <v>0</v>
      </c>
      <c r="K63" s="64">
        <v>0</v>
      </c>
      <c r="L63" s="64">
        <f t="shared" si="0"/>
        <v>0</v>
      </c>
      <c r="M63" s="83"/>
    </row>
    <row r="64" spans="1:13" hidden="1" x14ac:dyDescent="0.25">
      <c r="A64" s="98">
        <f>مرتبات!A64</f>
        <v>0</v>
      </c>
      <c r="B64" s="19" t="str">
        <f>مرتبات!B64</f>
        <v>Senior Spare</v>
      </c>
      <c r="C64" s="64">
        <v>0</v>
      </c>
      <c r="D64" s="64">
        <v>0</v>
      </c>
      <c r="E64" s="64">
        <v>0</v>
      </c>
      <c r="F64" s="64">
        <v>0</v>
      </c>
      <c r="G64" s="64">
        <v>0</v>
      </c>
      <c r="H64" s="64">
        <v>0</v>
      </c>
      <c r="I64" s="64">
        <v>0</v>
      </c>
      <c r="J64" s="64">
        <v>0</v>
      </c>
      <c r="K64" s="64">
        <v>0</v>
      </c>
      <c r="L64" s="64">
        <f t="shared" si="0"/>
        <v>0</v>
      </c>
      <c r="M64" s="83"/>
    </row>
    <row r="65" spans="1:13" hidden="1" x14ac:dyDescent="0.25">
      <c r="A65" s="98">
        <f>مرتبات!A65</f>
        <v>0</v>
      </c>
      <c r="B65" s="19" t="str">
        <f>مرتبات!B65</f>
        <v>Senior Spare</v>
      </c>
      <c r="C65" s="64">
        <v>0</v>
      </c>
      <c r="D65" s="64">
        <v>0</v>
      </c>
      <c r="E65" s="64">
        <v>0</v>
      </c>
      <c r="F65" s="64">
        <v>0</v>
      </c>
      <c r="G65" s="64">
        <v>0</v>
      </c>
      <c r="H65" s="64">
        <v>0</v>
      </c>
      <c r="I65" s="64">
        <v>0</v>
      </c>
      <c r="J65" s="64">
        <v>0</v>
      </c>
      <c r="K65" s="64">
        <v>0</v>
      </c>
      <c r="L65" s="64">
        <f t="shared" si="0"/>
        <v>0</v>
      </c>
      <c r="M65" s="83"/>
    </row>
    <row r="66" spans="1:13" hidden="1" x14ac:dyDescent="0.25">
      <c r="A66" s="98">
        <f>مرتبات!A66</f>
        <v>0</v>
      </c>
      <c r="B66" s="19" t="str">
        <f>مرتبات!B66</f>
        <v>Senior Spare</v>
      </c>
      <c r="C66" s="64">
        <v>0</v>
      </c>
      <c r="D66" s="64">
        <v>0</v>
      </c>
      <c r="E66" s="64">
        <v>0</v>
      </c>
      <c r="F66" s="64">
        <v>0</v>
      </c>
      <c r="G66" s="64">
        <v>0</v>
      </c>
      <c r="H66" s="64">
        <v>0</v>
      </c>
      <c r="I66" s="64">
        <v>0</v>
      </c>
      <c r="J66" s="64">
        <v>0</v>
      </c>
      <c r="K66" s="64">
        <v>0</v>
      </c>
      <c r="L66" s="64">
        <f t="shared" si="0"/>
        <v>0</v>
      </c>
      <c r="M66" s="83"/>
    </row>
    <row r="67" spans="1:13" hidden="1" x14ac:dyDescent="0.25">
      <c r="A67" s="98">
        <f>مرتبات!A67</f>
        <v>0</v>
      </c>
      <c r="B67" s="19" t="str">
        <f>مرتبات!B67</f>
        <v>Senior Spare</v>
      </c>
      <c r="C67" s="64">
        <v>0</v>
      </c>
      <c r="D67" s="64">
        <v>0</v>
      </c>
      <c r="E67" s="64">
        <v>0</v>
      </c>
      <c r="F67" s="64">
        <v>0</v>
      </c>
      <c r="G67" s="64">
        <v>0</v>
      </c>
      <c r="H67" s="64">
        <v>0</v>
      </c>
      <c r="I67" s="64">
        <v>0</v>
      </c>
      <c r="J67" s="64">
        <v>0</v>
      </c>
      <c r="K67" s="64">
        <v>0</v>
      </c>
      <c r="L67" s="64">
        <f t="shared" si="0"/>
        <v>0</v>
      </c>
      <c r="M67" s="83"/>
    </row>
    <row r="68" spans="1:13" x14ac:dyDescent="0.25">
      <c r="A68" s="98">
        <f>مرتبات!A68</f>
        <v>5</v>
      </c>
      <c r="B68" s="19" t="str">
        <f>مرتبات!B68</f>
        <v>أ/مروة شريف عبدالحميد سلامة</v>
      </c>
      <c r="C68" s="64">
        <v>0</v>
      </c>
      <c r="D68" s="64">
        <v>0</v>
      </c>
      <c r="E68" s="64">
        <v>0</v>
      </c>
      <c r="F68" s="64">
        <v>0</v>
      </c>
      <c r="G68" s="64">
        <v>0</v>
      </c>
      <c r="H68" s="64">
        <v>0</v>
      </c>
      <c r="I68" s="64">
        <v>0</v>
      </c>
      <c r="J68" s="64">
        <v>0</v>
      </c>
      <c r="K68" s="64">
        <v>0</v>
      </c>
      <c r="L68" s="64">
        <f t="shared" ref="L68:L117" si="1">SUM(C68:K68)</f>
        <v>0</v>
      </c>
      <c r="M68" s="83"/>
    </row>
    <row r="69" spans="1:13" x14ac:dyDescent="0.25">
      <c r="A69" s="98">
        <f>مرتبات!A69</f>
        <v>6</v>
      </c>
      <c r="B69" s="19" t="str">
        <f>مرتبات!B69</f>
        <v>أ/حازم ابراهيم عبد الحميد محمد فتاتة</v>
      </c>
      <c r="C69" s="64">
        <v>0</v>
      </c>
      <c r="D69" s="64">
        <v>0</v>
      </c>
      <c r="E69" s="64">
        <v>0</v>
      </c>
      <c r="F69" s="64">
        <v>0</v>
      </c>
      <c r="G69" s="64">
        <v>0</v>
      </c>
      <c r="H69" s="64">
        <v>0</v>
      </c>
      <c r="I69" s="64">
        <v>0</v>
      </c>
      <c r="J69" s="64">
        <v>0</v>
      </c>
      <c r="K69" s="64">
        <v>0</v>
      </c>
      <c r="L69" s="64">
        <f t="shared" si="1"/>
        <v>0</v>
      </c>
      <c r="M69" s="83"/>
    </row>
    <row r="70" spans="1:13" x14ac:dyDescent="0.25">
      <c r="A70" s="98">
        <v>0</v>
      </c>
      <c r="B70" s="19" t="str">
        <f>مرتبات!B70</f>
        <v xml:space="preserve">أ/أحمد سمير حسن السيد </v>
      </c>
      <c r="C70" s="64">
        <v>0</v>
      </c>
      <c r="D70" s="64">
        <v>0</v>
      </c>
      <c r="E70" s="64">
        <v>0</v>
      </c>
      <c r="F70" s="64">
        <v>0</v>
      </c>
      <c r="G70" s="64">
        <v>0</v>
      </c>
      <c r="H70" s="64">
        <v>0</v>
      </c>
      <c r="I70" s="64">
        <v>0</v>
      </c>
      <c r="J70" s="64">
        <v>0</v>
      </c>
      <c r="K70" s="64">
        <v>0</v>
      </c>
      <c r="L70" s="64">
        <f t="shared" si="1"/>
        <v>0</v>
      </c>
      <c r="M70" s="83"/>
    </row>
    <row r="71" spans="1:13" x14ac:dyDescent="0.25">
      <c r="A71" s="98">
        <v>7</v>
      </c>
      <c r="B71" s="19" t="str">
        <f>مرتبات!B71</f>
        <v>أ/إيمان صبحى شكرى</v>
      </c>
      <c r="C71" s="64">
        <v>0</v>
      </c>
      <c r="D71" s="64">
        <v>0</v>
      </c>
      <c r="E71" s="64">
        <v>0</v>
      </c>
      <c r="F71" s="64">
        <v>0</v>
      </c>
      <c r="G71" s="64">
        <v>0</v>
      </c>
      <c r="H71" s="64">
        <v>0</v>
      </c>
      <c r="I71" s="64">
        <v>0</v>
      </c>
      <c r="J71" s="64">
        <v>0</v>
      </c>
      <c r="K71" s="64">
        <v>0</v>
      </c>
      <c r="L71" s="64">
        <f t="shared" si="1"/>
        <v>0</v>
      </c>
      <c r="M71" s="83"/>
    </row>
    <row r="72" spans="1:13" x14ac:dyDescent="0.25">
      <c r="A72" s="98">
        <v>8</v>
      </c>
      <c r="B72" s="19" t="str">
        <f>مرتبات!B72</f>
        <v>أ/شريف شكرى محمد</v>
      </c>
      <c r="C72" s="64">
        <v>0</v>
      </c>
      <c r="D72" s="64">
        <v>0</v>
      </c>
      <c r="E72" s="64">
        <v>0</v>
      </c>
      <c r="F72" s="64">
        <v>0</v>
      </c>
      <c r="G72" s="64">
        <v>0</v>
      </c>
      <c r="H72" s="64">
        <v>0</v>
      </c>
      <c r="I72" s="64">
        <v>0</v>
      </c>
      <c r="J72" s="64">
        <v>0</v>
      </c>
      <c r="K72" s="64">
        <v>0</v>
      </c>
      <c r="L72" s="64">
        <f t="shared" si="1"/>
        <v>0</v>
      </c>
      <c r="M72" s="158"/>
    </row>
    <row r="73" spans="1:13" x14ac:dyDescent="0.25">
      <c r="A73" s="98">
        <v>9</v>
      </c>
      <c r="B73" s="19" t="str">
        <f>مرتبات!B73</f>
        <v>أ/محمد حسن محمد كامل</v>
      </c>
      <c r="C73" s="64">
        <v>0</v>
      </c>
      <c r="D73" s="64">
        <v>0</v>
      </c>
      <c r="E73" s="64">
        <v>0</v>
      </c>
      <c r="F73" s="64">
        <v>0</v>
      </c>
      <c r="G73" s="64">
        <v>0</v>
      </c>
      <c r="H73" s="64">
        <v>0</v>
      </c>
      <c r="I73" s="64">
        <v>0</v>
      </c>
      <c r="J73" s="64">
        <v>0</v>
      </c>
      <c r="K73" s="64">
        <v>0</v>
      </c>
      <c r="L73" s="64">
        <f t="shared" si="1"/>
        <v>0</v>
      </c>
      <c r="M73" s="159"/>
    </row>
    <row r="74" spans="1:13" x14ac:dyDescent="0.25">
      <c r="A74" s="98">
        <v>10</v>
      </c>
      <c r="B74" s="19" t="str">
        <f>مرتبات!B74</f>
        <v>أ/سامي ابراهيم محمد</v>
      </c>
      <c r="C74" s="64">
        <v>0</v>
      </c>
      <c r="D74" s="64">
        <v>0</v>
      </c>
      <c r="E74" s="64">
        <v>0</v>
      </c>
      <c r="F74" s="64">
        <v>0</v>
      </c>
      <c r="G74" s="64">
        <v>0</v>
      </c>
      <c r="H74" s="64">
        <v>0</v>
      </c>
      <c r="I74" s="64">
        <v>0</v>
      </c>
      <c r="J74" s="64">
        <v>0</v>
      </c>
      <c r="K74" s="64">
        <v>0</v>
      </c>
      <c r="L74" s="64">
        <f t="shared" si="1"/>
        <v>0</v>
      </c>
      <c r="M74" s="83"/>
    </row>
    <row r="75" spans="1:13" x14ac:dyDescent="0.25">
      <c r="A75" s="98">
        <v>11</v>
      </c>
      <c r="B75" s="19" t="str">
        <f>مرتبات!B75</f>
        <v>أ/محمود على محمود حسين</v>
      </c>
      <c r="C75" s="64">
        <v>0</v>
      </c>
      <c r="D75" s="64">
        <v>0</v>
      </c>
      <c r="E75" s="64">
        <v>0</v>
      </c>
      <c r="F75" s="64">
        <v>0</v>
      </c>
      <c r="G75" s="64">
        <v>0</v>
      </c>
      <c r="H75" s="64">
        <v>0</v>
      </c>
      <c r="I75" s="64">
        <v>0</v>
      </c>
      <c r="J75" s="64">
        <v>0</v>
      </c>
      <c r="K75" s="64">
        <v>0</v>
      </c>
      <c r="L75" s="64">
        <f t="shared" si="1"/>
        <v>0</v>
      </c>
      <c r="M75" s="83"/>
    </row>
    <row r="76" spans="1:13" x14ac:dyDescent="0.25">
      <c r="A76" s="98">
        <v>12</v>
      </c>
      <c r="B76" s="19" t="str">
        <f>مرتبات!B76</f>
        <v>أ/عمرو عبد الكريم صقر</v>
      </c>
      <c r="C76" s="64">
        <v>0</v>
      </c>
      <c r="D76" s="64">
        <v>0</v>
      </c>
      <c r="E76" s="64">
        <v>0</v>
      </c>
      <c r="F76" s="64">
        <v>0</v>
      </c>
      <c r="G76" s="64">
        <v>0</v>
      </c>
      <c r="H76" s="64">
        <v>0</v>
      </c>
      <c r="I76" s="64">
        <v>0</v>
      </c>
      <c r="J76" s="64">
        <v>0</v>
      </c>
      <c r="K76" s="64">
        <v>0</v>
      </c>
      <c r="L76" s="64">
        <f t="shared" si="1"/>
        <v>0</v>
      </c>
      <c r="M76" s="83"/>
    </row>
    <row r="77" spans="1:13" x14ac:dyDescent="0.25">
      <c r="A77" s="98">
        <v>13</v>
      </c>
      <c r="B77" s="19" t="str">
        <f>مرتبات!B77</f>
        <v>أ/مختار احمد المجدلي</v>
      </c>
      <c r="C77" s="64">
        <v>0</v>
      </c>
      <c r="D77" s="64">
        <v>0</v>
      </c>
      <c r="E77" s="64">
        <v>0</v>
      </c>
      <c r="F77" s="64">
        <v>0</v>
      </c>
      <c r="G77" s="64">
        <v>0</v>
      </c>
      <c r="H77" s="64">
        <v>0</v>
      </c>
      <c r="I77" s="64">
        <v>0</v>
      </c>
      <c r="J77" s="64">
        <v>0</v>
      </c>
      <c r="K77" s="64">
        <v>0</v>
      </c>
      <c r="L77" s="64">
        <f t="shared" si="1"/>
        <v>0</v>
      </c>
      <c r="M77" s="162"/>
    </row>
    <row r="78" spans="1:13" x14ac:dyDescent="0.25">
      <c r="A78" s="98">
        <v>14</v>
      </c>
      <c r="B78" s="19" t="str">
        <f>مرتبات!B78</f>
        <v>أ/طارق محمد جمعه</v>
      </c>
      <c r="C78" s="64">
        <v>0</v>
      </c>
      <c r="D78" s="64">
        <v>0</v>
      </c>
      <c r="E78" s="64">
        <v>0</v>
      </c>
      <c r="F78" s="64">
        <v>0</v>
      </c>
      <c r="G78" s="64">
        <v>0</v>
      </c>
      <c r="H78" s="64">
        <v>0</v>
      </c>
      <c r="I78" s="64">
        <v>0</v>
      </c>
      <c r="J78" s="64">
        <v>0</v>
      </c>
      <c r="K78" s="64">
        <v>0</v>
      </c>
      <c r="L78" s="64">
        <f t="shared" si="1"/>
        <v>0</v>
      </c>
      <c r="M78" s="83"/>
    </row>
    <row r="79" spans="1:13" x14ac:dyDescent="0.25">
      <c r="A79" s="98">
        <v>15</v>
      </c>
      <c r="B79" s="19" t="str">
        <f>مرتبات!B79</f>
        <v>أ/ أحمد محمد عبدالسلام</v>
      </c>
      <c r="C79" s="64">
        <v>0</v>
      </c>
      <c r="D79" s="64">
        <v>0</v>
      </c>
      <c r="E79" s="64">
        <v>0</v>
      </c>
      <c r="F79" s="64">
        <v>0</v>
      </c>
      <c r="G79" s="64">
        <v>0</v>
      </c>
      <c r="H79" s="64">
        <v>0</v>
      </c>
      <c r="I79" s="64">
        <v>0</v>
      </c>
      <c r="J79" s="64">
        <v>0</v>
      </c>
      <c r="K79" s="64">
        <v>0</v>
      </c>
      <c r="L79" s="95">
        <f t="shared" si="1"/>
        <v>0</v>
      </c>
      <c r="M79" s="164"/>
    </row>
    <row r="80" spans="1:13" hidden="1" x14ac:dyDescent="0.25">
      <c r="A80" s="98">
        <f>مرتبات!A80</f>
        <v>0</v>
      </c>
      <c r="B80" s="19">
        <f>مرتبات!B80</f>
        <v>0</v>
      </c>
      <c r="C80" s="64">
        <v>0</v>
      </c>
      <c r="D80" s="64">
        <v>0</v>
      </c>
      <c r="E80" s="64">
        <v>0</v>
      </c>
      <c r="F80" s="64">
        <v>0</v>
      </c>
      <c r="G80" s="64">
        <v>0</v>
      </c>
      <c r="H80" s="64">
        <v>0</v>
      </c>
      <c r="I80" s="64">
        <v>0</v>
      </c>
      <c r="J80" s="64">
        <v>0</v>
      </c>
      <c r="K80" s="64">
        <v>0</v>
      </c>
      <c r="L80" s="64">
        <f t="shared" si="1"/>
        <v>0</v>
      </c>
      <c r="M80" s="161"/>
    </row>
    <row r="81" spans="1:13" x14ac:dyDescent="0.25">
      <c r="A81" s="98">
        <v>16</v>
      </c>
      <c r="B81" s="19" t="str">
        <f>مرتبات!B81</f>
        <v>أ/محمد عبدالجواد محمد</v>
      </c>
      <c r="C81" s="64">
        <v>0</v>
      </c>
      <c r="D81" s="64">
        <v>0</v>
      </c>
      <c r="E81" s="64">
        <v>0</v>
      </c>
      <c r="F81" s="64">
        <v>0</v>
      </c>
      <c r="G81" s="64">
        <v>0</v>
      </c>
      <c r="H81" s="64">
        <v>0</v>
      </c>
      <c r="I81" s="64">
        <v>0</v>
      </c>
      <c r="J81" s="64">
        <v>0</v>
      </c>
      <c r="K81" s="64">
        <v>0</v>
      </c>
      <c r="L81" s="64">
        <f t="shared" si="1"/>
        <v>0</v>
      </c>
      <c r="M81" s="83"/>
    </row>
    <row r="82" spans="1:13" x14ac:dyDescent="0.25">
      <c r="A82" s="98">
        <v>17</v>
      </c>
      <c r="B82" s="19" t="str">
        <f>مرتبات!B82</f>
        <v>أ/ منة الله محب عبدالغفار السيد</v>
      </c>
      <c r="C82" s="64">
        <v>0</v>
      </c>
      <c r="D82" s="64">
        <v>0</v>
      </c>
      <c r="E82" s="64">
        <v>0</v>
      </c>
      <c r="F82" s="64">
        <v>0</v>
      </c>
      <c r="G82" s="64">
        <v>0</v>
      </c>
      <c r="H82" s="64">
        <v>0</v>
      </c>
      <c r="I82" s="64">
        <v>0</v>
      </c>
      <c r="J82" s="64">
        <v>0</v>
      </c>
      <c r="K82" s="64">
        <v>0</v>
      </c>
      <c r="L82" s="64">
        <f t="shared" si="1"/>
        <v>0</v>
      </c>
      <c r="M82" s="83"/>
    </row>
    <row r="83" spans="1:13" x14ac:dyDescent="0.25">
      <c r="A83" s="98">
        <v>18</v>
      </c>
      <c r="B83" s="19" t="str">
        <f>مرتبات!B83</f>
        <v>أ/عاصم محمد سعيد عبده</v>
      </c>
      <c r="C83" s="64">
        <v>0</v>
      </c>
      <c r="D83" s="64">
        <v>0</v>
      </c>
      <c r="E83" s="64">
        <v>0</v>
      </c>
      <c r="F83" s="64">
        <v>0</v>
      </c>
      <c r="G83" s="64">
        <v>0</v>
      </c>
      <c r="H83" s="64">
        <v>0</v>
      </c>
      <c r="I83" s="64">
        <v>0</v>
      </c>
      <c r="J83" s="64">
        <v>0</v>
      </c>
      <c r="K83" s="64">
        <v>0</v>
      </c>
      <c r="L83" s="64">
        <f t="shared" si="1"/>
        <v>0</v>
      </c>
      <c r="M83" s="161"/>
    </row>
    <row r="84" spans="1:13" x14ac:dyDescent="0.25">
      <c r="A84" s="98">
        <v>19</v>
      </c>
      <c r="B84" s="19" t="str">
        <f>مرتبات!B84</f>
        <v>أ/ نجوى إبراهيم محمود غنيم</v>
      </c>
      <c r="C84" s="64">
        <v>0</v>
      </c>
      <c r="D84" s="64">
        <v>0</v>
      </c>
      <c r="E84" s="64">
        <v>0</v>
      </c>
      <c r="F84" s="64">
        <v>0</v>
      </c>
      <c r="G84" s="64">
        <v>0</v>
      </c>
      <c r="H84" s="64">
        <v>0</v>
      </c>
      <c r="I84" s="64">
        <v>0</v>
      </c>
      <c r="J84" s="64">
        <v>0</v>
      </c>
      <c r="K84" s="64">
        <v>0</v>
      </c>
      <c r="L84" s="64">
        <f t="shared" si="1"/>
        <v>0</v>
      </c>
      <c r="M84" s="83"/>
    </row>
    <row r="85" spans="1:13" x14ac:dyDescent="0.25">
      <c r="A85" s="98">
        <v>20</v>
      </c>
      <c r="B85" s="19" t="s">
        <v>154</v>
      </c>
      <c r="C85" s="64">
        <v>0</v>
      </c>
      <c r="D85" s="64">
        <v>0</v>
      </c>
      <c r="E85" s="64">
        <v>0</v>
      </c>
      <c r="F85" s="64">
        <v>0</v>
      </c>
      <c r="G85" s="64">
        <v>0</v>
      </c>
      <c r="H85" s="64">
        <v>0</v>
      </c>
      <c r="I85" s="64">
        <v>0</v>
      </c>
      <c r="J85" s="64">
        <v>0</v>
      </c>
      <c r="K85" s="64">
        <v>0</v>
      </c>
      <c r="L85" s="64">
        <f t="shared" si="1"/>
        <v>0</v>
      </c>
      <c r="M85" s="73"/>
    </row>
    <row r="86" spans="1:13" hidden="1" x14ac:dyDescent="0.25">
      <c r="A86" s="98">
        <f>مرتبات!A86</f>
        <v>0</v>
      </c>
      <c r="B86" s="19" t="str">
        <f>مرتبات!B86</f>
        <v>Spare</v>
      </c>
      <c r="C86" s="64">
        <v>0</v>
      </c>
      <c r="D86" s="64">
        <v>0</v>
      </c>
      <c r="E86" s="64">
        <v>0</v>
      </c>
      <c r="F86" s="64">
        <v>0</v>
      </c>
      <c r="G86" s="64">
        <v>0</v>
      </c>
      <c r="H86" s="64">
        <v>0</v>
      </c>
      <c r="I86" s="64">
        <v>0</v>
      </c>
      <c r="J86" s="64">
        <v>0</v>
      </c>
      <c r="K86" s="64">
        <v>0</v>
      </c>
      <c r="L86" s="64">
        <f t="shared" si="1"/>
        <v>0</v>
      </c>
      <c r="M86" s="83"/>
    </row>
    <row r="87" spans="1:13" hidden="1" x14ac:dyDescent="0.25">
      <c r="A87" s="98">
        <f>مرتبات!A87</f>
        <v>0</v>
      </c>
      <c r="B87" s="19" t="str">
        <f>مرتبات!B87</f>
        <v>Spare</v>
      </c>
      <c r="C87" s="64">
        <v>0</v>
      </c>
      <c r="D87" s="64">
        <v>0</v>
      </c>
      <c r="E87" s="64">
        <v>0</v>
      </c>
      <c r="F87" s="64">
        <v>0</v>
      </c>
      <c r="G87" s="64">
        <v>0</v>
      </c>
      <c r="H87" s="64">
        <v>0</v>
      </c>
      <c r="I87" s="64">
        <v>0</v>
      </c>
      <c r="J87" s="64">
        <v>0</v>
      </c>
      <c r="K87" s="64">
        <v>0</v>
      </c>
      <c r="L87" s="64">
        <f t="shared" si="1"/>
        <v>0</v>
      </c>
      <c r="M87" s="83"/>
    </row>
    <row r="88" spans="1:13" hidden="1" x14ac:dyDescent="0.25">
      <c r="A88" s="98">
        <f>مرتبات!A88</f>
        <v>0</v>
      </c>
      <c r="B88" s="19" t="str">
        <f>مرتبات!B88</f>
        <v>Spare</v>
      </c>
      <c r="C88" s="64">
        <v>0</v>
      </c>
      <c r="D88" s="64">
        <v>0</v>
      </c>
      <c r="E88" s="64">
        <v>0</v>
      </c>
      <c r="F88" s="64">
        <v>0</v>
      </c>
      <c r="G88" s="64">
        <v>0</v>
      </c>
      <c r="H88" s="64">
        <v>0</v>
      </c>
      <c r="I88" s="64">
        <v>0</v>
      </c>
      <c r="J88" s="64">
        <v>0</v>
      </c>
      <c r="K88" s="64">
        <v>0</v>
      </c>
      <c r="L88" s="64">
        <f t="shared" si="1"/>
        <v>0</v>
      </c>
      <c r="M88" s="83"/>
    </row>
    <row r="89" spans="1:13" hidden="1" x14ac:dyDescent="0.25">
      <c r="A89" s="98">
        <f>مرتبات!A89</f>
        <v>0</v>
      </c>
      <c r="B89" s="19" t="str">
        <f>مرتبات!B89</f>
        <v>Spare</v>
      </c>
      <c r="C89" s="64">
        <v>0</v>
      </c>
      <c r="D89" s="64">
        <v>0</v>
      </c>
      <c r="E89" s="64">
        <v>0</v>
      </c>
      <c r="F89" s="64">
        <v>0</v>
      </c>
      <c r="G89" s="64">
        <v>0</v>
      </c>
      <c r="H89" s="64">
        <v>0</v>
      </c>
      <c r="I89" s="64">
        <v>0</v>
      </c>
      <c r="J89" s="64">
        <v>0</v>
      </c>
      <c r="K89" s="64">
        <v>0</v>
      </c>
      <c r="L89" s="64">
        <f t="shared" si="1"/>
        <v>0</v>
      </c>
      <c r="M89" s="83"/>
    </row>
    <row r="90" spans="1:13" hidden="1" x14ac:dyDescent="0.25">
      <c r="A90" s="98">
        <f>مرتبات!A90</f>
        <v>0</v>
      </c>
      <c r="B90" s="19" t="str">
        <f>مرتبات!B90</f>
        <v>Spare</v>
      </c>
      <c r="C90" s="64">
        <v>0</v>
      </c>
      <c r="D90" s="64">
        <v>0</v>
      </c>
      <c r="E90" s="64">
        <v>0</v>
      </c>
      <c r="F90" s="64">
        <v>0</v>
      </c>
      <c r="G90" s="64">
        <v>0</v>
      </c>
      <c r="H90" s="64">
        <v>0</v>
      </c>
      <c r="I90" s="64">
        <v>0</v>
      </c>
      <c r="J90" s="64">
        <v>0</v>
      </c>
      <c r="K90" s="64">
        <v>0</v>
      </c>
      <c r="L90" s="64">
        <f t="shared" si="1"/>
        <v>0</v>
      </c>
      <c r="M90" s="83"/>
    </row>
    <row r="91" spans="1:13" hidden="1" x14ac:dyDescent="0.25">
      <c r="A91" s="98">
        <f>مرتبات!A91</f>
        <v>0</v>
      </c>
      <c r="B91" s="19" t="str">
        <f>مرتبات!B91</f>
        <v>Spare</v>
      </c>
      <c r="C91" s="64">
        <v>0</v>
      </c>
      <c r="D91" s="64">
        <v>0</v>
      </c>
      <c r="E91" s="64">
        <v>0</v>
      </c>
      <c r="F91" s="64">
        <v>0</v>
      </c>
      <c r="G91" s="64">
        <v>0</v>
      </c>
      <c r="H91" s="64">
        <v>0</v>
      </c>
      <c r="I91" s="64">
        <v>0</v>
      </c>
      <c r="J91" s="64">
        <v>0</v>
      </c>
      <c r="K91" s="64">
        <v>0</v>
      </c>
      <c r="L91" s="64">
        <f t="shared" si="1"/>
        <v>0</v>
      </c>
      <c r="M91" s="83"/>
    </row>
    <row r="92" spans="1:13" hidden="1" x14ac:dyDescent="0.25">
      <c r="A92" s="98">
        <f>مرتبات!A92</f>
        <v>0</v>
      </c>
      <c r="B92" s="19" t="str">
        <f>مرتبات!B92</f>
        <v>Spare</v>
      </c>
      <c r="C92" s="64">
        <v>0</v>
      </c>
      <c r="D92" s="64">
        <v>0</v>
      </c>
      <c r="E92" s="64">
        <v>0</v>
      </c>
      <c r="F92" s="64">
        <v>0</v>
      </c>
      <c r="G92" s="64">
        <v>0</v>
      </c>
      <c r="H92" s="64">
        <v>0</v>
      </c>
      <c r="I92" s="64">
        <v>0</v>
      </c>
      <c r="J92" s="64">
        <v>0</v>
      </c>
      <c r="K92" s="64">
        <v>0</v>
      </c>
      <c r="L92" s="64">
        <f t="shared" si="1"/>
        <v>0</v>
      </c>
      <c r="M92" s="83"/>
    </row>
    <row r="93" spans="1:13" hidden="1" x14ac:dyDescent="0.25">
      <c r="A93" s="98">
        <f>مرتبات!A93</f>
        <v>0</v>
      </c>
      <c r="B93" s="19" t="str">
        <f>مرتبات!B93</f>
        <v>Spare</v>
      </c>
      <c r="C93" s="64">
        <v>0</v>
      </c>
      <c r="D93" s="64">
        <v>0</v>
      </c>
      <c r="E93" s="64">
        <v>0</v>
      </c>
      <c r="F93" s="64">
        <v>0</v>
      </c>
      <c r="G93" s="64">
        <v>0</v>
      </c>
      <c r="H93" s="64">
        <v>0</v>
      </c>
      <c r="I93" s="64">
        <v>0</v>
      </c>
      <c r="J93" s="64">
        <v>0</v>
      </c>
      <c r="K93" s="64">
        <v>0</v>
      </c>
      <c r="L93" s="64">
        <f t="shared" si="1"/>
        <v>0</v>
      </c>
      <c r="M93" s="83"/>
    </row>
    <row r="94" spans="1:13" hidden="1" x14ac:dyDescent="0.25">
      <c r="A94" s="98">
        <f>مرتبات!A94</f>
        <v>0</v>
      </c>
      <c r="B94" s="19" t="str">
        <f>مرتبات!B94</f>
        <v>Spare</v>
      </c>
      <c r="C94" s="64">
        <v>0</v>
      </c>
      <c r="D94" s="64">
        <v>0</v>
      </c>
      <c r="E94" s="64">
        <v>0</v>
      </c>
      <c r="F94" s="64">
        <v>0</v>
      </c>
      <c r="G94" s="64">
        <v>0</v>
      </c>
      <c r="H94" s="64">
        <v>0</v>
      </c>
      <c r="I94" s="64">
        <v>0</v>
      </c>
      <c r="J94" s="64">
        <v>0</v>
      </c>
      <c r="K94" s="64">
        <v>0</v>
      </c>
      <c r="L94" s="64">
        <f t="shared" si="1"/>
        <v>0</v>
      </c>
      <c r="M94" s="83"/>
    </row>
    <row r="95" spans="1:13" hidden="1" x14ac:dyDescent="0.25">
      <c r="A95" s="98">
        <f>مرتبات!A95</f>
        <v>0</v>
      </c>
      <c r="B95" s="19" t="str">
        <f>مرتبات!B95</f>
        <v>Spare</v>
      </c>
      <c r="C95" s="64">
        <v>0</v>
      </c>
      <c r="D95" s="64">
        <v>0</v>
      </c>
      <c r="E95" s="64">
        <v>0</v>
      </c>
      <c r="F95" s="64">
        <v>0</v>
      </c>
      <c r="G95" s="64">
        <v>0</v>
      </c>
      <c r="H95" s="64">
        <v>0</v>
      </c>
      <c r="I95" s="64">
        <v>0</v>
      </c>
      <c r="J95" s="64">
        <v>0</v>
      </c>
      <c r="K95" s="64">
        <v>0</v>
      </c>
      <c r="L95" s="64">
        <f t="shared" si="1"/>
        <v>0</v>
      </c>
      <c r="M95" s="83"/>
    </row>
    <row r="96" spans="1:13" hidden="1" x14ac:dyDescent="0.25">
      <c r="A96" s="98">
        <f>مرتبات!A96</f>
        <v>0</v>
      </c>
      <c r="B96" s="19" t="str">
        <f>مرتبات!B96</f>
        <v>Spare</v>
      </c>
      <c r="C96" s="64">
        <v>0</v>
      </c>
      <c r="D96" s="64">
        <v>0</v>
      </c>
      <c r="E96" s="64">
        <v>0</v>
      </c>
      <c r="F96" s="64">
        <v>0</v>
      </c>
      <c r="G96" s="64">
        <v>0</v>
      </c>
      <c r="H96" s="64">
        <v>0</v>
      </c>
      <c r="I96" s="64">
        <v>0</v>
      </c>
      <c r="J96" s="64">
        <v>0</v>
      </c>
      <c r="K96" s="64">
        <v>0</v>
      </c>
      <c r="L96" s="64">
        <f t="shared" si="1"/>
        <v>0</v>
      </c>
      <c r="M96" s="83"/>
    </row>
    <row r="97" spans="1:13" hidden="1" x14ac:dyDescent="0.25">
      <c r="A97" s="98">
        <f>مرتبات!A97</f>
        <v>0</v>
      </c>
      <c r="B97" s="19" t="str">
        <f>مرتبات!B97</f>
        <v>Spare</v>
      </c>
      <c r="C97" s="64">
        <v>0</v>
      </c>
      <c r="D97" s="64">
        <v>0</v>
      </c>
      <c r="E97" s="64">
        <v>0</v>
      </c>
      <c r="F97" s="64">
        <v>0</v>
      </c>
      <c r="G97" s="64">
        <v>0</v>
      </c>
      <c r="H97" s="64">
        <v>0</v>
      </c>
      <c r="I97" s="64">
        <v>0</v>
      </c>
      <c r="J97" s="64">
        <v>0</v>
      </c>
      <c r="K97" s="64">
        <v>0</v>
      </c>
      <c r="L97" s="64">
        <f t="shared" si="1"/>
        <v>0</v>
      </c>
      <c r="M97" s="83"/>
    </row>
    <row r="98" spans="1:13" hidden="1" x14ac:dyDescent="0.25">
      <c r="A98" s="98">
        <f>مرتبات!A98</f>
        <v>0</v>
      </c>
      <c r="B98" s="19" t="str">
        <f>مرتبات!B98</f>
        <v>Spare</v>
      </c>
      <c r="C98" s="64">
        <v>0</v>
      </c>
      <c r="D98" s="64">
        <v>0</v>
      </c>
      <c r="E98" s="64">
        <v>0</v>
      </c>
      <c r="F98" s="64">
        <v>0</v>
      </c>
      <c r="G98" s="64">
        <v>0</v>
      </c>
      <c r="H98" s="64">
        <v>0</v>
      </c>
      <c r="I98" s="64">
        <v>0</v>
      </c>
      <c r="J98" s="64">
        <v>0</v>
      </c>
      <c r="K98" s="64">
        <v>0</v>
      </c>
      <c r="L98" s="64">
        <f t="shared" si="1"/>
        <v>0</v>
      </c>
      <c r="M98" s="83"/>
    </row>
    <row r="99" spans="1:13" hidden="1" x14ac:dyDescent="0.25">
      <c r="A99" s="98">
        <f>مرتبات!A99</f>
        <v>0</v>
      </c>
      <c r="B99" s="19" t="str">
        <f>مرتبات!B99</f>
        <v>Spare</v>
      </c>
      <c r="C99" s="64">
        <v>0</v>
      </c>
      <c r="D99" s="64">
        <v>0</v>
      </c>
      <c r="E99" s="64">
        <v>0</v>
      </c>
      <c r="F99" s="64">
        <v>0</v>
      </c>
      <c r="G99" s="64">
        <v>0</v>
      </c>
      <c r="H99" s="64">
        <v>0</v>
      </c>
      <c r="I99" s="64">
        <v>0</v>
      </c>
      <c r="J99" s="64">
        <v>0</v>
      </c>
      <c r="K99" s="64">
        <v>0</v>
      </c>
      <c r="L99" s="64">
        <f t="shared" si="1"/>
        <v>0</v>
      </c>
      <c r="M99" s="83"/>
    </row>
    <row r="100" spans="1:13" hidden="1" x14ac:dyDescent="0.25">
      <c r="A100" s="98">
        <f>مرتبات!A100</f>
        <v>0</v>
      </c>
      <c r="B100" s="19" t="str">
        <f>مرتبات!B100</f>
        <v>Spare</v>
      </c>
      <c r="C100" s="64">
        <v>0</v>
      </c>
      <c r="D100" s="64">
        <v>0</v>
      </c>
      <c r="E100" s="64">
        <v>0</v>
      </c>
      <c r="F100" s="64">
        <v>0</v>
      </c>
      <c r="G100" s="64">
        <v>0</v>
      </c>
      <c r="H100" s="64">
        <v>0</v>
      </c>
      <c r="I100" s="64">
        <v>0</v>
      </c>
      <c r="J100" s="64">
        <v>0</v>
      </c>
      <c r="K100" s="64">
        <v>0</v>
      </c>
      <c r="L100" s="64">
        <f t="shared" si="1"/>
        <v>0</v>
      </c>
      <c r="M100" s="83"/>
    </row>
    <row r="101" spans="1:13" ht="15.6" x14ac:dyDescent="0.3">
      <c r="A101" s="98">
        <v>20</v>
      </c>
      <c r="B101" s="140" t="s">
        <v>90</v>
      </c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</row>
    <row r="102" spans="1:13" x14ac:dyDescent="0.25">
      <c r="A102" s="98">
        <f>مرتبات!A102</f>
        <v>1</v>
      </c>
      <c r="B102" s="19" t="str">
        <f>مرتبات!B102</f>
        <v>أ/هالة فوزي</v>
      </c>
      <c r="C102" s="64">
        <v>0</v>
      </c>
      <c r="D102" s="64">
        <v>0</v>
      </c>
      <c r="E102" s="64">
        <v>0</v>
      </c>
      <c r="F102" s="64">
        <v>0</v>
      </c>
      <c r="G102" s="64">
        <v>0</v>
      </c>
      <c r="H102" s="64">
        <v>0</v>
      </c>
      <c r="I102" s="64">
        <v>0</v>
      </c>
      <c r="J102" s="64">
        <v>0</v>
      </c>
      <c r="K102" s="64">
        <v>0</v>
      </c>
      <c r="L102" s="64">
        <f t="shared" si="1"/>
        <v>0</v>
      </c>
      <c r="M102" s="83"/>
    </row>
    <row r="103" spans="1:13" x14ac:dyDescent="0.25">
      <c r="A103" s="98">
        <f>مرتبات!A103</f>
        <v>2</v>
      </c>
      <c r="B103" s="19" t="str">
        <f>مرتبات!B103</f>
        <v>د/أمجد سعيد</v>
      </c>
      <c r="C103" s="64">
        <v>0</v>
      </c>
      <c r="D103" s="64">
        <v>0</v>
      </c>
      <c r="E103" s="64">
        <v>0</v>
      </c>
      <c r="F103" s="64">
        <v>0</v>
      </c>
      <c r="G103" s="64">
        <v>0</v>
      </c>
      <c r="H103" s="64">
        <v>0</v>
      </c>
      <c r="I103" s="64">
        <v>0</v>
      </c>
      <c r="J103" s="64">
        <v>0</v>
      </c>
      <c r="K103" s="64">
        <v>0</v>
      </c>
      <c r="L103" s="64">
        <f t="shared" si="1"/>
        <v>0</v>
      </c>
      <c r="M103" s="83"/>
    </row>
    <row r="104" spans="1:13" x14ac:dyDescent="0.25">
      <c r="A104" s="98">
        <f>مرتبات!A104</f>
        <v>3</v>
      </c>
      <c r="B104" s="19" t="str">
        <f>مرتبات!B104</f>
        <v>د/وليد رزق</v>
      </c>
      <c r="C104" s="64">
        <v>0</v>
      </c>
      <c r="D104" s="64">
        <v>0</v>
      </c>
      <c r="E104" s="64">
        <v>0</v>
      </c>
      <c r="F104" s="64">
        <v>0</v>
      </c>
      <c r="G104" s="64">
        <v>0</v>
      </c>
      <c r="H104" s="64">
        <v>0</v>
      </c>
      <c r="I104" s="64">
        <v>0</v>
      </c>
      <c r="J104" s="64">
        <v>0</v>
      </c>
      <c r="K104" s="64">
        <v>0</v>
      </c>
      <c r="L104" s="64">
        <f t="shared" si="1"/>
        <v>0</v>
      </c>
      <c r="M104" s="83"/>
    </row>
    <row r="105" spans="1:13" x14ac:dyDescent="0.25">
      <c r="A105" s="98">
        <f>مرتبات!A105</f>
        <v>4</v>
      </c>
      <c r="B105" s="19" t="str">
        <f>مرتبات!B105</f>
        <v>د/أمينة العطيفي</v>
      </c>
      <c r="C105" s="64">
        <v>0</v>
      </c>
      <c r="D105" s="64">
        <v>0</v>
      </c>
      <c r="E105" s="64">
        <v>0</v>
      </c>
      <c r="F105" s="64">
        <v>0</v>
      </c>
      <c r="G105" s="64">
        <v>0</v>
      </c>
      <c r="H105" s="64">
        <v>0</v>
      </c>
      <c r="I105" s="64">
        <v>0</v>
      </c>
      <c r="J105" s="64">
        <v>0</v>
      </c>
      <c r="K105" s="64">
        <v>0</v>
      </c>
      <c r="L105" s="64">
        <f t="shared" si="1"/>
        <v>0</v>
      </c>
      <c r="M105" s="83"/>
    </row>
    <row r="106" spans="1:13" x14ac:dyDescent="0.25">
      <c r="A106" s="98">
        <f>مرتبات!A106</f>
        <v>5</v>
      </c>
      <c r="B106" s="19" t="str">
        <f>مرتبات!B106</f>
        <v>أ/ محمد فاروق عبد الحليم</v>
      </c>
      <c r="C106" s="64">
        <v>0</v>
      </c>
      <c r="D106" s="64">
        <v>0</v>
      </c>
      <c r="E106" s="64">
        <v>0</v>
      </c>
      <c r="F106" s="64">
        <v>0</v>
      </c>
      <c r="G106" s="64">
        <v>0</v>
      </c>
      <c r="H106" s="64">
        <v>0</v>
      </c>
      <c r="I106" s="64">
        <v>0</v>
      </c>
      <c r="J106" s="64">
        <v>0</v>
      </c>
      <c r="K106" s="64">
        <v>0</v>
      </c>
      <c r="L106" s="64">
        <f t="shared" si="1"/>
        <v>0</v>
      </c>
      <c r="M106" s="83"/>
    </row>
    <row r="107" spans="1:13" x14ac:dyDescent="0.25">
      <c r="A107" s="98">
        <f>مرتبات!A107</f>
        <v>6</v>
      </c>
      <c r="B107" s="19" t="str">
        <f>مرتبات!B107</f>
        <v>د/ أحمد بغدادي رشدي محمد</v>
      </c>
      <c r="C107" s="64">
        <v>0</v>
      </c>
      <c r="D107" s="64">
        <v>0</v>
      </c>
      <c r="E107" s="64">
        <v>0</v>
      </c>
      <c r="F107" s="64">
        <v>0</v>
      </c>
      <c r="G107" s="64">
        <v>0</v>
      </c>
      <c r="H107" s="64">
        <v>0</v>
      </c>
      <c r="I107" s="64">
        <v>0</v>
      </c>
      <c r="J107" s="64">
        <v>0</v>
      </c>
      <c r="K107" s="64">
        <v>0</v>
      </c>
      <c r="L107" s="64">
        <f t="shared" si="1"/>
        <v>0</v>
      </c>
      <c r="M107" s="83"/>
    </row>
    <row r="108" spans="1:13" ht="15.6" thickBot="1" x14ac:dyDescent="0.3">
      <c r="A108" s="98">
        <v>7</v>
      </c>
      <c r="B108" s="19" t="str">
        <f>مرتبات!B108</f>
        <v>المستشار محمد ماهر عبدالواحد</v>
      </c>
      <c r="C108" s="64">
        <v>0</v>
      </c>
      <c r="D108" s="64">
        <v>0</v>
      </c>
      <c r="E108" s="64">
        <v>0</v>
      </c>
      <c r="F108" s="64">
        <v>0</v>
      </c>
      <c r="G108" s="64">
        <v>0</v>
      </c>
      <c r="H108" s="64">
        <v>0</v>
      </c>
      <c r="I108" s="64">
        <v>0</v>
      </c>
      <c r="J108" s="64">
        <v>0</v>
      </c>
      <c r="K108" s="64">
        <v>0</v>
      </c>
      <c r="L108" s="64">
        <f t="shared" si="1"/>
        <v>0</v>
      </c>
      <c r="M108" s="83"/>
    </row>
    <row r="109" spans="1:13" hidden="1" x14ac:dyDescent="0.25">
      <c r="A109" s="98">
        <f>مرتبات!A109</f>
        <v>0</v>
      </c>
      <c r="B109" s="19" t="str">
        <f>مرتبات!B109</f>
        <v>Spare</v>
      </c>
      <c r="C109" s="64">
        <v>0</v>
      </c>
      <c r="D109" s="64">
        <v>0</v>
      </c>
      <c r="E109" s="64">
        <v>0</v>
      </c>
      <c r="F109" s="64">
        <v>0</v>
      </c>
      <c r="G109" s="64">
        <v>0</v>
      </c>
      <c r="H109" s="64">
        <v>0</v>
      </c>
      <c r="I109" s="64">
        <v>0</v>
      </c>
      <c r="J109" s="64">
        <v>0</v>
      </c>
      <c r="K109" s="64">
        <v>0</v>
      </c>
      <c r="L109" s="64">
        <f t="shared" si="1"/>
        <v>0</v>
      </c>
      <c r="M109" s="83"/>
    </row>
    <row r="110" spans="1:13" hidden="1" x14ac:dyDescent="0.25">
      <c r="A110" s="98">
        <f>مرتبات!A110</f>
        <v>0</v>
      </c>
      <c r="B110" s="19" t="str">
        <f>مرتبات!B110</f>
        <v>Spare</v>
      </c>
      <c r="C110" s="64">
        <v>0</v>
      </c>
      <c r="D110" s="64">
        <v>0</v>
      </c>
      <c r="E110" s="64">
        <v>0</v>
      </c>
      <c r="F110" s="64">
        <v>0</v>
      </c>
      <c r="G110" s="64">
        <v>0</v>
      </c>
      <c r="H110" s="64">
        <v>0</v>
      </c>
      <c r="I110" s="64">
        <v>0</v>
      </c>
      <c r="J110" s="64">
        <v>0</v>
      </c>
      <c r="K110" s="64">
        <v>0</v>
      </c>
      <c r="L110" s="64">
        <f t="shared" si="1"/>
        <v>0</v>
      </c>
      <c r="M110" s="83"/>
    </row>
    <row r="111" spans="1:13" hidden="1" x14ac:dyDescent="0.25">
      <c r="A111" s="98">
        <f>مرتبات!A111</f>
        <v>0</v>
      </c>
      <c r="B111" s="19" t="str">
        <f>مرتبات!B111</f>
        <v>Spare</v>
      </c>
      <c r="C111" s="64">
        <v>0</v>
      </c>
      <c r="D111" s="64">
        <v>0</v>
      </c>
      <c r="E111" s="64">
        <v>0</v>
      </c>
      <c r="F111" s="64">
        <v>0</v>
      </c>
      <c r="G111" s="64">
        <v>0</v>
      </c>
      <c r="H111" s="64">
        <v>0</v>
      </c>
      <c r="I111" s="64">
        <v>0</v>
      </c>
      <c r="J111" s="64">
        <v>0</v>
      </c>
      <c r="K111" s="64">
        <v>0</v>
      </c>
      <c r="L111" s="64">
        <f t="shared" si="1"/>
        <v>0</v>
      </c>
      <c r="M111" s="83"/>
    </row>
    <row r="112" spans="1:13" hidden="1" x14ac:dyDescent="0.25">
      <c r="A112" s="98">
        <f>مرتبات!A112</f>
        <v>0</v>
      </c>
      <c r="B112" s="19" t="str">
        <f>مرتبات!B112</f>
        <v>Spare</v>
      </c>
      <c r="C112" s="64">
        <v>0</v>
      </c>
      <c r="D112" s="64">
        <v>0</v>
      </c>
      <c r="E112" s="64">
        <v>0</v>
      </c>
      <c r="F112" s="64">
        <v>0</v>
      </c>
      <c r="G112" s="64">
        <v>0</v>
      </c>
      <c r="H112" s="64">
        <v>0</v>
      </c>
      <c r="I112" s="64">
        <v>0</v>
      </c>
      <c r="J112" s="64">
        <v>0</v>
      </c>
      <c r="K112" s="64">
        <v>0</v>
      </c>
      <c r="L112" s="64">
        <f t="shared" si="1"/>
        <v>0</v>
      </c>
      <c r="M112" s="83"/>
    </row>
    <row r="113" spans="1:13" hidden="1" x14ac:dyDescent="0.25">
      <c r="A113" s="98">
        <f>مرتبات!A113</f>
        <v>0</v>
      </c>
      <c r="B113" s="19" t="str">
        <f>مرتبات!B113</f>
        <v>Spare</v>
      </c>
      <c r="C113" s="64">
        <v>0</v>
      </c>
      <c r="D113" s="64">
        <v>0</v>
      </c>
      <c r="E113" s="64">
        <v>0</v>
      </c>
      <c r="F113" s="64">
        <v>0</v>
      </c>
      <c r="G113" s="64">
        <v>0</v>
      </c>
      <c r="H113" s="64">
        <v>0</v>
      </c>
      <c r="I113" s="64">
        <v>0</v>
      </c>
      <c r="J113" s="64">
        <v>0</v>
      </c>
      <c r="K113" s="64">
        <v>0</v>
      </c>
      <c r="L113" s="64">
        <f t="shared" si="1"/>
        <v>0</v>
      </c>
      <c r="M113" s="83"/>
    </row>
    <row r="114" spans="1:13" hidden="1" x14ac:dyDescent="0.25">
      <c r="A114" s="98">
        <f>مرتبات!A114</f>
        <v>0</v>
      </c>
      <c r="B114" s="19" t="str">
        <f>مرتبات!B114</f>
        <v>Spare</v>
      </c>
      <c r="C114" s="64">
        <v>0</v>
      </c>
      <c r="D114" s="64">
        <v>0</v>
      </c>
      <c r="E114" s="64">
        <v>0</v>
      </c>
      <c r="F114" s="64">
        <v>0</v>
      </c>
      <c r="G114" s="64">
        <v>0</v>
      </c>
      <c r="H114" s="64">
        <v>0</v>
      </c>
      <c r="I114" s="64">
        <v>0</v>
      </c>
      <c r="J114" s="64">
        <v>0</v>
      </c>
      <c r="K114" s="64">
        <v>0</v>
      </c>
      <c r="L114" s="64">
        <f t="shared" si="1"/>
        <v>0</v>
      </c>
      <c r="M114" s="83"/>
    </row>
    <row r="115" spans="1:13" hidden="1" x14ac:dyDescent="0.25">
      <c r="A115" s="98">
        <f>مرتبات!A115</f>
        <v>0</v>
      </c>
      <c r="B115" s="19" t="str">
        <f>مرتبات!B115</f>
        <v>Spare</v>
      </c>
      <c r="C115" s="64">
        <v>0</v>
      </c>
      <c r="D115" s="64">
        <v>0</v>
      </c>
      <c r="E115" s="64">
        <v>0</v>
      </c>
      <c r="F115" s="64">
        <v>0</v>
      </c>
      <c r="G115" s="64">
        <v>0</v>
      </c>
      <c r="H115" s="64">
        <v>0</v>
      </c>
      <c r="I115" s="64">
        <v>0</v>
      </c>
      <c r="J115" s="64">
        <v>0</v>
      </c>
      <c r="K115" s="64">
        <v>0</v>
      </c>
      <c r="L115" s="64">
        <f t="shared" si="1"/>
        <v>0</v>
      </c>
      <c r="M115" s="83"/>
    </row>
    <row r="116" spans="1:13" hidden="1" x14ac:dyDescent="0.25">
      <c r="A116" s="98">
        <f>مرتبات!A116</f>
        <v>0</v>
      </c>
      <c r="B116" s="19" t="str">
        <f>مرتبات!B116</f>
        <v>Spare</v>
      </c>
      <c r="C116" s="64">
        <v>0</v>
      </c>
      <c r="D116" s="64">
        <v>0</v>
      </c>
      <c r="E116" s="64">
        <v>0</v>
      </c>
      <c r="F116" s="64">
        <v>0</v>
      </c>
      <c r="G116" s="64">
        <v>0</v>
      </c>
      <c r="H116" s="64">
        <v>0</v>
      </c>
      <c r="I116" s="64">
        <v>0</v>
      </c>
      <c r="J116" s="64">
        <v>0</v>
      </c>
      <c r="K116" s="64">
        <v>0</v>
      </c>
      <c r="L116" s="64">
        <f t="shared" si="1"/>
        <v>0</v>
      </c>
      <c r="M116" s="83"/>
    </row>
    <row r="117" spans="1:13" ht="15.6" hidden="1" thickBot="1" x14ac:dyDescent="0.3">
      <c r="A117" s="98">
        <f>مرتبات!A117</f>
        <v>0</v>
      </c>
      <c r="B117" s="19" t="str">
        <f>مرتبات!B117</f>
        <v>Spare</v>
      </c>
      <c r="C117" s="64">
        <v>0</v>
      </c>
      <c r="D117" s="64">
        <v>0</v>
      </c>
      <c r="E117" s="64">
        <v>0</v>
      </c>
      <c r="F117" s="64">
        <v>0</v>
      </c>
      <c r="G117" s="64">
        <v>0</v>
      </c>
      <c r="H117" s="64">
        <v>0</v>
      </c>
      <c r="I117" s="64">
        <v>0</v>
      </c>
      <c r="J117" s="64">
        <v>0</v>
      </c>
      <c r="K117" s="64">
        <v>0</v>
      </c>
      <c r="L117" s="64">
        <f t="shared" si="1"/>
        <v>0</v>
      </c>
      <c r="M117" s="83"/>
    </row>
    <row r="118" spans="1:13" s="16" customFormat="1" ht="16.2" thickBot="1" x14ac:dyDescent="0.3">
      <c r="A118" s="98">
        <v>7</v>
      </c>
      <c r="B118" s="144" t="s">
        <v>62</v>
      </c>
      <c r="C118" s="94">
        <f>SUM(C4:C17)+SUM(C19:C55)+SUM(C57:C100)+SUM(C102:C117)</f>
        <v>0</v>
      </c>
      <c r="D118" s="94">
        <f t="shared" ref="D118:K118" si="2">SUM(D4:D17)+SUM(D19:D55)+SUM(D57:D100)+SUM(D102:D117)</f>
        <v>0</v>
      </c>
      <c r="E118" s="94">
        <f t="shared" si="2"/>
        <v>0</v>
      </c>
      <c r="F118" s="94">
        <f t="shared" si="2"/>
        <v>0</v>
      </c>
      <c r="G118" s="94">
        <f t="shared" si="2"/>
        <v>0</v>
      </c>
      <c r="H118" s="94">
        <f>SUM(H4:H17)+SUM(H19:H55)+SUM(H57:H100)+SUM(H102:H117)</f>
        <v>0</v>
      </c>
      <c r="I118" s="94">
        <f t="shared" si="2"/>
        <v>0</v>
      </c>
      <c r="J118" s="94">
        <f t="shared" si="2"/>
        <v>0</v>
      </c>
      <c r="K118" s="94">
        <f t="shared" si="2"/>
        <v>0</v>
      </c>
      <c r="L118" s="94">
        <f>SUM(C118:K118)</f>
        <v>0</v>
      </c>
      <c r="M118" s="92"/>
    </row>
    <row r="119" spans="1:13" ht="15.6" x14ac:dyDescent="0.25">
      <c r="B119" s="62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</row>
    <row r="120" spans="1:13" x14ac:dyDescent="0.25">
      <c r="H120" s="22"/>
    </row>
    <row r="122" spans="1:13" x14ac:dyDescent="0.25">
      <c r="A122" s="22"/>
    </row>
    <row r="188" spans="2:13" ht="15.6" x14ac:dyDescent="0.25">
      <c r="B188" s="61" t="s">
        <v>62</v>
      </c>
      <c r="C188" s="65">
        <f>SUM(C140:C142)+SUM(C146:C159)+SUM(C165:C186)</f>
        <v>0</v>
      </c>
      <c r="D188" s="63">
        <f t="shared" ref="D188:K188" si="3">SUM(D140:D142)+SUM(D146:D159)+SUM(D165:D186)</f>
        <v>0</v>
      </c>
      <c r="E188" s="63">
        <f t="shared" si="3"/>
        <v>0</v>
      </c>
      <c r="F188" s="65">
        <f t="shared" si="3"/>
        <v>0</v>
      </c>
      <c r="G188" s="23">
        <f>SUM(G147:G162)+SUM(G166:G187)</f>
        <v>0</v>
      </c>
      <c r="H188" s="77">
        <f t="shared" si="3"/>
        <v>0</v>
      </c>
      <c r="I188" s="63">
        <f t="shared" si="3"/>
        <v>0</v>
      </c>
      <c r="J188" s="63">
        <f t="shared" si="3"/>
        <v>0</v>
      </c>
      <c r="K188" s="63">
        <f t="shared" si="3"/>
        <v>0</v>
      </c>
      <c r="L188" s="65">
        <f>SUM(C188:K188)</f>
        <v>0</v>
      </c>
      <c r="M188" s="60"/>
    </row>
  </sheetData>
  <pageMargins left="0.7" right="0.7" top="0.75" bottom="0.75" header="0.3" footer="0.3"/>
  <pageSetup paperSize="9" scale="63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B1:H21"/>
  <sheetViews>
    <sheetView rightToLeft="1" zoomScale="90" zoomScaleNormal="90" workbookViewId="0">
      <selection activeCell="D7" sqref="D7"/>
    </sheetView>
  </sheetViews>
  <sheetFormatPr defaultRowHeight="13.2" x14ac:dyDescent="0.25"/>
  <cols>
    <col min="1" max="1" width="2.88671875" customWidth="1"/>
    <col min="2" max="2" width="3.21875" customWidth="1"/>
    <col min="3" max="3" width="23.109375" customWidth="1"/>
    <col min="4" max="4" width="19.77734375" customWidth="1"/>
    <col min="5" max="5" width="26" customWidth="1"/>
    <col min="6" max="6" width="25.88671875" customWidth="1"/>
    <col min="7" max="7" width="3.21875" customWidth="1"/>
    <col min="8" max="8" width="13.109375" customWidth="1"/>
  </cols>
  <sheetData>
    <row r="1" spans="2:8" ht="13.8" thickBot="1" x14ac:dyDescent="0.3">
      <c r="H1" s="5"/>
    </row>
    <row r="2" spans="2:8" x14ac:dyDescent="0.25">
      <c r="B2" s="35"/>
      <c r="C2" s="36"/>
      <c r="D2" s="36"/>
      <c r="E2" s="36"/>
      <c r="F2" s="108"/>
      <c r="G2" s="37"/>
      <c r="H2" s="5"/>
    </row>
    <row r="3" spans="2:8" ht="29.25" customHeight="1" thickBot="1" x14ac:dyDescent="0.3">
      <c r="B3" s="38"/>
      <c r="C3" s="188"/>
      <c r="D3" s="189"/>
      <c r="E3" s="189"/>
      <c r="F3" s="190"/>
      <c r="G3" s="39"/>
      <c r="H3" s="40" t="s">
        <v>27</v>
      </c>
    </row>
    <row r="4" spans="2:8" ht="18.600000000000001" thickTop="1" thickBot="1" x14ac:dyDescent="0.3">
      <c r="B4" s="38"/>
      <c r="C4" s="71" t="s">
        <v>119</v>
      </c>
      <c r="D4" s="109" t="str">
        <f>INDEX(مرتبات!B1:B1066,H4,1)</f>
        <v>أ/محمد عبدالجواد محمد</v>
      </c>
      <c r="E4" s="71" t="s">
        <v>6</v>
      </c>
      <c r="F4" s="110">
        <f>مرتبات!D2</f>
        <v>45870</v>
      </c>
      <c r="G4" s="39"/>
      <c r="H4" s="5">
        <v>81</v>
      </c>
    </row>
    <row r="5" spans="2:8" ht="14.4" thickTop="1" thickBot="1" x14ac:dyDescent="0.3">
      <c r="B5" s="38"/>
      <c r="C5" s="41" t="s">
        <v>69</v>
      </c>
      <c r="D5" s="191">
        <f>SUM((INDEX(مرتبات!D1:D1066,H4,1)),VALUE((INDEX(مرتبات!G1:G1066,H4,1))))</f>
        <v>0</v>
      </c>
      <c r="E5" s="192"/>
      <c r="F5" s="193"/>
      <c r="G5" s="39"/>
      <c r="H5" s="5"/>
    </row>
    <row r="6" spans="2:8" ht="13.8" thickTop="1" x14ac:dyDescent="0.25">
      <c r="B6" s="38"/>
      <c r="C6" s="194" t="s">
        <v>93</v>
      </c>
      <c r="D6" s="195"/>
      <c r="E6" s="194" t="s">
        <v>8</v>
      </c>
      <c r="F6" s="195"/>
      <c r="G6" s="39"/>
      <c r="H6" s="5"/>
    </row>
    <row r="7" spans="2:8" x14ac:dyDescent="0.25">
      <c r="B7" s="38"/>
      <c r="C7" s="41" t="s">
        <v>20</v>
      </c>
      <c r="D7" s="42">
        <f>INDEX(اضافات!C1:C1069,H4,1)</f>
        <v>0</v>
      </c>
      <c r="E7" s="41" t="s">
        <v>7</v>
      </c>
      <c r="F7" s="43">
        <f>INDEX(خصومات!C1:C1069,H4,1)</f>
        <v>0</v>
      </c>
      <c r="G7" s="39"/>
      <c r="H7" s="5"/>
    </row>
    <row r="8" spans="2:8" x14ac:dyDescent="0.25">
      <c r="B8" s="38"/>
      <c r="C8" s="44" t="s">
        <v>21</v>
      </c>
      <c r="D8" s="42">
        <f>INDEX(اضافات!D1:D1069,H4,1)</f>
        <v>0</v>
      </c>
      <c r="E8" s="44" t="s">
        <v>4</v>
      </c>
      <c r="F8" s="43">
        <f>INDEX(خصومات!E1:E1070,H4,1)</f>
        <v>0</v>
      </c>
      <c r="G8" s="39"/>
      <c r="H8" s="5"/>
    </row>
    <row r="9" spans="2:8" x14ac:dyDescent="0.25">
      <c r="B9" s="38"/>
      <c r="C9" s="45" t="s">
        <v>29</v>
      </c>
      <c r="D9" s="42">
        <f>INDEX(اضافات!E1:E1069,H4,1)</f>
        <v>0</v>
      </c>
      <c r="E9" s="45" t="s">
        <v>3</v>
      </c>
      <c r="F9" s="43">
        <f>INDEX(خصومات!F1:F1071,H4,1)</f>
        <v>0</v>
      </c>
      <c r="G9" s="39"/>
      <c r="H9" s="5"/>
    </row>
    <row r="10" spans="2:8" x14ac:dyDescent="0.25">
      <c r="B10" s="38"/>
      <c r="C10" s="45" t="s">
        <v>22</v>
      </c>
      <c r="D10" s="42">
        <f>INDEX(اضافات!L1:L1069,H4,1)</f>
        <v>0</v>
      </c>
      <c r="E10" s="45" t="s">
        <v>23</v>
      </c>
      <c r="F10" s="43">
        <f>INDEX(خصومات!I1:I1072,H4,1)</f>
        <v>0</v>
      </c>
      <c r="G10" s="39"/>
      <c r="H10" s="5"/>
    </row>
    <row r="11" spans="2:8" x14ac:dyDescent="0.25">
      <c r="B11" s="38"/>
      <c r="C11" s="45" t="s">
        <v>148</v>
      </c>
      <c r="D11" s="42">
        <f>INDEX(اضافات!J1:J1069,H4,1)</f>
        <v>0</v>
      </c>
      <c r="E11" s="45" t="s">
        <v>24</v>
      </c>
      <c r="F11" s="43">
        <f>INDEX(خصومات!H1:H1073,H4,1)</f>
        <v>0</v>
      </c>
      <c r="G11" s="39"/>
      <c r="H11" s="5"/>
    </row>
    <row r="12" spans="2:8" x14ac:dyDescent="0.25">
      <c r="B12" s="38"/>
      <c r="C12" s="45" t="s">
        <v>11</v>
      </c>
      <c r="D12" s="42">
        <f>INDEX(اضافات!I1:I1069,H4,1)</f>
        <v>0</v>
      </c>
      <c r="E12" s="45" t="s">
        <v>10</v>
      </c>
      <c r="F12" s="43">
        <f>INDEX(خصومات!D1:D1074,H4,1)</f>
        <v>0</v>
      </c>
      <c r="G12" s="39"/>
      <c r="H12" s="5"/>
    </row>
    <row r="13" spans="2:8" x14ac:dyDescent="0.25">
      <c r="B13" s="38"/>
      <c r="C13" s="45" t="s">
        <v>9</v>
      </c>
      <c r="D13" s="42">
        <f>INDEX(اضافات!K1:K1069,H4,1)</f>
        <v>0</v>
      </c>
      <c r="E13" s="45" t="s">
        <v>15</v>
      </c>
      <c r="F13" s="43">
        <f>INDEX(خصومات!G1:G1075,H4,1)</f>
        <v>0</v>
      </c>
      <c r="G13" s="39"/>
      <c r="H13" s="5"/>
    </row>
    <row r="14" spans="2:8" x14ac:dyDescent="0.25">
      <c r="B14" s="38"/>
      <c r="C14" s="45"/>
      <c r="D14" s="45"/>
      <c r="E14" s="45" t="s">
        <v>25</v>
      </c>
      <c r="F14" s="43">
        <f>INDEX(خصومات!J1:J1076,H4,1)</f>
        <v>0</v>
      </c>
      <c r="G14" s="39"/>
      <c r="H14" s="5"/>
    </row>
    <row r="15" spans="2:8" ht="13.8" thickBot="1" x14ac:dyDescent="0.3">
      <c r="B15" s="38"/>
      <c r="C15" s="45"/>
      <c r="D15" s="45"/>
      <c r="E15" s="45" t="s">
        <v>26</v>
      </c>
      <c r="F15" s="43">
        <f>INDEX(خصومات!K1:K1077,H4,1)</f>
        <v>0</v>
      </c>
      <c r="G15" s="39"/>
      <c r="H15" s="5"/>
    </row>
    <row r="16" spans="2:8" ht="14.4" thickTop="1" thickBot="1" x14ac:dyDescent="0.3">
      <c r="B16" s="38"/>
      <c r="C16" s="47" t="s">
        <v>122</v>
      </c>
      <c r="D16" s="191">
        <f>D5+D7+D8+D9+D10+D11+D12+D13</f>
        <v>0</v>
      </c>
      <c r="E16" s="192"/>
      <c r="F16" s="193"/>
      <c r="G16" s="39"/>
      <c r="H16" s="5"/>
    </row>
    <row r="17" spans="2:8" ht="14.4" thickTop="1" thickBot="1" x14ac:dyDescent="0.3">
      <c r="B17" s="38"/>
      <c r="C17" s="46" t="s">
        <v>28</v>
      </c>
      <c r="D17" s="191">
        <f>SUM(D7:D15)</f>
        <v>0</v>
      </c>
      <c r="E17" s="192"/>
      <c r="F17" s="193"/>
      <c r="G17" s="39"/>
      <c r="H17" s="5"/>
    </row>
    <row r="18" spans="2:8" ht="14.4" thickTop="1" thickBot="1" x14ac:dyDescent="0.3">
      <c r="B18" s="38"/>
      <c r="C18" s="47" t="s">
        <v>80</v>
      </c>
      <c r="D18" s="182">
        <f>(SUM(F7:F15))</f>
        <v>0</v>
      </c>
      <c r="E18" s="183"/>
      <c r="F18" s="184"/>
      <c r="G18" s="39"/>
      <c r="H18" s="5"/>
    </row>
    <row r="19" spans="2:8" ht="15" thickTop="1" thickBot="1" x14ac:dyDescent="0.3">
      <c r="B19" s="38"/>
      <c r="C19" s="47" t="s">
        <v>92</v>
      </c>
      <c r="D19" s="185">
        <f>D16-D17-D18</f>
        <v>0</v>
      </c>
      <c r="E19" s="186"/>
      <c r="F19" s="187"/>
      <c r="G19" s="39"/>
      <c r="H19" s="5"/>
    </row>
    <row r="20" spans="2:8" ht="14.4" thickTop="1" thickBot="1" x14ac:dyDescent="0.3">
      <c r="B20" s="48"/>
      <c r="C20" s="7"/>
      <c r="D20" s="7"/>
      <c r="E20" s="7"/>
      <c r="F20" s="7"/>
      <c r="G20" s="49"/>
      <c r="H20" s="5"/>
    </row>
    <row r="21" spans="2:8" x14ac:dyDescent="0.25">
      <c r="H21" s="5"/>
    </row>
  </sheetData>
  <mergeCells count="8">
    <mergeCell ref="D18:F18"/>
    <mergeCell ref="D19:F19"/>
    <mergeCell ref="C3:F3"/>
    <mergeCell ref="D5:F5"/>
    <mergeCell ref="C6:D6"/>
    <mergeCell ref="E6:F6"/>
    <mergeCell ref="D16:F16"/>
    <mergeCell ref="D17:F17"/>
  </mergeCells>
  <printOptions horizontalCentered="1" verticalCentered="1"/>
  <pageMargins left="0.7" right="0.7" top="0.75" bottom="0.75" header="0.3" footer="0.3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B1:H21"/>
  <sheetViews>
    <sheetView workbookViewId="0">
      <selection activeCell="H18" sqref="H18"/>
    </sheetView>
  </sheetViews>
  <sheetFormatPr defaultRowHeight="13.2" x14ac:dyDescent="0.25"/>
  <cols>
    <col min="1" max="1" width="2.88671875" customWidth="1"/>
    <col min="2" max="2" width="3.21875" customWidth="1"/>
    <col min="3" max="3" width="24.109375" customWidth="1"/>
    <col min="4" max="4" width="19.77734375" customWidth="1"/>
    <col min="5" max="5" width="26" customWidth="1"/>
    <col min="6" max="6" width="25.88671875" customWidth="1"/>
    <col min="7" max="7" width="3.21875" customWidth="1"/>
    <col min="8" max="8" width="13.109375" customWidth="1"/>
  </cols>
  <sheetData>
    <row r="1" spans="2:8" ht="13.8" thickBot="1" x14ac:dyDescent="0.3">
      <c r="H1" s="5"/>
    </row>
    <row r="2" spans="2:8" x14ac:dyDescent="0.25">
      <c r="B2" s="35"/>
      <c r="C2" s="36"/>
      <c r="D2" s="36"/>
      <c r="E2" s="36"/>
      <c r="F2" s="36"/>
      <c r="G2" s="37"/>
      <c r="H2" s="5"/>
    </row>
    <row r="3" spans="2:8" ht="29.25" customHeight="1" thickBot="1" x14ac:dyDescent="0.3">
      <c r="B3" s="38"/>
      <c r="C3" s="188"/>
      <c r="D3" s="189"/>
      <c r="E3" s="189"/>
      <c r="F3" s="190"/>
      <c r="G3" s="39"/>
      <c r="H3" s="40" t="s">
        <v>27</v>
      </c>
    </row>
    <row r="4" spans="2:8" ht="16.8" thickTop="1" thickBot="1" x14ac:dyDescent="0.3">
      <c r="B4" s="38"/>
      <c r="C4" s="111" t="s">
        <v>98</v>
      </c>
      <c r="D4" s="99" t="str">
        <f>INDEX(مرتبات!B1:B1066,H4,1)</f>
        <v>أ/ناجى رمضان أمين محمد</v>
      </c>
      <c r="E4" s="111" t="s">
        <v>97</v>
      </c>
      <c r="F4" s="99">
        <f>مرتبات!D2</f>
        <v>45870</v>
      </c>
      <c r="G4" s="39"/>
      <c r="H4" s="5">
        <v>19</v>
      </c>
    </row>
    <row r="5" spans="2:8" ht="14.4" thickTop="1" thickBot="1" x14ac:dyDescent="0.3">
      <c r="B5" s="38"/>
      <c r="C5" s="103" t="s">
        <v>99</v>
      </c>
      <c r="D5" s="191">
        <f>SUM((INDEX(مرتبات!D1:D1066,H4,1)),VALUE((INDEX(مرتبات!G1:G1066,H4,1))))</f>
        <v>0</v>
      </c>
      <c r="E5" s="192"/>
      <c r="F5" s="193"/>
      <c r="G5" s="39"/>
      <c r="H5" s="5"/>
    </row>
    <row r="6" spans="2:8" ht="13.8" thickTop="1" x14ac:dyDescent="0.25">
      <c r="B6" s="38"/>
      <c r="C6" s="196" t="s">
        <v>117</v>
      </c>
      <c r="D6" s="197"/>
      <c r="E6" s="194" t="s">
        <v>100</v>
      </c>
      <c r="F6" s="195"/>
      <c r="G6" s="39"/>
      <c r="H6" s="5"/>
    </row>
    <row r="7" spans="2:8" x14ac:dyDescent="0.25">
      <c r="B7" s="38"/>
      <c r="C7" s="105" t="s">
        <v>102</v>
      </c>
      <c r="D7" s="42">
        <f>INDEX(اضافات!C1:C1069,H4,1)</f>
        <v>0</v>
      </c>
      <c r="E7" s="105" t="s">
        <v>110</v>
      </c>
      <c r="F7" s="104">
        <f>INDEX(خصومات!C1:C1069,H4,1)</f>
        <v>0</v>
      </c>
      <c r="G7" s="39"/>
      <c r="H7" s="5"/>
    </row>
    <row r="8" spans="2:8" x14ac:dyDescent="0.25">
      <c r="B8" s="38"/>
      <c r="C8" s="106" t="s">
        <v>103</v>
      </c>
      <c r="D8" s="42">
        <f>INDEX(اضافات!D1:D1069,H4,1)</f>
        <v>0</v>
      </c>
      <c r="E8" s="106" t="s">
        <v>111</v>
      </c>
      <c r="F8" s="104">
        <f>INDEX(خصومات!E1:E1070,H4,1)</f>
        <v>0</v>
      </c>
      <c r="G8" s="39"/>
      <c r="H8" s="5"/>
    </row>
    <row r="9" spans="2:8" x14ac:dyDescent="0.25">
      <c r="B9" s="38"/>
      <c r="C9" s="107" t="s">
        <v>104</v>
      </c>
      <c r="D9" s="42">
        <f>INDEX(اضافات!E1:E1069,H4,1)</f>
        <v>0</v>
      </c>
      <c r="E9" s="107" t="s">
        <v>112</v>
      </c>
      <c r="F9" s="104">
        <f>INDEX(خصومات!F1:F1071,H4,1)</f>
        <v>0</v>
      </c>
      <c r="G9" s="39"/>
      <c r="H9" s="5"/>
    </row>
    <row r="10" spans="2:8" x14ac:dyDescent="0.25">
      <c r="B10" s="38"/>
      <c r="C10" s="107" t="s">
        <v>105</v>
      </c>
      <c r="D10" s="42">
        <f>INDEX(اضافات!L1:L1069,H4,1)</f>
        <v>0</v>
      </c>
      <c r="E10" s="107" t="s">
        <v>115</v>
      </c>
      <c r="F10" s="104">
        <f>INDEX(خصومات!I1:I1072,H4,1)</f>
        <v>0</v>
      </c>
      <c r="G10" s="39"/>
      <c r="H10" s="5"/>
    </row>
    <row r="11" spans="2:8" x14ac:dyDescent="0.25">
      <c r="B11" s="38"/>
      <c r="C11" s="107" t="s">
        <v>107</v>
      </c>
      <c r="D11" s="42">
        <f>INDEX(اضافات!J1:J1069,H4,1)</f>
        <v>0</v>
      </c>
      <c r="E11" s="107" t="s">
        <v>114</v>
      </c>
      <c r="F11" s="104">
        <f>INDEX(خصومات!H1:H1073,H4,1)</f>
        <v>0</v>
      </c>
      <c r="G11" s="39"/>
      <c r="H11" s="5"/>
    </row>
    <row r="12" spans="2:8" x14ac:dyDescent="0.25">
      <c r="B12" s="38"/>
      <c r="C12" s="107" t="s">
        <v>108</v>
      </c>
      <c r="D12" s="42">
        <f>INDEX(اضافات!I1:I1069,H4,1)</f>
        <v>0</v>
      </c>
      <c r="E12" s="107" t="s">
        <v>109</v>
      </c>
      <c r="F12" s="104">
        <f>INDEX(خصومات!D1:D1074,H4,1)</f>
        <v>0</v>
      </c>
      <c r="G12" s="39"/>
      <c r="H12" s="5"/>
    </row>
    <row r="13" spans="2:8" x14ac:dyDescent="0.25">
      <c r="B13" s="38"/>
      <c r="C13" s="107" t="s">
        <v>106</v>
      </c>
      <c r="D13" s="42">
        <f>INDEX(اضافات!K1:K1069,H4,1)</f>
        <v>0</v>
      </c>
      <c r="E13" s="107" t="s">
        <v>113</v>
      </c>
      <c r="F13" s="104">
        <f>INDEX(خصومات!G1:G1075,H4,1)</f>
        <v>0</v>
      </c>
      <c r="G13" s="39"/>
      <c r="H13" s="5"/>
    </row>
    <row r="14" spans="2:8" x14ac:dyDescent="0.25">
      <c r="B14" s="38"/>
      <c r="C14" s="45"/>
      <c r="D14" s="45"/>
      <c r="E14" s="107" t="s">
        <v>118</v>
      </c>
      <c r="F14" s="104">
        <f>INDEX(خصومات!J1:J1076,H4,1)</f>
        <v>0</v>
      </c>
      <c r="G14" s="39"/>
      <c r="H14" s="5"/>
    </row>
    <row r="15" spans="2:8" ht="13.8" thickBot="1" x14ac:dyDescent="0.3">
      <c r="B15" s="38"/>
      <c r="C15" s="45"/>
      <c r="D15" s="45"/>
      <c r="E15" s="107" t="s">
        <v>116</v>
      </c>
      <c r="F15" s="104">
        <f>INDEX(خصومات!K1:K1077,H4,1)</f>
        <v>0</v>
      </c>
      <c r="G15" s="39"/>
      <c r="H15" s="5"/>
    </row>
    <row r="16" spans="2:8" ht="14.4" thickTop="1" thickBot="1" x14ac:dyDescent="0.3">
      <c r="B16" s="38"/>
      <c r="C16" s="100" t="s">
        <v>121</v>
      </c>
      <c r="D16" s="191">
        <f>D5+D7+D8+D9+D10+D11+D12+D13</f>
        <v>0</v>
      </c>
      <c r="E16" s="192"/>
      <c r="F16" s="193"/>
      <c r="G16" s="39"/>
      <c r="H16" s="5"/>
    </row>
    <row r="17" spans="2:8" ht="14.4" thickTop="1" thickBot="1" x14ac:dyDescent="0.3">
      <c r="B17" s="38"/>
      <c r="C17" s="101" t="s">
        <v>123</v>
      </c>
      <c r="D17" s="182">
        <f>SUM(D7:D15)</f>
        <v>0</v>
      </c>
      <c r="E17" s="183"/>
      <c r="F17" s="184"/>
      <c r="G17" s="39"/>
      <c r="H17" s="5"/>
    </row>
    <row r="18" spans="2:8" ht="14.4" thickTop="1" thickBot="1" x14ac:dyDescent="0.3">
      <c r="B18" s="38"/>
      <c r="C18" s="102" t="s">
        <v>100</v>
      </c>
      <c r="D18" s="182">
        <f>(SUM(F7:F15))</f>
        <v>0</v>
      </c>
      <c r="E18" s="183"/>
      <c r="F18" s="184"/>
      <c r="G18" s="39"/>
      <c r="H18" s="5"/>
    </row>
    <row r="19" spans="2:8" ht="15" thickTop="1" thickBot="1" x14ac:dyDescent="0.3">
      <c r="B19" s="38"/>
      <c r="C19" s="102" t="s">
        <v>101</v>
      </c>
      <c r="D19" s="185">
        <f>D16-D17-D18</f>
        <v>0</v>
      </c>
      <c r="E19" s="186"/>
      <c r="F19" s="187"/>
      <c r="G19" s="39"/>
      <c r="H19" s="5"/>
    </row>
    <row r="20" spans="2:8" ht="14.4" thickTop="1" thickBot="1" x14ac:dyDescent="0.3">
      <c r="B20" s="48"/>
      <c r="C20" s="7"/>
      <c r="D20" s="7"/>
      <c r="E20" s="7"/>
      <c r="F20" s="7"/>
      <c r="G20" s="49"/>
      <c r="H20" s="5"/>
    </row>
    <row r="21" spans="2:8" x14ac:dyDescent="0.25">
      <c r="H21" s="5"/>
    </row>
  </sheetData>
  <mergeCells count="8">
    <mergeCell ref="D18:F18"/>
    <mergeCell ref="D19:F19"/>
    <mergeCell ref="C3:F3"/>
    <mergeCell ref="D5:F5"/>
    <mergeCell ref="C6:D6"/>
    <mergeCell ref="E6:F6"/>
    <mergeCell ref="D16:F16"/>
    <mergeCell ref="D17:F17"/>
  </mergeCells>
  <printOptions horizontalCentered="1" verticalCentered="1"/>
  <pageMargins left="0.7" right="0.7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مرتبات</vt:lpstr>
      <vt:lpstr>اضافات</vt:lpstr>
      <vt:lpstr>خصومات</vt:lpstr>
      <vt:lpstr>Pay Clip (AR)</vt:lpstr>
      <vt:lpstr>Pay Clip (EN)</vt:lpstr>
      <vt:lpstr>'Pay Clip (AR)'!Print_Area</vt:lpstr>
      <vt:lpstr>'Pay Clip (EN)'!Print_Area</vt:lpstr>
      <vt:lpstr>خصومات!Print_Area</vt:lpstr>
      <vt:lpstr>مرتبات!Print_Area</vt:lpstr>
      <vt:lpstr>مرتبات!Print_Titles</vt:lpstr>
    </vt:vector>
  </TitlesOfParts>
  <Company>alsayra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</dc:creator>
  <cp:lastModifiedBy>Khaled Helmy</cp:lastModifiedBy>
  <cp:lastPrinted>2025-12-25T09:50:16Z</cp:lastPrinted>
  <dcterms:created xsi:type="dcterms:W3CDTF">2012-09-26T15:27:24Z</dcterms:created>
  <dcterms:modified xsi:type="dcterms:W3CDTF">2025-12-28T12:04:06Z</dcterms:modified>
</cp:coreProperties>
</file>