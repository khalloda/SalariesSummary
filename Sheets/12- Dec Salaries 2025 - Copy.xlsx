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FB1EE7CE-64EE-4C4B-866E-44A90B4598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مرتبات2" sheetId="7" r:id="rId1"/>
    <sheet name="مرتبات" sheetId="17" r:id="rId2"/>
    <sheet name="اضافات" sheetId="16" r:id="rId3"/>
    <sheet name="خصومات" sheetId="12" r:id="rId4"/>
    <sheet name="Pay Clip (AR)" sheetId="14" r:id="rId5"/>
    <sheet name="Pay Clip (EN)" sheetId="15" r:id="rId6"/>
  </sheets>
  <definedNames>
    <definedName name="_xlnm.Print_Area" localSheetId="4">'Pay Clip (AR)'!$B$4:$G$20</definedName>
    <definedName name="_xlnm.Print_Area" localSheetId="5">'Pay Clip (EN)'!$B$4:$G$20</definedName>
    <definedName name="_xlnm.Print_Area" localSheetId="3">خصومات!$A$1:$M$118</definedName>
    <definedName name="_xlnm.Print_Area" localSheetId="0">مرتبات2!$A$1:$P$120</definedName>
    <definedName name="_xlnm.Print_Titles" localSheetId="0">مرتبات2!$3:$3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7" i="12" l="1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117" i="16"/>
  <c r="B116" i="16"/>
  <c r="B115" i="16"/>
  <c r="B114" i="16"/>
  <c r="B113" i="16"/>
  <c r="B112" i="16"/>
  <c r="B111" i="16"/>
  <c r="B110" i="16"/>
  <c r="B109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A120" i="17"/>
  <c r="A119" i="17"/>
  <c r="D118" i="17"/>
  <c r="I117" i="17"/>
  <c r="H117" i="17"/>
  <c r="G117" i="17"/>
  <c r="K117" i="17" s="1"/>
  <c r="F117" i="17"/>
  <c r="E117" i="17"/>
  <c r="J117" i="17" s="1"/>
  <c r="I116" i="17"/>
  <c r="H116" i="17"/>
  <c r="G116" i="17"/>
  <c r="K116" i="17" s="1"/>
  <c r="F116" i="17"/>
  <c r="E116" i="17"/>
  <c r="J116" i="17" s="1"/>
  <c r="I115" i="17"/>
  <c r="H115" i="17"/>
  <c r="G115" i="17"/>
  <c r="K115" i="17" s="1"/>
  <c r="F115" i="17"/>
  <c r="E115" i="17"/>
  <c r="J115" i="17" s="1"/>
  <c r="J114" i="17"/>
  <c r="I114" i="17"/>
  <c r="H114" i="17"/>
  <c r="G114" i="17"/>
  <c r="K114" i="17" s="1"/>
  <c r="F114" i="17"/>
  <c r="E114" i="17"/>
  <c r="K113" i="17"/>
  <c r="I113" i="17"/>
  <c r="H113" i="17"/>
  <c r="G113" i="17"/>
  <c r="F113" i="17"/>
  <c r="E113" i="17"/>
  <c r="J113" i="17" s="1"/>
  <c r="I112" i="17"/>
  <c r="H112" i="17"/>
  <c r="G112" i="17"/>
  <c r="K112" i="17" s="1"/>
  <c r="F112" i="17"/>
  <c r="E112" i="17"/>
  <c r="J112" i="17" s="1"/>
  <c r="I111" i="17"/>
  <c r="K111" i="17" s="1"/>
  <c r="H111" i="17"/>
  <c r="G111" i="17"/>
  <c r="F111" i="17"/>
  <c r="E111" i="17"/>
  <c r="J111" i="17" s="1"/>
  <c r="I110" i="17"/>
  <c r="H110" i="17"/>
  <c r="G110" i="17"/>
  <c r="K110" i="17" s="1"/>
  <c r="F110" i="17"/>
  <c r="E110" i="17"/>
  <c r="J110" i="17" s="1"/>
  <c r="I109" i="17"/>
  <c r="H109" i="17"/>
  <c r="G109" i="17"/>
  <c r="K109" i="17" s="1"/>
  <c r="F109" i="17"/>
  <c r="E109" i="17"/>
  <c r="J108" i="17"/>
  <c r="I108" i="17"/>
  <c r="H108" i="17"/>
  <c r="G108" i="17"/>
  <c r="K108" i="17" s="1"/>
  <c r="F108" i="17"/>
  <c r="E108" i="17"/>
  <c r="K107" i="17"/>
  <c r="I107" i="17"/>
  <c r="H107" i="17"/>
  <c r="G107" i="17"/>
  <c r="F107" i="17"/>
  <c r="E107" i="17"/>
  <c r="J107" i="17" s="1"/>
  <c r="I106" i="17"/>
  <c r="H106" i="17"/>
  <c r="G106" i="17"/>
  <c r="K106" i="17" s="1"/>
  <c r="F106" i="17"/>
  <c r="E106" i="17"/>
  <c r="J106" i="17" s="1"/>
  <c r="I105" i="17"/>
  <c r="H105" i="17"/>
  <c r="G105" i="17"/>
  <c r="K105" i="17" s="1"/>
  <c r="F105" i="17"/>
  <c r="E105" i="17"/>
  <c r="J105" i="17" s="1"/>
  <c r="I104" i="17"/>
  <c r="H104" i="17"/>
  <c r="G104" i="17"/>
  <c r="K104" i="17" s="1"/>
  <c r="F104" i="17"/>
  <c r="J104" i="17" s="1"/>
  <c r="E104" i="17"/>
  <c r="I103" i="17"/>
  <c r="H103" i="17"/>
  <c r="G103" i="17"/>
  <c r="K103" i="17" s="1"/>
  <c r="F103" i="17"/>
  <c r="E103" i="17"/>
  <c r="J103" i="17" s="1"/>
  <c r="I102" i="17"/>
  <c r="I118" i="17" s="1"/>
  <c r="H102" i="17"/>
  <c r="K102" i="17" s="1"/>
  <c r="G102" i="17"/>
  <c r="G118" i="17" s="1"/>
  <c r="F102" i="17"/>
  <c r="F118" i="17" s="1"/>
  <c r="E102" i="17"/>
  <c r="J102" i="17" s="1"/>
  <c r="D101" i="17"/>
  <c r="I100" i="17"/>
  <c r="H100" i="17"/>
  <c r="G100" i="17"/>
  <c r="K100" i="17" s="1"/>
  <c r="F100" i="17"/>
  <c r="E100" i="17"/>
  <c r="J100" i="17" s="1"/>
  <c r="K99" i="17"/>
  <c r="I99" i="17"/>
  <c r="H99" i="17"/>
  <c r="G99" i="17"/>
  <c r="F99" i="17"/>
  <c r="E99" i="17"/>
  <c r="J99" i="17" s="1"/>
  <c r="I98" i="17"/>
  <c r="H98" i="17"/>
  <c r="G98" i="17"/>
  <c r="K98" i="17" s="1"/>
  <c r="F98" i="17"/>
  <c r="E98" i="17"/>
  <c r="J98" i="17" s="1"/>
  <c r="J97" i="17"/>
  <c r="I97" i="17"/>
  <c r="H97" i="17"/>
  <c r="G97" i="17"/>
  <c r="K97" i="17" s="1"/>
  <c r="F97" i="17"/>
  <c r="E97" i="17"/>
  <c r="J96" i="17"/>
  <c r="I96" i="17"/>
  <c r="H96" i="17"/>
  <c r="G96" i="17"/>
  <c r="K96" i="17" s="1"/>
  <c r="F96" i="17"/>
  <c r="E96" i="17"/>
  <c r="I95" i="17"/>
  <c r="H95" i="17"/>
  <c r="G95" i="17"/>
  <c r="K95" i="17" s="1"/>
  <c r="F95" i="17"/>
  <c r="E95" i="17"/>
  <c r="J95" i="17" s="1"/>
  <c r="I94" i="17"/>
  <c r="H94" i="17"/>
  <c r="G94" i="17"/>
  <c r="K94" i="17" s="1"/>
  <c r="F94" i="17"/>
  <c r="E94" i="17"/>
  <c r="J94" i="17" s="1"/>
  <c r="I93" i="17"/>
  <c r="H93" i="17"/>
  <c r="K93" i="17" s="1"/>
  <c r="G93" i="17"/>
  <c r="F93" i="17"/>
  <c r="E93" i="17"/>
  <c r="J93" i="17" s="1"/>
  <c r="I92" i="17"/>
  <c r="H92" i="17"/>
  <c r="G92" i="17"/>
  <c r="K92" i="17" s="1"/>
  <c r="F92" i="17"/>
  <c r="J92" i="17" s="1"/>
  <c r="E92" i="17"/>
  <c r="I91" i="17"/>
  <c r="H91" i="17"/>
  <c r="G91" i="17"/>
  <c r="K91" i="17" s="1"/>
  <c r="F91" i="17"/>
  <c r="J91" i="17" s="1"/>
  <c r="E91" i="17"/>
  <c r="K90" i="17"/>
  <c r="J90" i="17"/>
  <c r="I90" i="17"/>
  <c r="H90" i="17"/>
  <c r="G90" i="17"/>
  <c r="F90" i="17"/>
  <c r="E90" i="17"/>
  <c r="K89" i="17"/>
  <c r="I89" i="17"/>
  <c r="H89" i="17"/>
  <c r="G89" i="17"/>
  <c r="F89" i="17"/>
  <c r="E89" i="17"/>
  <c r="J89" i="17" s="1"/>
  <c r="I88" i="17"/>
  <c r="H88" i="17"/>
  <c r="K88" i="17" s="1"/>
  <c r="G88" i="17"/>
  <c r="F88" i="17"/>
  <c r="E88" i="17"/>
  <c r="J88" i="17" s="1"/>
  <c r="I87" i="17"/>
  <c r="H87" i="17"/>
  <c r="G87" i="17"/>
  <c r="K87" i="17" s="1"/>
  <c r="F87" i="17"/>
  <c r="E87" i="17"/>
  <c r="J87" i="17" s="1"/>
  <c r="I86" i="17"/>
  <c r="H86" i="17"/>
  <c r="G86" i="17"/>
  <c r="K86" i="17" s="1"/>
  <c r="F86" i="17"/>
  <c r="J86" i="17" s="1"/>
  <c r="E86" i="17"/>
  <c r="I85" i="17"/>
  <c r="H85" i="17"/>
  <c r="G85" i="17"/>
  <c r="K85" i="17" s="1"/>
  <c r="F85" i="17"/>
  <c r="E85" i="17"/>
  <c r="J85" i="17" s="1"/>
  <c r="I84" i="17"/>
  <c r="H84" i="17"/>
  <c r="G84" i="17"/>
  <c r="K84" i="17" s="1"/>
  <c r="F84" i="17"/>
  <c r="E84" i="17"/>
  <c r="J84" i="17" s="1"/>
  <c r="K83" i="17"/>
  <c r="I83" i="17"/>
  <c r="H83" i="17"/>
  <c r="G83" i="17"/>
  <c r="F83" i="17"/>
  <c r="E83" i="17"/>
  <c r="J83" i="17" s="1"/>
  <c r="I82" i="17"/>
  <c r="H82" i="17"/>
  <c r="G82" i="17"/>
  <c r="K82" i="17" s="1"/>
  <c r="F82" i="17"/>
  <c r="E82" i="17"/>
  <c r="J82" i="17" s="1"/>
  <c r="J81" i="17"/>
  <c r="I81" i="17"/>
  <c r="H81" i="17"/>
  <c r="G81" i="17"/>
  <c r="K81" i="17" s="1"/>
  <c r="F81" i="17"/>
  <c r="E81" i="17"/>
  <c r="J80" i="17"/>
  <c r="I80" i="17"/>
  <c r="H80" i="17"/>
  <c r="G80" i="17"/>
  <c r="K80" i="17" s="1"/>
  <c r="F80" i="17"/>
  <c r="E80" i="17"/>
  <c r="I79" i="17"/>
  <c r="H79" i="17"/>
  <c r="G79" i="17"/>
  <c r="K79" i="17" s="1"/>
  <c r="F79" i="17"/>
  <c r="E79" i="17"/>
  <c r="J79" i="17" s="1"/>
  <c r="I78" i="17"/>
  <c r="H78" i="17"/>
  <c r="G78" i="17"/>
  <c r="K78" i="17" s="1"/>
  <c r="F78" i="17"/>
  <c r="E78" i="17"/>
  <c r="J78" i="17" s="1"/>
  <c r="I77" i="17"/>
  <c r="H77" i="17"/>
  <c r="K77" i="17" s="1"/>
  <c r="G77" i="17"/>
  <c r="F77" i="17"/>
  <c r="E77" i="17"/>
  <c r="J77" i="17" s="1"/>
  <c r="I76" i="17"/>
  <c r="H76" i="17"/>
  <c r="G76" i="17"/>
  <c r="K76" i="17" s="1"/>
  <c r="F76" i="17"/>
  <c r="E76" i="17"/>
  <c r="J76" i="17" s="1"/>
  <c r="I75" i="17"/>
  <c r="H75" i="17"/>
  <c r="G75" i="17"/>
  <c r="K75" i="17" s="1"/>
  <c r="F75" i="17"/>
  <c r="E75" i="17"/>
  <c r="J75" i="17" s="1"/>
  <c r="K74" i="17"/>
  <c r="J74" i="17"/>
  <c r="I74" i="17"/>
  <c r="H74" i="17"/>
  <c r="G74" i="17"/>
  <c r="F74" i="17"/>
  <c r="E74" i="17"/>
  <c r="K73" i="17"/>
  <c r="I73" i="17"/>
  <c r="H73" i="17"/>
  <c r="G73" i="17"/>
  <c r="F73" i="17"/>
  <c r="E73" i="17"/>
  <c r="J73" i="17" s="1"/>
  <c r="I72" i="17"/>
  <c r="H72" i="17"/>
  <c r="K72" i="17" s="1"/>
  <c r="G72" i="17"/>
  <c r="F72" i="17"/>
  <c r="E72" i="17"/>
  <c r="J72" i="17" s="1"/>
  <c r="I71" i="17"/>
  <c r="H71" i="17"/>
  <c r="G71" i="17"/>
  <c r="K71" i="17" s="1"/>
  <c r="F71" i="17"/>
  <c r="E71" i="17"/>
  <c r="J71" i="17" s="1"/>
  <c r="I70" i="17"/>
  <c r="H70" i="17"/>
  <c r="G70" i="17"/>
  <c r="K70" i="17" s="1"/>
  <c r="F70" i="17"/>
  <c r="J70" i="17" s="1"/>
  <c r="E70" i="17"/>
  <c r="I69" i="17"/>
  <c r="H69" i="17"/>
  <c r="G69" i="17"/>
  <c r="K69" i="17" s="1"/>
  <c r="F69" i="17"/>
  <c r="E69" i="17"/>
  <c r="J69" i="17" s="1"/>
  <c r="I68" i="17"/>
  <c r="H68" i="17"/>
  <c r="G68" i="17"/>
  <c r="K68" i="17" s="1"/>
  <c r="F68" i="17"/>
  <c r="E68" i="17"/>
  <c r="J68" i="17" s="1"/>
  <c r="K67" i="17"/>
  <c r="I67" i="17"/>
  <c r="H67" i="17"/>
  <c r="G67" i="17"/>
  <c r="F67" i="17"/>
  <c r="E67" i="17"/>
  <c r="J67" i="17" s="1"/>
  <c r="I66" i="17"/>
  <c r="H66" i="17"/>
  <c r="G66" i="17"/>
  <c r="K66" i="17" s="1"/>
  <c r="F66" i="17"/>
  <c r="E66" i="17"/>
  <c r="J66" i="17" s="1"/>
  <c r="J65" i="17"/>
  <c r="I65" i="17"/>
  <c r="H65" i="17"/>
  <c r="G65" i="17"/>
  <c r="K65" i="17" s="1"/>
  <c r="F65" i="17"/>
  <c r="E65" i="17"/>
  <c r="J64" i="17"/>
  <c r="I64" i="17"/>
  <c r="H64" i="17"/>
  <c r="G64" i="17"/>
  <c r="K64" i="17" s="1"/>
  <c r="F64" i="17"/>
  <c r="E64" i="17"/>
  <c r="I63" i="17"/>
  <c r="H63" i="17"/>
  <c r="G63" i="17"/>
  <c r="K63" i="17" s="1"/>
  <c r="F63" i="17"/>
  <c r="E63" i="17"/>
  <c r="J63" i="17" s="1"/>
  <c r="I62" i="17"/>
  <c r="H62" i="17"/>
  <c r="G62" i="17"/>
  <c r="K62" i="17" s="1"/>
  <c r="F62" i="17"/>
  <c r="E62" i="17"/>
  <c r="J62" i="17" s="1"/>
  <c r="I61" i="17"/>
  <c r="H61" i="17"/>
  <c r="K61" i="17" s="1"/>
  <c r="G61" i="17"/>
  <c r="F61" i="17"/>
  <c r="E61" i="17"/>
  <c r="J61" i="17" s="1"/>
  <c r="I60" i="17"/>
  <c r="H60" i="17"/>
  <c r="G60" i="17"/>
  <c r="K60" i="17" s="1"/>
  <c r="F60" i="17"/>
  <c r="F101" i="17" s="1"/>
  <c r="E60" i="17"/>
  <c r="J60" i="17" s="1"/>
  <c r="I59" i="17"/>
  <c r="H59" i="17"/>
  <c r="G59" i="17"/>
  <c r="K59" i="17" s="1"/>
  <c r="F59" i="17"/>
  <c r="E59" i="17"/>
  <c r="J59" i="17" s="1"/>
  <c r="K58" i="17"/>
  <c r="J58" i="17"/>
  <c r="I58" i="17"/>
  <c r="H58" i="17"/>
  <c r="G58" i="17"/>
  <c r="F58" i="17"/>
  <c r="E58" i="17"/>
  <c r="K57" i="17"/>
  <c r="I57" i="17"/>
  <c r="I101" i="17" s="1"/>
  <c r="H57" i="17"/>
  <c r="H101" i="17" s="1"/>
  <c r="G57" i="17"/>
  <c r="G101" i="17" s="1"/>
  <c r="F57" i="17"/>
  <c r="E57" i="17"/>
  <c r="E101" i="17" s="1"/>
  <c r="D56" i="17"/>
  <c r="K55" i="17"/>
  <c r="I55" i="17"/>
  <c r="H55" i="17"/>
  <c r="G55" i="17"/>
  <c r="F55" i="17"/>
  <c r="E55" i="17"/>
  <c r="J55" i="17" s="1"/>
  <c r="I54" i="17"/>
  <c r="H54" i="17"/>
  <c r="K54" i="17" s="1"/>
  <c r="G54" i="17"/>
  <c r="F54" i="17"/>
  <c r="E54" i="17"/>
  <c r="J54" i="17" s="1"/>
  <c r="I53" i="17"/>
  <c r="H53" i="17"/>
  <c r="G53" i="17"/>
  <c r="K53" i="17" s="1"/>
  <c r="F53" i="17"/>
  <c r="E53" i="17"/>
  <c r="J53" i="17" s="1"/>
  <c r="I52" i="17"/>
  <c r="H52" i="17"/>
  <c r="G52" i="17"/>
  <c r="K52" i="17" s="1"/>
  <c r="F52" i="17"/>
  <c r="J52" i="17" s="1"/>
  <c r="E52" i="17"/>
  <c r="I51" i="17"/>
  <c r="H51" i="17"/>
  <c r="G51" i="17"/>
  <c r="K51" i="17" s="1"/>
  <c r="F51" i="17"/>
  <c r="E51" i="17"/>
  <c r="J51" i="17" s="1"/>
  <c r="I50" i="17"/>
  <c r="H50" i="17"/>
  <c r="G50" i="17"/>
  <c r="K50" i="17" s="1"/>
  <c r="F50" i="17"/>
  <c r="E50" i="17"/>
  <c r="J50" i="17" s="1"/>
  <c r="K49" i="17"/>
  <c r="I49" i="17"/>
  <c r="H49" i="17"/>
  <c r="G49" i="17"/>
  <c r="F49" i="17"/>
  <c r="E49" i="17"/>
  <c r="J49" i="17" s="1"/>
  <c r="I48" i="17"/>
  <c r="H48" i="17"/>
  <c r="G48" i="17"/>
  <c r="K48" i="17" s="1"/>
  <c r="F48" i="17"/>
  <c r="J48" i="17" s="1"/>
  <c r="E48" i="17"/>
  <c r="J47" i="17"/>
  <c r="I47" i="17"/>
  <c r="H47" i="17"/>
  <c r="G47" i="17"/>
  <c r="K47" i="17" s="1"/>
  <c r="F47" i="17"/>
  <c r="E47" i="17"/>
  <c r="J46" i="17"/>
  <c r="I46" i="17"/>
  <c r="H46" i="17"/>
  <c r="K46" i="17" s="1"/>
  <c r="G46" i="17"/>
  <c r="F46" i="17"/>
  <c r="E46" i="17"/>
  <c r="I45" i="17"/>
  <c r="H45" i="17"/>
  <c r="G45" i="17"/>
  <c r="K45" i="17" s="1"/>
  <c r="F45" i="17"/>
  <c r="E45" i="17"/>
  <c r="J45" i="17" s="1"/>
  <c r="I44" i="17"/>
  <c r="H44" i="17"/>
  <c r="G44" i="17"/>
  <c r="K44" i="17" s="1"/>
  <c r="F44" i="17"/>
  <c r="E44" i="17"/>
  <c r="J44" i="17" s="1"/>
  <c r="I43" i="17"/>
  <c r="K43" i="17" s="1"/>
  <c r="H43" i="17"/>
  <c r="G43" i="17"/>
  <c r="F43" i="17"/>
  <c r="E43" i="17"/>
  <c r="J43" i="17" s="1"/>
  <c r="I42" i="17"/>
  <c r="H42" i="17"/>
  <c r="G42" i="17"/>
  <c r="K42" i="17" s="1"/>
  <c r="F42" i="17"/>
  <c r="E42" i="17"/>
  <c r="J42" i="17" s="1"/>
  <c r="I41" i="17"/>
  <c r="H41" i="17"/>
  <c r="G41" i="17"/>
  <c r="K41" i="17" s="1"/>
  <c r="F41" i="17"/>
  <c r="E41" i="17"/>
  <c r="J41" i="17" s="1"/>
  <c r="K40" i="17"/>
  <c r="J40" i="17"/>
  <c r="I40" i="17"/>
  <c r="H40" i="17"/>
  <c r="G40" i="17"/>
  <c r="F40" i="17"/>
  <c r="E40" i="17"/>
  <c r="K39" i="17"/>
  <c r="I39" i="17"/>
  <c r="H39" i="17"/>
  <c r="G39" i="17"/>
  <c r="F39" i="17"/>
  <c r="E39" i="17"/>
  <c r="J39" i="17" s="1"/>
  <c r="I38" i="17"/>
  <c r="H38" i="17"/>
  <c r="K38" i="17" s="1"/>
  <c r="G38" i="17"/>
  <c r="F38" i="17"/>
  <c r="E38" i="17"/>
  <c r="J38" i="17" s="1"/>
  <c r="I37" i="17"/>
  <c r="H37" i="17"/>
  <c r="G37" i="17"/>
  <c r="K37" i="17" s="1"/>
  <c r="F37" i="17"/>
  <c r="E37" i="17"/>
  <c r="J37" i="17" s="1"/>
  <c r="I36" i="17"/>
  <c r="H36" i="17"/>
  <c r="G36" i="17"/>
  <c r="K36" i="17" s="1"/>
  <c r="F36" i="17"/>
  <c r="J36" i="17" s="1"/>
  <c r="E36" i="17"/>
  <c r="I35" i="17"/>
  <c r="H35" i="17"/>
  <c r="G35" i="17"/>
  <c r="K35" i="17" s="1"/>
  <c r="F35" i="17"/>
  <c r="E35" i="17"/>
  <c r="J35" i="17" s="1"/>
  <c r="I34" i="17"/>
  <c r="H34" i="17"/>
  <c r="G34" i="17"/>
  <c r="K34" i="17" s="1"/>
  <c r="F34" i="17"/>
  <c r="E34" i="17"/>
  <c r="J34" i="17" s="1"/>
  <c r="K33" i="17"/>
  <c r="I33" i="17"/>
  <c r="H33" i="17"/>
  <c r="G33" i="17"/>
  <c r="F33" i="17"/>
  <c r="E33" i="17"/>
  <c r="J33" i="17" s="1"/>
  <c r="I32" i="17"/>
  <c r="H32" i="17"/>
  <c r="G32" i="17"/>
  <c r="K32" i="17" s="1"/>
  <c r="F32" i="17"/>
  <c r="J32" i="17" s="1"/>
  <c r="E32" i="17"/>
  <c r="J31" i="17"/>
  <c r="I31" i="17"/>
  <c r="H31" i="17"/>
  <c r="G31" i="17"/>
  <c r="K31" i="17" s="1"/>
  <c r="F31" i="17"/>
  <c r="E31" i="17"/>
  <c r="J30" i="17"/>
  <c r="I30" i="17"/>
  <c r="H30" i="17"/>
  <c r="K30" i="17" s="1"/>
  <c r="G30" i="17"/>
  <c r="F30" i="17"/>
  <c r="E30" i="17"/>
  <c r="I29" i="17"/>
  <c r="H29" i="17"/>
  <c r="G29" i="17"/>
  <c r="K29" i="17" s="1"/>
  <c r="F29" i="17"/>
  <c r="E29" i="17"/>
  <c r="J29" i="17" s="1"/>
  <c r="I28" i="17"/>
  <c r="H28" i="17"/>
  <c r="G28" i="17"/>
  <c r="K28" i="17" s="1"/>
  <c r="F28" i="17"/>
  <c r="E28" i="17"/>
  <c r="J28" i="17" s="1"/>
  <c r="I27" i="17"/>
  <c r="K27" i="17" s="1"/>
  <c r="H27" i="17"/>
  <c r="G27" i="17"/>
  <c r="F27" i="17"/>
  <c r="E27" i="17"/>
  <c r="J27" i="17" s="1"/>
  <c r="I26" i="17"/>
  <c r="H26" i="17"/>
  <c r="G26" i="17"/>
  <c r="K26" i="17" s="1"/>
  <c r="F26" i="17"/>
  <c r="E26" i="17"/>
  <c r="J26" i="17" s="1"/>
  <c r="I25" i="17"/>
  <c r="H25" i="17"/>
  <c r="G25" i="17"/>
  <c r="K25" i="17" s="1"/>
  <c r="F25" i="17"/>
  <c r="E25" i="17"/>
  <c r="J25" i="17" s="1"/>
  <c r="K24" i="17"/>
  <c r="J24" i="17"/>
  <c r="I24" i="17"/>
  <c r="H24" i="17"/>
  <c r="G24" i="17"/>
  <c r="F24" i="17"/>
  <c r="E24" i="17"/>
  <c r="K23" i="17"/>
  <c r="I23" i="17"/>
  <c r="H23" i="17"/>
  <c r="G23" i="17"/>
  <c r="F23" i="17"/>
  <c r="E23" i="17"/>
  <c r="J23" i="17" s="1"/>
  <c r="I22" i="17"/>
  <c r="H22" i="17"/>
  <c r="K22" i="17" s="1"/>
  <c r="G22" i="17"/>
  <c r="F22" i="17"/>
  <c r="J22" i="17" s="1"/>
  <c r="E22" i="17"/>
  <c r="I21" i="17"/>
  <c r="I56" i="17" s="1"/>
  <c r="H21" i="17"/>
  <c r="G21" i="17"/>
  <c r="K21" i="17" s="1"/>
  <c r="F21" i="17"/>
  <c r="E21" i="17"/>
  <c r="J21" i="17" s="1"/>
  <c r="I20" i="17"/>
  <c r="H20" i="17"/>
  <c r="G20" i="17"/>
  <c r="K20" i="17" s="1"/>
  <c r="F20" i="17"/>
  <c r="J20" i="17" s="1"/>
  <c r="E20" i="17"/>
  <c r="I19" i="17"/>
  <c r="H19" i="17"/>
  <c r="H56" i="17" s="1"/>
  <c r="G19" i="17"/>
  <c r="G56" i="17" s="1"/>
  <c r="F19" i="17"/>
  <c r="F56" i="17" s="1"/>
  <c r="E19" i="17"/>
  <c r="J19" i="17" s="1"/>
  <c r="D18" i="17"/>
  <c r="D119" i="17" s="1"/>
  <c r="I17" i="17"/>
  <c r="H17" i="17"/>
  <c r="G17" i="17"/>
  <c r="K17" i="17" s="1"/>
  <c r="F17" i="17"/>
  <c r="E17" i="17"/>
  <c r="J17" i="17" s="1"/>
  <c r="I16" i="17"/>
  <c r="H16" i="17"/>
  <c r="G16" i="17"/>
  <c r="K16" i="17" s="1"/>
  <c r="F16" i="17"/>
  <c r="E16" i="17"/>
  <c r="J16" i="17" s="1"/>
  <c r="K15" i="17"/>
  <c r="I15" i="17"/>
  <c r="H15" i="17"/>
  <c r="G15" i="17"/>
  <c r="F15" i="17"/>
  <c r="E15" i="17"/>
  <c r="J15" i="17" s="1"/>
  <c r="I14" i="17"/>
  <c r="H14" i="17"/>
  <c r="G14" i="17"/>
  <c r="K14" i="17" s="1"/>
  <c r="F14" i="17"/>
  <c r="J14" i="17" s="1"/>
  <c r="E14" i="17"/>
  <c r="J13" i="17"/>
  <c r="I13" i="17"/>
  <c r="H13" i="17"/>
  <c r="G13" i="17"/>
  <c r="K13" i="17" s="1"/>
  <c r="F13" i="17"/>
  <c r="E13" i="17"/>
  <c r="J12" i="17"/>
  <c r="I12" i="17"/>
  <c r="H12" i="17"/>
  <c r="G12" i="17"/>
  <c r="K12" i="17" s="1"/>
  <c r="F12" i="17"/>
  <c r="E12" i="17"/>
  <c r="I11" i="17"/>
  <c r="H11" i="17"/>
  <c r="G11" i="17"/>
  <c r="K11" i="17" s="1"/>
  <c r="F11" i="17"/>
  <c r="E11" i="17"/>
  <c r="J11" i="17" s="1"/>
  <c r="I10" i="17"/>
  <c r="H10" i="17"/>
  <c r="G10" i="17"/>
  <c r="K10" i="17" s="1"/>
  <c r="F10" i="17"/>
  <c r="E10" i="17"/>
  <c r="J10" i="17" s="1"/>
  <c r="I9" i="17"/>
  <c r="K9" i="17" s="1"/>
  <c r="H9" i="17"/>
  <c r="G9" i="17"/>
  <c r="F9" i="17"/>
  <c r="E9" i="17"/>
  <c r="E18" i="17" s="1"/>
  <c r="K8" i="17"/>
  <c r="I8" i="17"/>
  <c r="H8" i="17"/>
  <c r="G8" i="17"/>
  <c r="F8" i="17"/>
  <c r="F18" i="17" s="1"/>
  <c r="E8" i="17"/>
  <c r="J8" i="17" s="1"/>
  <c r="I7" i="17"/>
  <c r="H7" i="17"/>
  <c r="G7" i="17"/>
  <c r="K7" i="17" s="1"/>
  <c r="F7" i="17"/>
  <c r="E7" i="17"/>
  <c r="J7" i="17" s="1"/>
  <c r="K6" i="17"/>
  <c r="J6" i="17"/>
  <c r="I6" i="17"/>
  <c r="H6" i="17"/>
  <c r="G6" i="17"/>
  <c r="F6" i="17"/>
  <c r="E6" i="17"/>
  <c r="K5" i="17"/>
  <c r="I5" i="17"/>
  <c r="H5" i="17"/>
  <c r="G5" i="17"/>
  <c r="F5" i="17"/>
  <c r="E5" i="17"/>
  <c r="J5" i="17" s="1"/>
  <c r="I4" i="17"/>
  <c r="I18" i="17" s="1"/>
  <c r="H4" i="17"/>
  <c r="H18" i="17" s="1"/>
  <c r="G4" i="17"/>
  <c r="K4" i="17" s="1"/>
  <c r="F4" i="17"/>
  <c r="J4" i="17" s="1"/>
  <c r="E4" i="17"/>
  <c r="A120" i="7"/>
  <c r="J56" i="17" l="1"/>
  <c r="L18" i="17"/>
  <c r="K18" i="17"/>
  <c r="I120" i="17"/>
  <c r="I119" i="17"/>
  <c r="L101" i="17"/>
  <c r="H120" i="17"/>
  <c r="H119" i="17"/>
  <c r="L118" i="17"/>
  <c r="K118" i="17"/>
  <c r="F119" i="17"/>
  <c r="F120" i="17"/>
  <c r="K101" i="17"/>
  <c r="K19" i="17"/>
  <c r="G18" i="17"/>
  <c r="E118" i="17"/>
  <c r="J9" i="17"/>
  <c r="J18" i="17" s="1"/>
  <c r="H118" i="17"/>
  <c r="D120" i="17"/>
  <c r="J109" i="17"/>
  <c r="J118" i="17" s="1"/>
  <c r="J57" i="17"/>
  <c r="J101" i="17" s="1"/>
  <c r="E56" i="17"/>
  <c r="E119" i="17" s="1"/>
  <c r="L48" i="12"/>
  <c r="J120" i="17" l="1"/>
  <c r="J119" i="17"/>
  <c r="E120" i="17"/>
  <c r="G120" i="17"/>
  <c r="G119" i="17"/>
  <c r="L56" i="17"/>
  <c r="L119" i="17" s="1"/>
  <c r="K56" i="17"/>
  <c r="K120" i="17" s="1"/>
  <c r="A71" i="16"/>
  <c r="L120" i="17" l="1"/>
  <c r="K119" i="17"/>
  <c r="A119" i="7"/>
  <c r="D118" i="7"/>
  <c r="D101" i="7"/>
  <c r="D56" i="7"/>
  <c r="D18" i="7"/>
  <c r="D119" i="7" l="1"/>
  <c r="D120" i="7"/>
  <c r="A117" i="12"/>
  <c r="A116" i="12"/>
  <c r="A115" i="12"/>
  <c r="A114" i="12"/>
  <c r="A113" i="12"/>
  <c r="A112" i="12"/>
  <c r="A111" i="12"/>
  <c r="A110" i="12"/>
  <c r="A109" i="12"/>
  <c r="A107" i="12"/>
  <c r="A106" i="12"/>
  <c r="A105" i="12"/>
  <c r="A104" i="12"/>
  <c r="A103" i="12"/>
  <c r="A102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F56" i="7"/>
  <c r="E101" i="7"/>
  <c r="E119" i="7" s="1"/>
  <c r="G120" i="7"/>
  <c r="G119" i="7"/>
  <c r="F118" i="7"/>
  <c r="P118" i="16"/>
  <c r="A4" i="12"/>
  <c r="H119" i="7" l="1"/>
  <c r="F120" i="7"/>
  <c r="F119" i="7"/>
  <c r="E120" i="7"/>
  <c r="H118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<sst xmlns="http://schemas.openxmlformats.org/spreadsheetml/2006/main" count="367" uniqueCount="159">
  <si>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</si>
  <si>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</si>
  <si>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</si>
  <si>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</si>
  <si>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</si>
  <si>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</si>
  <si>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</si>
  <si>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</si>
  <si>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</si>
  <si>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</si>
  <si>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</si>
  <si>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</si>
  <si>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</si>
  <si>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</si>
  <si>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</si>
  <si>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</si>
  <si>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</si>
  <si>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</si>
  <si>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</si>
  <si>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</si>
  <si>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</si>
  <si>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</si>
  <si>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</si>
  <si>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</si>
  <si>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</si>
  <si>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</si>
  <si>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</si>
  <si>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</si>
  <si>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</si>
  <si>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</si>
  <si>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</si>
  <si>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</si>
  <si>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</si>
  <si>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</si>
  <si>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</si>
  <si>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</si>
  <si>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</si>
  <si>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</si>
  <si>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</si>
  <si>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</si>
  <si>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</si>
  <si>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</si>
  <si>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</si>
  <si>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</si>
  <si>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</si>
  <si>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</si>
  <si>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</si>
  <si>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</si>
  <si>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</si>
  <si>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</si>
  <si>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</si>
  <si>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</si>
  <si>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</si>
  <si>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</si>
  <si>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</si>
  <si>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</si>
  <si>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</si>
  <si>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</si>
  <si>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</si>
  <si>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</si>
  <si>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</si>
  <si>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</si>
  <si>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</si>
  <si>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</si>
  <si>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</si>
  <si>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</si>
  <si>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</si>
  <si>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</si>
  <si>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</si>
  <si>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</si>
  <si>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</si>
  <si>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</si>
  <si>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</si>
  <si>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</si>
  <si>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</si>
  <si>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</si>
  <si>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</si>
  <si>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</si>
  <si>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</si>
  <si>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</si>
  <si>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</si>
  <si>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</si>
  <si>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</si>
  <si>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</si>
  <si>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</si>
  <si>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</si>
  <si>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</si>
  <si>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</si>
  <si>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</si>
  <si>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</si>
  <si>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</si>
  <si>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</si>
  <si>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</si>
  <si>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</si>
  <si>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</si>
  <si>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</si>
  <si>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</si>
  <si>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</si>
  <si>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</si>
  <si>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</si>
  <si>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</si>
  <si>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</si>
  <si>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</si>
  <si>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</si>
  <si>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</si>
  <si>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</si>
  <si>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</si>
  <si>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</si>
  <si>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</si>
  <si>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</si>
  <si>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</si>
  <si>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</si>
  <si>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</si>
  <si>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</si>
  <si>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</si>
  <si>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</si>
  <si>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</si>
  <si>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</si>
  <si>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</si>
  <si>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</si>
  <si>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</si>
  <si>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</si>
  <si>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</si>
  <si>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</si>
  <si>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</si>
  <si>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</si>
  <si>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</si>
  <si>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</si>
  <si>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</si>
  <si>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</si>
  <si>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</si>
  <si>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</si>
  <si>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</si>
  <si>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</si>
  <si>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</si>
  <si>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</si>
  <si>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</si>
  <si>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</si>
  <si>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</si>
  <si>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</si>
  <si>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</si>
  <si>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</si>
  <si>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</si>
  <si>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</si>
  <si>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</si>
  <si>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د/ أحمد بغدادي رشدي محمد</t>
  </si>
  <si>
    <t>أ/ نجوى إبراهيم محمود غنيم</t>
  </si>
  <si>
    <t>عمرو محمد عبدالحليم أبو سليم</t>
  </si>
  <si>
    <t xml:space="preserve">ضرائب </t>
  </si>
  <si>
    <t>شهر نوفمبر 2025</t>
  </si>
  <si>
    <t>ديسمبر 2025</t>
  </si>
  <si>
    <t>شهر ديسمبر 2025</t>
  </si>
  <si>
    <t>Refund for taxes deductions 3/3</t>
  </si>
  <si>
    <t>الخروج من التأمينات شهر بعد تاريخ انتهاء العمل</t>
  </si>
  <si>
    <t>محمد حسين محمد محمد</t>
  </si>
  <si>
    <t>مستشار محمد ماهر عبدالواحد</t>
  </si>
  <si>
    <t>المستشار محمد ماهر عبدالواحد</t>
  </si>
  <si>
    <t>He ejoined 21-12-2025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</si>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</sst>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25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</cellStyleXfs>
  <cellXfs count="136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3" fillId="0" borderId="0" xfId="0" applyFont="1"/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18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2" fillId="0" borderId="0" xfId="0" applyNumberFormat="1" applyFont="1"/>
    <xf numFmtId="2" fontId="3" fillId="0" borderId="0" xfId="0" applyNumberFormat="1" applyFont="1" applyAlignment="1">
      <alignment horizontal="center" vertical="center" wrapText="1" readingOrder="2"/>
    </xf>
    <xf numFmtId="2" fontId="14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2" borderId="0" xfId="0" applyFill="1"/>
    <xf numFmtId="0" fontId="8" fillId="2" borderId="0" xfId="0" applyFont="1" applyFill="1"/>
    <xf numFmtId="0" fontId="5" fillId="2" borderId="0" xfId="0" applyFont="1" applyFill="1"/>
    <xf numFmtId="0" fontId="13" fillId="2" borderId="0" xfId="0" applyFont="1" applyFill="1" applyAlignment="1">
      <alignment horizontal="center"/>
    </xf>
    <xf numFmtId="0" fontId="3" fillId="2" borderId="0" xfId="0" applyFont="1" applyFill="1"/>
    <xf numFmtId="0" fontId="11" fillId="2" borderId="0" xfId="0" applyFont="1" applyFill="1"/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5" fillId="0" borderId="0" xfId="0" applyNumberFormat="1" applyFont="1"/>
    <xf numFmtId="0" fontId="4" fillId="3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15" fillId="0" borderId="0" xfId="0" applyNumberFormat="1" applyFont="1"/>
    <xf numFmtId="165" fontId="3" fillId="0" borderId="0" xfId="1" applyFont="1"/>
    <xf numFmtId="165" fontId="15" fillId="0" borderId="0" xfId="1" applyFont="1" applyBorder="1"/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65" fontId="15" fillId="0" borderId="0" xfId="1" applyFont="1" applyBorder="1" applyAlignment="1">
      <alignment vertical="center"/>
    </xf>
    <xf numFmtId="0" fontId="6" fillId="2" borderId="0" xfId="0" applyFont="1" applyFill="1"/>
    <xf numFmtId="2" fontId="23" fillId="5" borderId="31" xfId="0" applyNumberFormat="1" applyFont="1" applyFill="1" applyBorder="1"/>
    <xf numFmtId="2" fontId="23" fillId="0" borderId="31" xfId="0" applyNumberFormat="1" applyFont="1" applyBorder="1"/>
    <xf numFmtId="0" fontId="23" fillId="0" borderId="1" xfId="0" applyFont="1" applyBorder="1" applyAlignment="1">
      <alignment vertical="center"/>
    </xf>
    <xf numFmtId="2" fontId="16" fillId="0" borderId="0" xfId="0" applyNumberFormat="1" applyFont="1"/>
    <xf numFmtId="165" fontId="3" fillId="0" borderId="18" xfId="1" applyFont="1" applyBorder="1"/>
    <xf numFmtId="2" fontId="3" fillId="0" borderId="18" xfId="0" applyNumberFormat="1" applyFont="1" applyBorder="1"/>
    <xf numFmtId="2" fontId="3" fillId="0" borderId="19" xfId="0" applyNumberFormat="1" applyFont="1" applyBorder="1"/>
    <xf numFmtId="2" fontId="15" fillId="0" borderId="21" xfId="0" applyNumberFormat="1" applyFont="1" applyBorder="1" applyAlignment="1">
      <alignment vertical="center"/>
    </xf>
    <xf numFmtId="165" fontId="3" fillId="0" borderId="22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3" fillId="0" borderId="31" xfId="1" applyFont="1" applyBorder="1"/>
    <xf numFmtId="165" fontId="23" fillId="5" borderId="31" xfId="1" applyFont="1" applyFill="1" applyBorder="1"/>
    <xf numFmtId="167" fontId="23" fillId="0" borderId="0" xfId="1" applyNumberFormat="1" applyFont="1" applyBorder="1"/>
    <xf numFmtId="169" fontId="10" fillId="0" borderId="1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0" fillId="0" borderId="16" xfId="0" applyNumberFormat="1" applyFont="1" applyBorder="1" applyAlignment="1">
      <alignment horizontal="center"/>
    </xf>
    <xf numFmtId="168" fontId="10" fillId="0" borderId="16" xfId="0" applyNumberFormat="1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right" vertical="center"/>
    </xf>
    <xf numFmtId="0" fontId="20" fillId="10" borderId="1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/>
    </xf>
    <xf numFmtId="0" fontId="20" fillId="11" borderId="30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vertical="center"/>
    </xf>
    <xf numFmtId="165" fontId="23" fillId="12" borderId="31" xfId="1" applyFont="1" applyFill="1" applyBorder="1"/>
    <xf numFmtId="165" fontId="23" fillId="13" borderId="31" xfId="1" applyFont="1" applyFill="1" applyBorder="1"/>
    <xf numFmtId="165" fontId="23" fillId="14" borderId="31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 vertical="center" wrapText="1"/>
    </xf>
    <xf numFmtId="165" fontId="19" fillId="7" borderId="1" xfId="1" applyFont="1" applyFill="1" applyBorder="1" applyAlignment="1">
      <alignment horizontal="center"/>
    </xf>
    <xf numFmtId="165" fontId="23" fillId="2" borderId="31" xfId="1" applyFont="1" applyFill="1" applyBorder="1"/>
    <xf numFmtId="167" fontId="19" fillId="15" borderId="0" xfId="1" applyNumberFormat="1" applyFont="1" applyFill="1" applyBorder="1"/>
    <xf numFmtId="0" fontId="22" fillId="6" borderId="0" xfId="0" applyFont="1" applyFill="1" applyAlignment="1">
      <alignment horizontal="center" vertical="center"/>
    </xf>
    <xf numFmtId="0" fontId="0" fillId="14" borderId="0" xfId="0" applyFill="1"/>
    <xf numFmtId="0" fontId="23" fillId="14" borderId="1" xfId="0" applyFont="1" applyFill="1" applyBorder="1" applyAlignment="1">
      <alignment vertical="center"/>
    </xf>
    <xf numFmtId="2" fontId="23" fillId="14" borderId="31" xfId="0" applyNumberFormat="1" applyFont="1" applyFill="1" applyBorder="1"/>
    <xf numFmtId="165" fontId="23" fillId="16" borderId="31" xfId="1" applyFont="1" applyFill="1" applyBorder="1"/>
    <xf numFmtId="2" fontId="23" fillId="5" borderId="31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 wrapText="1"/>
    </xf>
    <xf numFmtId="165" fontId="23" fillId="17" borderId="31" xfId="1" applyFont="1" applyFill="1" applyBorder="1"/>
    <xf numFmtId="165" fontId="3" fillId="0" borderId="0" xfId="1" applyFont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4" fontId="7" fillId="0" borderId="24" xfId="0" applyNumberFormat="1" applyFont="1" applyBorder="1" applyAlignment="1">
      <alignment horizontal="center" vertical="center"/>
    </xf>
    <xf numFmtId="4" fontId="7" fillId="0" borderId="15" xfId="0" applyNumberFormat="1" applyFont="1" applyBorder="1" applyAlignment="1">
      <alignment horizontal="center" vertical="center"/>
    </xf>
    <xf numFmtId="4" fontId="7" fillId="0" borderId="16" xfId="0" applyNumberFormat="1" applyFont="1" applyBorder="1" applyAlignment="1">
      <alignment horizontal="center" vertical="center"/>
    </xf>
    <xf numFmtId="4" fontId="10" fillId="0" borderId="24" xfId="0" applyNumberFormat="1" applyFont="1" applyBorder="1" applyAlignment="1">
      <alignment horizontal="center" vertical="center"/>
    </xf>
    <xf numFmtId="4" fontId="10" fillId="0" borderId="15" xfId="0" applyNumberFormat="1" applyFont="1" applyBorder="1" applyAlignment="1">
      <alignment horizontal="center" vertical="center"/>
    </xf>
    <xf numFmtId="4" fontId="10" fillId="0" borderId="16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4" fillId="0" borderId="28" xfId="0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نوفمب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40" zoomScaleNormal="40" zoomScaleSheetLayoutView="75" workbookViewId="0">
      <pane ySplit="3" topLeftCell="A21" activePane="bottomLeft" state="frozen"/>
      <selection pane="bottomLeft" activeCell="A120" sqref="A1:P120"/>
    </sheetView>
  </sheetViews>
  <sheetFormatPr defaultColWidth="9.109375" defaultRowHeight="15" x14ac:dyDescent="0.25"/>
  <cols>
    <col min="1" max="11" width="25.77734375" customWidth="1"/>
    <col min="12" max="13" width="25.77734375" style="3" customWidth="1"/>
    <col min="14" max="14" width="25.77734375" style="9" customWidth="1"/>
    <col min="15" max="15" width="25.77734375" style="15" customWidth="1"/>
    <col min="16" max="16" width="25.77734375" style="2" customWidth="1"/>
    <col min="17" max="16384" width="9.109375" style="37"/>
  </cols>
  <sheetData>
    <row r="1" spans="1:16" s="39" customFormat="1" ht="44.1" customHeight="1" x14ac:dyDescent="0.4">
      <c r="A1" t="s">
        <v>150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 ht="13.2" x14ac:dyDescent="0.25">
      <c r="B2" t="s">
        <v>6</v>
      </c>
      <c r="D2">
        <v>45870</v>
      </c>
      <c r="L2"/>
      <c r="M2"/>
      <c r="N2"/>
      <c r="O2"/>
      <c r="P2"/>
    </row>
    <row r="3" spans="1:16" s="40" customFormat="1" ht="79.5" customHeight="1" x14ac:dyDescent="0.3">
      <c r="A3" t="s">
        <v>18</v>
      </c>
      <c r="B3" t="s">
        <v>35</v>
      </c>
      <c r="C3" t="s">
        <v>158</v>
      </c>
      <c r="D3" t="s">
        <v>34</v>
      </c>
      <c r="E3" t="s">
        <v>33</v>
      </c>
      <c r="F3" t="s">
        <v>32</v>
      </c>
      <c r="G3" t="s">
        <v>57</v>
      </c>
      <c r="H3" t="s">
        <v>31</v>
      </c>
      <c r="I3" t="s">
        <v>30</v>
      </c>
      <c r="J3" t="s">
        <v>12</v>
      </c>
      <c r="K3" t="s">
        <v>13</v>
      </c>
      <c r="L3"/>
      <c r="M3" t="s">
        <v>77</v>
      </c>
      <c r="N3" t="s">
        <v>2</v>
      </c>
      <c r="O3" t="s">
        <v>16</v>
      </c>
      <c r="P3" t="s">
        <v>17</v>
      </c>
    </row>
    <row r="4" spans="1:16" ht="13.2" x14ac:dyDescent="0.25">
      <c r="A4">
        <v>1</v>
      </c>
      <c r="B4" t="s">
        <v>128</v>
      </c>
      <c r="D4">
        <v>0</v>
      </c>
      <c r="E4" t="str">
        <f>HYPERLINK(اضافات!N4)</f>
        <v>0</v>
      </c>
      <c r="F4" t="str">
        <f>HYPERLINK(اضافات!M4)</f>
        <v>0</v>
      </c>
      <c r="G4" t="str">
        <f>HYPERLINK(اضافات!F4)</f>
        <v>0</v>
      </c>
      <c r="H4" t="str">
        <f>HYPERLINK(اضافات!O4)</f>
        <v>0</v>
      </c>
      <c r="I4" t="str">
        <f>HYPERLINK(خصومات!L4)</f>
        <v>0</v>
      </c>
      <c r="J4">
        <f>SUM(D4,VALUE(E4),VALUE(F4),VALUE(G4))</f>
        <v>0</v>
      </c>
      <c r="K4">
        <f>VALUE(D4)+VALUE(G4)+VALUE(H4)-VALUE(I4)</f>
        <v>0</v>
      </c>
      <c r="L4"/>
      <c r="M4"/>
      <c r="N4"/>
      <c r="O4"/>
      <c r="P4"/>
    </row>
    <row r="5" spans="1:16" ht="13.2" x14ac:dyDescent="0.25">
      <c r="A5">
        <v>2</v>
      </c>
      <c r="B5" t="s">
        <v>129</v>
      </c>
      <c r="D5">
        <v>0</v>
      </c>
      <c r="E5" t="str">
        <f>HYPERLINK(اضافات!N5)</f>
        <v>0</v>
      </c>
      <c r="F5" t="str">
        <f>HYPERLINK(اضافات!M5)</f>
        <v>0</v>
      </c>
      <c r="G5" t="str">
        <f>HYPERLINK(اضافات!F5)</f>
        <v>0</v>
      </c>
      <c r="H5" t="str">
        <f>HYPERLINK(اضافات!O5)</f>
        <v>0</v>
      </c>
      <c r="I5" t="str">
        <f>HYPERLINK(خصومات!L5)</f>
        <v>0</v>
      </c>
      <c r="J5">
        <f t="shared" ref="J5:J68" si="0">SUM(D5,VALUE(E5),VALUE(F5),VALUE(G5))</f>
        <v>0</v>
      </c>
      <c r="K5">
        <f t="shared" ref="K5:K68" si="1">VALUE(D5)+VALUE(G5)+VALUE(H5)-VALUE(I5)</f>
        <v>0</v>
      </c>
      <c r="L5"/>
      <c r="M5"/>
      <c r="N5"/>
      <c r="O5"/>
      <c r="P5"/>
    </row>
    <row r="6" spans="1:16" ht="13.2" x14ac:dyDescent="0.25">
      <c r="A6">
        <v>3</v>
      </c>
      <c r="B6" t="s">
        <v>130</v>
      </c>
      <c r="D6">
        <v>0</v>
      </c>
      <c r="E6" t="str">
        <f>HYPERLINK(اضافات!N6)</f>
        <v>0</v>
      </c>
      <c r="F6" t="str">
        <f>HYPERLINK(اضافات!M6)</f>
        <v>0</v>
      </c>
      <c r="G6" t="str">
        <f>HYPERLINK(اضافات!F6)</f>
        <v>0</v>
      </c>
      <c r="H6" t="str">
        <f>HYPERLINK(اضافات!O6)</f>
        <v>0</v>
      </c>
      <c r="I6" t="str">
        <f>HYPERLINK(خصومات!L6)</f>
        <v>0</v>
      </c>
      <c r="J6">
        <f t="shared" si="0"/>
        <v>0</v>
      </c>
      <c r="K6">
        <f t="shared" si="1"/>
        <v>0</v>
      </c>
      <c r="L6"/>
      <c r="M6"/>
      <c r="N6"/>
      <c r="O6"/>
      <c r="P6"/>
    </row>
    <row r="7" spans="1:16" ht="13.2" hidden="1" x14ac:dyDescent="0.25">
      <c r="B7" t="s">
        <v>82</v>
      </c>
      <c r="D7">
        <v>0</v>
      </c>
      <c r="E7" t="str">
        <f>HYPERLINK(اضافات!N7)</f>
        <v>0</v>
      </c>
      <c r="F7" t="str">
        <f>HYPERLINK(اضافات!M7)</f>
        <v>0</v>
      </c>
      <c r="G7" t="str">
        <f>HYPERLINK(اضافات!F7)</f>
        <v>0</v>
      </c>
      <c r="H7" t="str">
        <f>HYPERLINK(اضافات!O7)</f>
        <v>0</v>
      </c>
      <c r="I7" t="str">
        <f>HYPERLINK(خصومات!L7)</f>
        <v>0</v>
      </c>
      <c r="J7">
        <f t="shared" si="0"/>
        <v>0</v>
      </c>
      <c r="K7">
        <f t="shared" si="1"/>
        <v>0</v>
      </c>
      <c r="L7"/>
      <c r="M7"/>
      <c r="N7"/>
      <c r="O7"/>
      <c r="P7"/>
    </row>
    <row r="8" spans="1:16" ht="13.2" hidden="1" x14ac:dyDescent="0.25">
      <c r="B8" t="s">
        <v>82</v>
      </c>
      <c r="D8">
        <v>0</v>
      </c>
      <c r="E8" t="str">
        <f>HYPERLINK(اضافات!N8)</f>
        <v>0</v>
      </c>
      <c r="F8" t="str">
        <f>HYPERLINK(اضافات!M8)</f>
        <v>0</v>
      </c>
      <c r="G8" t="str">
        <f>HYPERLINK(اضافات!F8)</f>
        <v>0</v>
      </c>
      <c r="H8" t="str">
        <f>HYPERLINK(اضافات!O8)</f>
        <v>0</v>
      </c>
      <c r="I8" t="str">
        <f>HYPERLINK(خصومات!L8)</f>
        <v>0</v>
      </c>
      <c r="J8">
        <f t="shared" si="0"/>
        <v>0</v>
      </c>
      <c r="K8">
        <f t="shared" si="1"/>
        <v>0</v>
      </c>
      <c r="L8"/>
      <c r="M8"/>
      <c r="N8"/>
      <c r="O8"/>
      <c r="P8"/>
    </row>
    <row r="9" spans="1:16" ht="13.2" hidden="1" x14ac:dyDescent="0.25">
      <c r="B9" t="s">
        <v>82</v>
      </c>
      <c r="D9">
        <v>0</v>
      </c>
      <c r="E9" t="str">
        <f>HYPERLINK(اضافات!N9)</f>
        <v>0</v>
      </c>
      <c r="F9" t="str">
        <f>HYPERLINK(اضافات!M9)</f>
        <v>0</v>
      </c>
      <c r="G9" t="str">
        <f>HYPERLINK(اضافات!F9)</f>
        <v>0</v>
      </c>
      <c r="H9" t="str">
        <f>HYPERLINK(اضافات!O9)</f>
        <v>0</v>
      </c>
      <c r="I9" t="str">
        <f>HYPERLINK(خصومات!L9)</f>
        <v>0</v>
      </c>
      <c r="J9">
        <f t="shared" si="0"/>
        <v>0</v>
      </c>
      <c r="K9">
        <f t="shared" si="1"/>
        <v>0</v>
      </c>
      <c r="L9"/>
      <c r="M9"/>
      <c r="N9"/>
      <c r="O9"/>
      <c r="P9"/>
    </row>
    <row r="10" spans="1:16" ht="13.2" hidden="1" x14ac:dyDescent="0.25">
      <c r="B10" t="s">
        <v>82</v>
      </c>
      <c r="D10">
        <v>0</v>
      </c>
      <c r="E10" t="str">
        <f>HYPERLINK(اضافات!N10)</f>
        <v>0</v>
      </c>
      <c r="F10" t="str">
        <f>HYPERLINK(اضافات!M10)</f>
        <v>0</v>
      </c>
      <c r="G10" t="str">
        <f>HYPERLINK(اضافات!F10)</f>
        <v>0</v>
      </c>
      <c r="H10" t="str">
        <f>HYPERLINK(اضافات!O10)</f>
        <v>0</v>
      </c>
      <c r="I10" t="str">
        <f>HYPERLINK(خصومات!L10)</f>
        <v>0</v>
      </c>
      <c r="J10">
        <f t="shared" si="0"/>
        <v>0</v>
      </c>
      <c r="K10">
        <f t="shared" si="1"/>
        <v>0</v>
      </c>
      <c r="L10"/>
      <c r="M10"/>
      <c r="N10"/>
      <c r="O10"/>
      <c r="P10"/>
    </row>
    <row r="11" spans="1:16" ht="13.2" hidden="1" x14ac:dyDescent="0.25">
      <c r="B11" t="s">
        <v>82</v>
      </c>
      <c r="D11">
        <v>0</v>
      </c>
      <c r="E11" t="str">
        <f>HYPERLINK(اضافات!N11)</f>
        <v>0</v>
      </c>
      <c r="F11" t="str">
        <f>HYPERLINK(اضافات!M11)</f>
        <v>0</v>
      </c>
      <c r="G11" t="str">
        <f>HYPERLINK(اضافات!F11)</f>
        <v>0</v>
      </c>
      <c r="H11" t="str">
        <f>HYPERLINK(اضافات!O11)</f>
        <v>0</v>
      </c>
      <c r="I11" t="str">
        <f>HYPERLINK(خصومات!L11)</f>
        <v>0</v>
      </c>
      <c r="J11">
        <f t="shared" si="0"/>
        <v>0</v>
      </c>
      <c r="K11">
        <f t="shared" si="1"/>
        <v>0</v>
      </c>
      <c r="L11"/>
      <c r="M11"/>
      <c r="N11"/>
      <c r="O11"/>
      <c r="P11"/>
    </row>
    <row r="12" spans="1:16" ht="13.2" hidden="1" x14ac:dyDescent="0.25">
      <c r="B12" t="s">
        <v>82</v>
      </c>
      <c r="D12">
        <v>0</v>
      </c>
      <c r="E12" t="str">
        <f>HYPERLINK(اضافات!N12)</f>
        <v>0</v>
      </c>
      <c r="F12" t="str">
        <f>HYPERLINK(اضافات!M12)</f>
        <v>0</v>
      </c>
      <c r="G12" t="str">
        <f>HYPERLINK(اضافات!F12)</f>
        <v>0</v>
      </c>
      <c r="H12" t="str">
        <f>HYPERLINK(اضافات!O12)</f>
        <v>0</v>
      </c>
      <c r="I12" t="str">
        <f>HYPERLINK(خصومات!L12)</f>
        <v>0</v>
      </c>
      <c r="J12">
        <f t="shared" si="0"/>
        <v>0</v>
      </c>
      <c r="K12">
        <f t="shared" si="1"/>
        <v>0</v>
      </c>
      <c r="L12"/>
      <c r="M12"/>
      <c r="N12"/>
      <c r="O12"/>
      <c r="P12"/>
    </row>
    <row r="13" spans="1:16" ht="13.2" hidden="1" x14ac:dyDescent="0.25">
      <c r="B13" t="s">
        <v>82</v>
      </c>
      <c r="D13">
        <v>0</v>
      </c>
      <c r="E13" t="str">
        <f>HYPERLINK(اضافات!N13)</f>
        <v>0</v>
      </c>
      <c r="F13" t="str">
        <f>HYPERLINK(اضافات!M13)</f>
        <v>0</v>
      </c>
      <c r="G13" t="str">
        <f>HYPERLINK(اضافات!F13)</f>
        <v>0</v>
      </c>
      <c r="H13" t="str">
        <f>HYPERLINK(اضافات!O13)</f>
        <v>0</v>
      </c>
      <c r="I13" t="str">
        <f>HYPERLINK(خصومات!L13)</f>
        <v>0</v>
      </c>
      <c r="J13">
        <f t="shared" si="0"/>
        <v>0</v>
      </c>
      <c r="K13">
        <f t="shared" si="1"/>
        <v>0</v>
      </c>
      <c r="L13"/>
      <c r="M13"/>
      <c r="N13"/>
      <c r="O13"/>
      <c r="P13"/>
    </row>
    <row r="14" spans="1:16" ht="13.2" hidden="1" x14ac:dyDescent="0.25">
      <c r="B14" t="s">
        <v>82</v>
      </c>
      <c r="D14">
        <v>0</v>
      </c>
      <c r="E14" t="str">
        <f>HYPERLINK(اضافات!N14)</f>
        <v>0</v>
      </c>
      <c r="F14" t="str">
        <f>HYPERLINK(اضافات!M14)</f>
        <v>0</v>
      </c>
      <c r="G14" t="str">
        <f>HYPERLINK(اضافات!F14)</f>
        <v>0</v>
      </c>
      <c r="H14" t="str">
        <f>HYPERLINK(اضافات!O14)</f>
        <v>0</v>
      </c>
      <c r="I14" t="str">
        <f>HYPERLINK(خصومات!L14)</f>
        <v>0</v>
      </c>
      <c r="J14">
        <f t="shared" si="0"/>
        <v>0</v>
      </c>
      <c r="K14">
        <f t="shared" si="1"/>
        <v>0</v>
      </c>
      <c r="L14"/>
      <c r="M14"/>
      <c r="N14"/>
      <c r="O14"/>
      <c r="P14"/>
    </row>
    <row r="15" spans="1:16" ht="13.2" hidden="1" x14ac:dyDescent="0.25">
      <c r="B15" t="s">
        <v>82</v>
      </c>
      <c r="D15">
        <v>0</v>
      </c>
      <c r="E15" t="str">
        <f>HYPERLINK(اضافات!N15)</f>
        <v>0</v>
      </c>
      <c r="F15" t="str">
        <f>HYPERLINK(اضافات!M15)</f>
        <v>0</v>
      </c>
      <c r="G15" t="str">
        <f>HYPERLINK(اضافات!F15)</f>
        <v>0</v>
      </c>
      <c r="H15" t="str">
        <f>HYPERLINK(اضافات!O15)</f>
        <v>0</v>
      </c>
      <c r="I15" t="str">
        <f>HYPERLINK(خصومات!L15)</f>
        <v>0</v>
      </c>
      <c r="J15">
        <f t="shared" si="0"/>
        <v>0</v>
      </c>
      <c r="K15">
        <f t="shared" si="1"/>
        <v>0</v>
      </c>
      <c r="L15"/>
      <c r="M15"/>
      <c r="N15"/>
      <c r="O15"/>
      <c r="P15"/>
    </row>
    <row r="16" spans="1:16" ht="13.2" hidden="1" x14ac:dyDescent="0.25">
      <c r="B16" t="s">
        <v>82</v>
      </c>
      <c r="D16">
        <v>0</v>
      </c>
      <c r="E16" t="str">
        <f>HYPERLINK(اضافات!N16)</f>
        <v>0</v>
      </c>
      <c r="F16" t="str">
        <f>HYPERLINK(اضافات!M16)</f>
        <v>0</v>
      </c>
      <c r="G16" t="str">
        <f>HYPERLINK(اضافات!F16)</f>
        <v>0</v>
      </c>
      <c r="H16" t="str">
        <f>HYPERLINK(اضافات!O16)</f>
        <v>0</v>
      </c>
      <c r="I16" t="str">
        <f>HYPERLINK(خصومات!L16)</f>
        <v>0</v>
      </c>
      <c r="J16">
        <f t="shared" si="0"/>
        <v>0</v>
      </c>
      <c r="K16">
        <f t="shared" si="1"/>
        <v>0</v>
      </c>
      <c r="L16"/>
      <c r="M16"/>
      <c r="N16"/>
      <c r="O16"/>
      <c r="P16"/>
    </row>
    <row r="17" spans="1:16" ht="13.2" hidden="1" x14ac:dyDescent="0.25">
      <c r="B17" t="s">
        <v>82</v>
      </c>
      <c r="D17">
        <v>0</v>
      </c>
      <c r="E17" t="str">
        <f>HYPERLINK(اضافات!N17)</f>
        <v>0</v>
      </c>
      <c r="F17" t="str">
        <f>HYPERLINK(اضافات!M17)</f>
        <v>0</v>
      </c>
      <c r="G17" t="str">
        <f>HYPERLINK(اضافات!F17)</f>
        <v>0</v>
      </c>
      <c r="H17" t="str">
        <f>HYPERLINK(اضافات!O17)</f>
        <v>0</v>
      </c>
      <c r="I17" t="str">
        <f>HYPERLINK(خصومات!L17)</f>
        <v>0</v>
      </c>
      <c r="J17">
        <f t="shared" si="0"/>
        <v>0</v>
      </c>
      <c r="K17">
        <f t="shared" si="1"/>
        <v>0</v>
      </c>
      <c r="L17"/>
      <c r="M17"/>
      <c r="N17"/>
      <c r="O17"/>
      <c r="P17"/>
    </row>
    <row r="18" spans="1:16" ht="13.2" x14ac:dyDescent="0.25">
      <c r="A18">
        <v>3</v>
      </c>
      <c r="B18" t="s">
        <v>0</v>
      </c>
      <c r="D18">
        <f>SUM(D4:D17)</f>
        <v>0</v>
      </c>
      <c r="E18">
        <f t="shared" ref="E18:K18" si="2">SUM(E4:E17)</f>
        <v>0</v>
      </c>
      <c r="F18">
        <f t="shared" si="2"/>
        <v>0</v>
      </c>
      <c r="G18">
        <f t="shared" si="2"/>
        <v>0</v>
      </c>
      <c r="H18">
        <f t="shared" si="2"/>
        <v>0</v>
      </c>
      <c r="I18">
        <f t="shared" si="2"/>
        <v>0</v>
      </c>
      <c r="J18">
        <f t="shared" si="2"/>
        <v>0</v>
      </c>
      <c r="K18">
        <f t="shared" si="2"/>
        <v>0</v>
      </c>
      <c r="L18">
        <f>SUM(K4:K17)</f>
        <v>0</v>
      </c>
      <c r="M18"/>
      <c r="N18"/>
      <c r="O18"/>
      <c r="P18"/>
    </row>
    <row r="19" spans="1:16" ht="13.2" x14ac:dyDescent="0.25">
      <c r="A19">
        <v>1</v>
      </c>
      <c r="B19" t="s">
        <v>78</v>
      </c>
      <c r="D19">
        <v>0</v>
      </c>
      <c r="E19" t="str">
        <f>HYPERLINK(اضافات!N19)</f>
        <v>0</v>
      </c>
      <c r="F19" t="str">
        <f>HYPERLINK(اضافات!M19)</f>
        <v>0</v>
      </c>
      <c r="G19" t="str">
        <f>HYPERLINK(اضافات!F19)</f>
        <v>0</v>
      </c>
      <c r="H19" t="str">
        <f>HYPERLINK(اضافات!O19)</f>
        <v>0</v>
      </c>
      <c r="I19" t="str">
        <f>HYPERLINK(خصومات!L19)</f>
        <v>0</v>
      </c>
      <c r="J19">
        <f t="shared" si="0"/>
        <v>0</v>
      </c>
      <c r="K19">
        <f t="shared" si="1"/>
        <v>0</v>
      </c>
      <c r="L19"/>
      <c r="M19"/>
      <c r="N19"/>
      <c r="O19"/>
      <c r="P19"/>
    </row>
    <row r="20" spans="1:16" ht="13.2" x14ac:dyDescent="0.25">
      <c r="A20">
        <v>2</v>
      </c>
      <c r="B20" t="s">
        <v>64</v>
      </c>
      <c r="D20">
        <v>0</v>
      </c>
      <c r="E20" t="str">
        <f>HYPERLINK(اضافات!N20)</f>
        <v>0</v>
      </c>
      <c r="F20" t="str">
        <f>HYPERLINK(اضافات!M20)</f>
        <v>0</v>
      </c>
      <c r="G20" t="str">
        <f>HYPERLINK(اضافات!F20)</f>
        <v>0</v>
      </c>
      <c r="H20" t="str">
        <f>HYPERLINK(اضافات!O20)</f>
        <v>0</v>
      </c>
      <c r="I20" t="str">
        <f>HYPERLINK(خصومات!L20)</f>
        <v>0</v>
      </c>
      <c r="J20">
        <f t="shared" si="0"/>
        <v>0</v>
      </c>
      <c r="K20">
        <f t="shared" si="1"/>
        <v>0</v>
      </c>
      <c r="L20"/>
      <c r="M20"/>
      <c r="N20"/>
      <c r="O20"/>
      <c r="P20"/>
    </row>
    <row r="21" spans="1:16" ht="13.2" x14ac:dyDescent="0.25">
      <c r="A21">
        <v>3</v>
      </c>
      <c r="B21" t="s">
        <v>91</v>
      </c>
      <c r="D21">
        <v>0</v>
      </c>
      <c r="E21" t="str">
        <f>HYPERLINK(اضافات!N21)</f>
        <v>0</v>
      </c>
      <c r="F21" t="str">
        <f>HYPERLINK(اضافات!M21)</f>
        <v>0</v>
      </c>
      <c r="G21" t="str">
        <f>HYPERLINK(اضافات!F21)</f>
        <v>0</v>
      </c>
      <c r="H21" t="str">
        <f>HYPERLINK(اضافات!O21)</f>
        <v>0</v>
      </c>
      <c r="I21" t="str">
        <f>HYPERLINK(خصومات!L21)</f>
        <v>0</v>
      </c>
      <c r="J21">
        <f t="shared" si="0"/>
        <v>0</v>
      </c>
      <c r="K21">
        <f t="shared" si="1"/>
        <v>0</v>
      </c>
      <c r="L21"/>
      <c r="M21"/>
      <c r="N21"/>
      <c r="O21"/>
      <c r="P21"/>
    </row>
    <row r="22" spans="1:16" ht="13.2" x14ac:dyDescent="0.25">
      <c r="A22">
        <v>4</v>
      </c>
      <c r="B22" t="s">
        <v>65</v>
      </c>
      <c r="D22">
        <v>0</v>
      </c>
      <c r="E22" t="str">
        <f>HYPERLINK(اضافات!N22)</f>
        <v>0</v>
      </c>
      <c r="F22" t="str">
        <f>HYPERLINK(اضافات!M22)</f>
        <v>0</v>
      </c>
      <c r="G22" t="str">
        <f>HYPERLINK(اضافات!F22)</f>
        <v>0</v>
      </c>
      <c r="H22" t="str">
        <f>HYPERLINK(اضافات!O22)</f>
        <v>0</v>
      </c>
      <c r="I22" t="str">
        <f>HYPERLINK(خصومات!L22)</f>
        <v>0</v>
      </c>
      <c r="J22">
        <f t="shared" si="0"/>
        <v>0</v>
      </c>
      <c r="K22">
        <f t="shared" si="1"/>
        <v>0</v>
      </c>
      <c r="L22"/>
      <c r="M22"/>
      <c r="N22"/>
      <c r="O22"/>
      <c r="P22"/>
    </row>
    <row r="23" spans="1:16" ht="13.2" x14ac:dyDescent="0.25">
      <c r="A23">
        <v>5</v>
      </c>
      <c r="B23" t="s">
        <v>68</v>
      </c>
      <c r="D23">
        <v>0</v>
      </c>
      <c r="E23" t="str">
        <f>HYPERLINK(اضافات!N23)</f>
        <v>0</v>
      </c>
      <c r="F23" t="str">
        <f>HYPERLINK(اضافات!M23)</f>
        <v>0</v>
      </c>
      <c r="G23" t="str">
        <f>HYPERLINK(اضافات!F23)</f>
        <v>0</v>
      </c>
      <c r="H23" t="str">
        <f>HYPERLINK(اضافات!O23)</f>
        <v>0</v>
      </c>
      <c r="I23" t="str">
        <f>HYPERLINK(خصومات!L23)</f>
        <v>0</v>
      </c>
      <c r="J23">
        <f t="shared" si="0"/>
        <v>0</v>
      </c>
      <c r="K23">
        <f t="shared" si="1"/>
        <v>0</v>
      </c>
      <c r="L23"/>
      <c r="M23"/>
      <c r="N23"/>
      <c r="O23"/>
      <c r="P23"/>
    </row>
    <row r="24" spans="1:16" ht="13.2" x14ac:dyDescent="0.25">
      <c r="A24">
        <v>6</v>
      </c>
      <c r="B24" t="s">
        <v>127</v>
      </c>
      <c r="D24">
        <v>0</v>
      </c>
      <c r="E24" t="str">
        <f>HYPERLINK(اضافات!N24)</f>
        <v>0</v>
      </c>
      <c r="F24" t="str">
        <f>HYPERLINK(اضافات!M24)</f>
        <v>0</v>
      </c>
      <c r="G24" t="str">
        <f>HYPERLINK(اضافات!F24)</f>
        <v>0</v>
      </c>
      <c r="H24" t="str">
        <f>HYPERLINK(اضافات!O24)</f>
        <v>0</v>
      </c>
      <c r="I24" t="str">
        <f>HYPERLINK(خصومات!L24)</f>
        <v>0</v>
      </c>
      <c r="J24">
        <f t="shared" si="0"/>
        <v>0</v>
      </c>
      <c r="K24">
        <f t="shared" si="1"/>
        <v>0</v>
      </c>
      <c r="L24"/>
      <c r="M24"/>
      <c r="N24"/>
      <c r="O24"/>
      <c r="P24"/>
    </row>
    <row r="25" spans="1:16" ht="13.2" x14ac:dyDescent="0.25">
      <c r="A25">
        <v>7</v>
      </c>
      <c r="B25" t="s">
        <v>66</v>
      </c>
      <c r="D25">
        <v>0</v>
      </c>
      <c r="E25" t="str">
        <f>HYPERLINK(اضافات!N25)</f>
        <v>0</v>
      </c>
      <c r="F25" t="str">
        <f>HYPERLINK(اضافات!M25)</f>
        <v>0</v>
      </c>
      <c r="G25" t="str">
        <f>HYPERLINK(اضافات!F25)</f>
        <v>0</v>
      </c>
      <c r="H25" t="str">
        <f>HYPERLINK(اضافات!O25)</f>
        <v>0</v>
      </c>
      <c r="I25" t="str">
        <f>HYPERLINK(خصومات!L25)</f>
        <v>0</v>
      </c>
      <c r="J25">
        <f t="shared" si="0"/>
        <v>0</v>
      </c>
      <c r="K25">
        <f t="shared" si="1"/>
        <v>0</v>
      </c>
      <c r="L25"/>
      <c r="M25"/>
      <c r="N25"/>
      <c r="O25"/>
      <c r="P25"/>
    </row>
    <row r="26" spans="1:16" ht="13.2" hidden="1" x14ac:dyDescent="0.25">
      <c r="B26" t="s">
        <v>82</v>
      </c>
      <c r="D26">
        <v>0</v>
      </c>
      <c r="E26" t="str">
        <f>HYPERLINK(اضافات!N26)</f>
        <v>0</v>
      </c>
      <c r="F26" t="str">
        <f>HYPERLINK(اضافات!M26)</f>
        <v>0</v>
      </c>
      <c r="G26" t="str">
        <f>HYPERLINK(اضافات!F26)</f>
        <v>0</v>
      </c>
      <c r="H26" t="str">
        <f>HYPERLINK(اضافات!O26)</f>
        <v>0</v>
      </c>
      <c r="I26" t="str">
        <f>HYPERLINK(خصومات!L26)</f>
        <v>0</v>
      </c>
      <c r="J26">
        <f t="shared" si="0"/>
        <v>0</v>
      </c>
      <c r="K26">
        <f t="shared" si="1"/>
        <v>0</v>
      </c>
      <c r="L26"/>
      <c r="M26"/>
      <c r="N26"/>
      <c r="O26"/>
      <c r="P26"/>
    </row>
    <row r="27" spans="1:16" ht="13.2" hidden="1" x14ac:dyDescent="0.25">
      <c r="B27" t="s">
        <v>82</v>
      </c>
      <c r="D27">
        <v>0</v>
      </c>
      <c r="E27" t="str">
        <f>HYPERLINK(اضافات!N27)</f>
        <v>0</v>
      </c>
      <c r="F27" t="str">
        <f>HYPERLINK(اضافات!M27)</f>
        <v>0</v>
      </c>
      <c r="G27" t="str">
        <f>HYPERLINK(اضافات!F27)</f>
        <v>0</v>
      </c>
      <c r="H27" t="str">
        <f>HYPERLINK(اضافات!O27)</f>
        <v>0</v>
      </c>
      <c r="I27" t="str">
        <f>HYPERLINK(خصومات!L27)</f>
        <v>0</v>
      </c>
      <c r="J27">
        <f t="shared" si="0"/>
        <v>0</v>
      </c>
      <c r="K27">
        <f t="shared" si="1"/>
        <v>0</v>
      </c>
      <c r="L27"/>
      <c r="M27"/>
      <c r="N27"/>
      <c r="O27"/>
      <c r="P27"/>
    </row>
    <row r="28" spans="1:16" ht="13.2" hidden="1" x14ac:dyDescent="0.25">
      <c r="B28" t="s">
        <v>82</v>
      </c>
      <c r="D28">
        <v>0</v>
      </c>
      <c r="E28" t="str">
        <f>HYPERLINK(اضافات!N28)</f>
        <v>0</v>
      </c>
      <c r="F28" t="str">
        <f>HYPERLINK(اضافات!M28)</f>
        <v>0</v>
      </c>
      <c r="G28" t="str">
        <f>HYPERLINK(اضافات!F28)</f>
        <v>0</v>
      </c>
      <c r="H28" t="str">
        <f>HYPERLINK(اضافات!O28)</f>
        <v>0</v>
      </c>
      <c r="I28" t="str">
        <f>HYPERLINK(خصومات!L28)</f>
        <v>0</v>
      </c>
      <c r="J28">
        <f t="shared" si="0"/>
        <v>0</v>
      </c>
      <c r="K28">
        <f t="shared" si="1"/>
        <v>0</v>
      </c>
      <c r="L28"/>
      <c r="M28"/>
      <c r="N28"/>
      <c r="O28"/>
      <c r="P28"/>
    </row>
    <row r="29" spans="1:16" ht="13.2" hidden="1" x14ac:dyDescent="0.25">
      <c r="B29" t="s">
        <v>82</v>
      </c>
      <c r="D29">
        <v>0</v>
      </c>
      <c r="E29" t="str">
        <f>HYPERLINK(اضافات!N29)</f>
        <v>0</v>
      </c>
      <c r="F29" t="str">
        <f>HYPERLINK(اضافات!M29)</f>
        <v>0</v>
      </c>
      <c r="G29" t="str">
        <f>HYPERLINK(اضافات!F29)</f>
        <v>0</v>
      </c>
      <c r="H29" t="str">
        <f>HYPERLINK(اضافات!O29)</f>
        <v>0</v>
      </c>
      <c r="I29" t="str">
        <f>HYPERLINK(خصومات!L29)</f>
        <v>0</v>
      </c>
      <c r="J29">
        <f t="shared" si="0"/>
        <v>0</v>
      </c>
      <c r="K29">
        <f t="shared" si="1"/>
        <v>0</v>
      </c>
      <c r="L29"/>
      <c r="M29"/>
      <c r="N29"/>
      <c r="O29"/>
      <c r="P29"/>
    </row>
    <row r="30" spans="1:16" s="57" customFormat="1" ht="13.2" hidden="1" x14ac:dyDescent="0.25">
      <c r="A30"/>
      <c r="B30" t="s">
        <v>82</v>
      </c>
      <c r="C30"/>
      <c r="D30">
        <v>0</v>
      </c>
      <c r="E30" t="str">
        <f>HYPERLINK(اضافات!N30)</f>
        <v>0</v>
      </c>
      <c r="F30" t="str">
        <f>HYPERLINK(اضافات!M30)</f>
        <v>0</v>
      </c>
      <c r="G30" t="str">
        <f>HYPERLINK(اضافات!F30)</f>
        <v>0</v>
      </c>
      <c r="H30" t="str">
        <f>HYPERLINK(اضافات!O30)</f>
        <v>0</v>
      </c>
      <c r="I30" t="str">
        <f>HYPERLINK(خصومات!L30)</f>
        <v>0</v>
      </c>
      <c r="J30">
        <f t="shared" si="0"/>
        <v>0</v>
      </c>
      <c r="K30">
        <f t="shared" si="1"/>
        <v>0</v>
      </c>
      <c r="L30"/>
      <c r="M30"/>
      <c r="N30"/>
      <c r="O30"/>
      <c r="P30"/>
    </row>
    <row r="31" spans="1:16" ht="13.2" hidden="1" x14ac:dyDescent="0.25">
      <c r="B31" t="s">
        <v>82</v>
      </c>
      <c r="D31">
        <v>0</v>
      </c>
      <c r="E31" t="str">
        <f>HYPERLINK(اضافات!N31)</f>
        <v>0</v>
      </c>
      <c r="F31" t="str">
        <f>HYPERLINK(اضافات!M31)</f>
        <v>0</v>
      </c>
      <c r="G31" t="str">
        <f>HYPERLINK(اضافات!F31)</f>
        <v>0</v>
      </c>
      <c r="H31" t="str">
        <f>HYPERLINK(اضافات!O31)</f>
        <v>0</v>
      </c>
      <c r="I31" t="str">
        <f>HYPERLINK(خصومات!L31)</f>
        <v>0</v>
      </c>
      <c r="J31">
        <f t="shared" si="0"/>
        <v>0</v>
      </c>
      <c r="K31">
        <f t="shared" si="1"/>
        <v>0</v>
      </c>
      <c r="L31"/>
      <c r="M31"/>
      <c r="N31"/>
      <c r="O31"/>
      <c r="P31"/>
    </row>
    <row r="32" spans="1:16" ht="13.2" hidden="1" x14ac:dyDescent="0.25">
      <c r="B32" t="s">
        <v>82</v>
      </c>
      <c r="D32">
        <v>0</v>
      </c>
      <c r="E32" t="str">
        <f>HYPERLINK(اضافات!N32)</f>
        <v>0</v>
      </c>
      <c r="F32" t="str">
        <f>HYPERLINK(اضافات!M32)</f>
        <v>0</v>
      </c>
      <c r="G32" t="str">
        <f>HYPERLINK(اضافات!F32)</f>
        <v>0</v>
      </c>
      <c r="H32" t="str">
        <f>HYPERLINK(اضافات!O32)</f>
        <v>0</v>
      </c>
      <c r="I32" t="str">
        <f>HYPERLINK(خصومات!L32)</f>
        <v>0</v>
      </c>
      <c r="J32">
        <f t="shared" si="0"/>
        <v>0</v>
      </c>
      <c r="K32">
        <f t="shared" si="1"/>
        <v>0</v>
      </c>
      <c r="L32"/>
      <c r="M32"/>
      <c r="N32"/>
      <c r="O32"/>
      <c r="P32"/>
    </row>
    <row r="33" spans="1:16" s="41" customFormat="1" x14ac:dyDescent="0.25">
      <c r="A33">
        <v>8</v>
      </c>
      <c r="B33" t="s">
        <v>83</v>
      </c>
      <c r="C33"/>
      <c r="D33">
        <v>0</v>
      </c>
      <c r="E33" t="str">
        <f>HYPERLINK(اضافات!N33)</f>
        <v>0</v>
      </c>
      <c r="F33" t="str">
        <f>HYPERLINK(اضافات!M33)</f>
        <v>0</v>
      </c>
      <c r="G33" t="str">
        <f>HYPERLINK(اضافات!F33)</f>
        <v>0</v>
      </c>
      <c r="H33" t="str">
        <f>HYPERLINK(اضافات!O33)</f>
        <v>0</v>
      </c>
      <c r="I33" t="str">
        <f>HYPERLINK(خصومات!L33)</f>
        <v>0</v>
      </c>
      <c r="J33">
        <f t="shared" si="0"/>
        <v>0</v>
      </c>
      <c r="K33">
        <f t="shared" si="1"/>
        <v>0</v>
      </c>
      <c r="L33"/>
      <c r="M33"/>
      <c r="N33"/>
      <c r="O33"/>
      <c r="P33"/>
    </row>
    <row r="34" spans="1:16" s="41" customFormat="1" x14ac:dyDescent="0.25">
      <c r="A34">
        <v>9</v>
      </c>
      <c r="B34" t="s">
        <v>67</v>
      </c>
      <c r="C34"/>
      <c r="D34">
        <v>0</v>
      </c>
      <c r="E34" t="str">
        <f>HYPERLINK(اضافات!N34)</f>
        <v>0</v>
      </c>
      <c r="F34" t="str">
        <f>HYPERLINK(اضافات!M34)</f>
        <v>0</v>
      </c>
      <c r="G34" t="str">
        <f>HYPERLINK(اضافات!F34)</f>
        <v>0</v>
      </c>
      <c r="H34" t="str">
        <f>HYPERLINK(اضافات!O34)</f>
        <v>0</v>
      </c>
      <c r="I34" t="str">
        <f>HYPERLINK(خصومات!L34)</f>
        <v>0</v>
      </c>
      <c r="J34">
        <f t="shared" si="0"/>
        <v>0</v>
      </c>
      <c r="K34">
        <f t="shared" si="1"/>
        <v>0</v>
      </c>
      <c r="L34"/>
      <c r="M34"/>
      <c r="N34"/>
      <c r="O34"/>
      <c r="P34"/>
    </row>
    <row r="35" spans="1:16" s="41" customFormat="1" x14ac:dyDescent="0.25">
      <c r="A35">
        <v>10</v>
      </c>
      <c r="B35" t="s">
        <v>136</v>
      </c>
      <c r="C35"/>
      <c r="D35">
        <v>0</v>
      </c>
      <c r="E35" t="str">
        <f>HYPERLINK(اضافات!N35)</f>
        <v>0</v>
      </c>
      <c r="F35" t="str">
        <f>HYPERLINK(اضافات!M35)</f>
        <v>0</v>
      </c>
      <c r="G35" t="str">
        <f>HYPERLINK(اضافات!F35)</f>
        <v>0</v>
      </c>
      <c r="H35" t="str">
        <f>HYPERLINK(اضافات!O35)</f>
        <v>0</v>
      </c>
      <c r="I35" t="str">
        <f>HYPERLINK(خصومات!L35)</f>
        <v>0</v>
      </c>
      <c r="J35">
        <f t="shared" si="0"/>
        <v>0</v>
      </c>
      <c r="K35">
        <f t="shared" si="1"/>
        <v>0</v>
      </c>
      <c r="L35"/>
      <c r="M35"/>
      <c r="N35"/>
      <c r="O35"/>
      <c r="P35"/>
    </row>
    <row r="36" spans="1:16" s="41" customFormat="1" hidden="1" x14ac:dyDescent="0.25">
      <c r="A36"/>
      <c r="B36" t="s">
        <v>82</v>
      </c>
      <c r="C36"/>
      <c r="D36">
        <v>0</v>
      </c>
      <c r="E36" t="str">
        <f>HYPERLINK(اضافات!N36)</f>
        <v>0</v>
      </c>
      <c r="F36" t="str">
        <f>HYPERLINK(اضافات!M36)</f>
        <v>0</v>
      </c>
      <c r="G36" t="str">
        <f>HYPERLINK(اضافات!F36)</f>
        <v>0</v>
      </c>
      <c r="H36" t="str">
        <f>HYPERLINK(اضافات!O36)</f>
        <v>0</v>
      </c>
      <c r="I36" t="str">
        <f>HYPERLINK(خصومات!L36)</f>
        <v>0</v>
      </c>
      <c r="J36">
        <f t="shared" si="0"/>
        <v>0</v>
      </c>
      <c r="K36">
        <f t="shared" si="1"/>
        <v>0</v>
      </c>
      <c r="L36"/>
      <c r="M36"/>
      <c r="N36"/>
      <c r="O36"/>
      <c r="P36"/>
    </row>
    <row r="37" spans="1:16" s="41" customFormat="1" hidden="1" x14ac:dyDescent="0.25">
      <c r="A37"/>
      <c r="B37" t="s">
        <v>82</v>
      </c>
      <c r="C37"/>
      <c r="D37">
        <v>0</v>
      </c>
      <c r="E37" t="str">
        <f>HYPERLINK(اضافات!N37)</f>
        <v>0</v>
      </c>
      <c r="F37" t="str">
        <f>HYPERLINK(اضافات!M37)</f>
        <v>0</v>
      </c>
      <c r="G37" t="str">
        <f>HYPERLINK(اضافات!F37)</f>
        <v>0</v>
      </c>
      <c r="H37" t="str">
        <f>HYPERLINK(اضافات!O37)</f>
        <v>0</v>
      </c>
      <c r="I37" t="str">
        <f>HYPERLINK(خصومات!L37)</f>
        <v>0</v>
      </c>
      <c r="J37">
        <f t="shared" si="0"/>
        <v>0</v>
      </c>
      <c r="K37">
        <f t="shared" si="1"/>
        <v>0</v>
      </c>
      <c r="L37"/>
      <c r="M37"/>
      <c r="N37"/>
      <c r="O37"/>
      <c r="P37"/>
    </row>
    <row r="38" spans="1:16" s="41" customFormat="1" hidden="1" x14ac:dyDescent="0.25">
      <c r="A38"/>
      <c r="B38" t="s">
        <v>82</v>
      </c>
      <c r="C38"/>
      <c r="D38">
        <v>0</v>
      </c>
      <c r="E38" t="str">
        <f>HYPERLINK(اضافات!N38)</f>
        <v>0</v>
      </c>
      <c r="F38" t="str">
        <f>HYPERLINK(اضافات!M38)</f>
        <v>0</v>
      </c>
      <c r="G38" t="str">
        <f>HYPERLINK(اضافات!F38)</f>
        <v>0</v>
      </c>
      <c r="H38" t="str">
        <f>HYPERLINK(اضافات!O38)</f>
        <v>0</v>
      </c>
      <c r="I38" t="str">
        <f>HYPERLINK(خصومات!L38)</f>
        <v>0</v>
      </c>
      <c r="J38">
        <f t="shared" si="0"/>
        <v>0</v>
      </c>
      <c r="K38">
        <f t="shared" si="1"/>
        <v>0</v>
      </c>
      <c r="L38"/>
      <c r="M38"/>
      <c r="N38"/>
      <c r="O38"/>
      <c r="P38"/>
    </row>
    <row r="39" spans="1:16" s="41" customFormat="1" hidden="1" x14ac:dyDescent="0.25">
      <c r="A39"/>
      <c r="B39" t="s">
        <v>82</v>
      </c>
      <c r="C39"/>
      <c r="D39">
        <v>0</v>
      </c>
      <c r="E39" t="str">
        <f>HYPERLINK(اضافات!N39)</f>
        <v>0</v>
      </c>
      <c r="F39" t="str">
        <f>HYPERLINK(اضافات!M39)</f>
        <v>0</v>
      </c>
      <c r="G39" t="str">
        <f>HYPERLINK(اضافات!F39)</f>
        <v>0</v>
      </c>
      <c r="H39" t="str">
        <f>HYPERLINK(اضافات!O39)</f>
        <v>0</v>
      </c>
      <c r="I39" t="str">
        <f>HYPERLINK(خصومات!L39)</f>
        <v>0</v>
      </c>
      <c r="J39">
        <f t="shared" si="0"/>
        <v>0</v>
      </c>
      <c r="K39">
        <f t="shared" si="1"/>
        <v>0</v>
      </c>
      <c r="L39"/>
      <c r="M39"/>
      <c r="N39"/>
      <c r="O39"/>
      <c r="P39"/>
    </row>
    <row r="40" spans="1:16" s="41" customFormat="1" hidden="1" x14ac:dyDescent="0.25">
      <c r="A40"/>
      <c r="B40" t="s">
        <v>82</v>
      </c>
      <c r="C40"/>
      <c r="D40">
        <v>0</v>
      </c>
      <c r="E40" t="str">
        <f>HYPERLINK(اضافات!N40)</f>
        <v>0</v>
      </c>
      <c r="F40" t="str">
        <f>HYPERLINK(اضافات!M40)</f>
        <v>0</v>
      </c>
      <c r="G40" t="str">
        <f>HYPERLINK(اضافات!F40)</f>
        <v>0</v>
      </c>
      <c r="H40" t="str">
        <f>HYPERLINK(اضافات!O40)</f>
        <v>0</v>
      </c>
      <c r="I40" t="str">
        <f>HYPERLINK(خصومات!L40)</f>
        <v>0</v>
      </c>
      <c r="J40">
        <f t="shared" si="0"/>
        <v>0</v>
      </c>
      <c r="K40">
        <f t="shared" si="1"/>
        <v>0</v>
      </c>
      <c r="L40"/>
      <c r="M40"/>
      <c r="N40"/>
      <c r="O40"/>
      <c r="P40"/>
    </row>
    <row r="41" spans="1:16" s="41" customFormat="1" hidden="1" x14ac:dyDescent="0.25">
      <c r="A41"/>
      <c r="B41" t="s">
        <v>82</v>
      </c>
      <c r="C41"/>
      <c r="D41">
        <v>0</v>
      </c>
      <c r="E41" t="str">
        <f>HYPERLINK(اضافات!N41)</f>
        <v>0</v>
      </c>
      <c r="F41" t="str">
        <f>HYPERLINK(اضافات!M41)</f>
        <v>0</v>
      </c>
      <c r="G41" t="str">
        <f>HYPERLINK(اضافات!F41)</f>
        <v>0</v>
      </c>
      <c r="H41" t="str">
        <f>HYPERLINK(اضافات!O41)</f>
        <v>0</v>
      </c>
      <c r="I41" t="str">
        <f>HYPERLINK(خصومات!L41)</f>
        <v>0</v>
      </c>
      <c r="J41">
        <f t="shared" si="0"/>
        <v>0</v>
      </c>
      <c r="K41">
        <f t="shared" si="1"/>
        <v>0</v>
      </c>
      <c r="L41"/>
      <c r="M41"/>
      <c r="N41"/>
      <c r="O41"/>
      <c r="P41"/>
    </row>
    <row r="42" spans="1:16" s="41" customFormat="1" hidden="1" x14ac:dyDescent="0.25">
      <c r="A42"/>
      <c r="B42" t="s">
        <v>82</v>
      </c>
      <c r="C42"/>
      <c r="D42">
        <v>0</v>
      </c>
      <c r="E42" t="str">
        <f>HYPERLINK(اضافات!N42)</f>
        <v>0</v>
      </c>
      <c r="F42" t="str">
        <f>HYPERLINK(اضافات!M42)</f>
        <v>0</v>
      </c>
      <c r="G42" t="str">
        <f>HYPERLINK(اضافات!F42)</f>
        <v>0</v>
      </c>
      <c r="H42" t="str">
        <f>HYPERLINK(اضافات!O42)</f>
        <v>0</v>
      </c>
      <c r="I42" t="str">
        <f>HYPERLINK(خصومات!L42)</f>
        <v>0</v>
      </c>
      <c r="J42">
        <f t="shared" si="0"/>
        <v>0</v>
      </c>
      <c r="K42">
        <f t="shared" si="1"/>
        <v>0</v>
      </c>
      <c r="L42"/>
      <c r="M42"/>
      <c r="N42"/>
      <c r="O42"/>
      <c r="P42"/>
    </row>
    <row r="43" spans="1:16" s="41" customFormat="1" hidden="1" x14ac:dyDescent="0.25">
      <c r="A43"/>
      <c r="B43" t="s">
        <v>82</v>
      </c>
      <c r="C43"/>
      <c r="D43">
        <v>0</v>
      </c>
      <c r="E43" t="str">
        <f>HYPERLINK(اضافات!N43)</f>
        <v>0</v>
      </c>
      <c r="F43" t="str">
        <f>HYPERLINK(اضافات!M43)</f>
        <v>0</v>
      </c>
      <c r="G43" t="str">
        <f>HYPERLINK(اضافات!F43)</f>
        <v>0</v>
      </c>
      <c r="H43" t="str">
        <f>HYPERLINK(اضافات!O43)</f>
        <v>0</v>
      </c>
      <c r="I43" t="str">
        <f>HYPERLINK(خصومات!L43)</f>
        <v>0</v>
      </c>
      <c r="J43">
        <f t="shared" si="0"/>
        <v>0</v>
      </c>
      <c r="K43">
        <f t="shared" si="1"/>
        <v>0</v>
      </c>
      <c r="L43"/>
      <c r="M43"/>
      <c r="N43"/>
      <c r="O43"/>
      <c r="P43"/>
    </row>
    <row r="44" spans="1:16" s="41" customFormat="1" hidden="1" x14ac:dyDescent="0.25">
      <c r="A44"/>
      <c r="B44" t="s">
        <v>82</v>
      </c>
      <c r="C44"/>
      <c r="D44">
        <v>0</v>
      </c>
      <c r="E44" t="str">
        <f>HYPERLINK(اضافات!N44)</f>
        <v>0</v>
      </c>
      <c r="F44" t="str">
        <f>HYPERLINK(اضافات!M44)</f>
        <v>0</v>
      </c>
      <c r="G44" t="str">
        <f>HYPERLINK(اضافات!F44)</f>
        <v>0</v>
      </c>
      <c r="H44" t="str">
        <f>HYPERLINK(اضافات!O44)</f>
        <v>0</v>
      </c>
      <c r="I44" t="str">
        <f>HYPERLINK(خصومات!L44)</f>
        <v>0</v>
      </c>
      <c r="J44">
        <f t="shared" si="0"/>
        <v>0</v>
      </c>
      <c r="K44">
        <f t="shared" si="1"/>
        <v>0</v>
      </c>
      <c r="L44"/>
      <c r="M44"/>
      <c r="N44"/>
      <c r="O44"/>
      <c r="P44"/>
    </row>
    <row r="45" spans="1:16" s="41" customFormat="1" x14ac:dyDescent="0.25">
      <c r="A45">
        <v>11</v>
      </c>
      <c r="B45" t="s">
        <v>124</v>
      </c>
      <c r="C45"/>
      <c r="D45">
        <v>0</v>
      </c>
      <c r="E45" t="str">
        <f>HYPERLINK(اضافات!N45)</f>
        <v>0</v>
      </c>
      <c r="F45" t="str">
        <f>HYPERLINK(اضافات!M45)</f>
        <v>0</v>
      </c>
      <c r="G45" t="str">
        <f>HYPERLINK(اضافات!F45)</f>
        <v>0</v>
      </c>
      <c r="H45" t="str">
        <f>HYPERLINK(اضافات!O45)</f>
        <v>0</v>
      </c>
      <c r="I45" t="str">
        <f>HYPERLINK(خصومات!L45)</f>
        <v>0</v>
      </c>
      <c r="J45">
        <f t="shared" si="0"/>
        <v>0</v>
      </c>
      <c r="K45">
        <f t="shared" si="1"/>
        <v>0</v>
      </c>
      <c r="L45"/>
      <c r="M45"/>
      <c r="N45"/>
      <c r="O45"/>
      <c r="P45"/>
    </row>
    <row r="46" spans="1:16" s="41" customFormat="1" x14ac:dyDescent="0.25">
      <c r="A46">
        <v>12</v>
      </c>
      <c r="B46" t="s">
        <v>133</v>
      </c>
      <c r="C46"/>
      <c r="D46">
        <v>0</v>
      </c>
      <c r="E46" t="str">
        <f>HYPERLINK(اضافات!N46)</f>
        <v>0</v>
      </c>
      <c r="F46" t="str">
        <f>HYPERLINK(اضافات!M46)</f>
        <v>0</v>
      </c>
      <c r="G46" t="str">
        <f>HYPERLINK(اضافات!F46)</f>
        <v>0</v>
      </c>
      <c r="H46" t="str">
        <f>HYPERLINK(اضافات!O46)</f>
        <v>0</v>
      </c>
      <c r="I46" t="str">
        <f>HYPERLINK(خصومات!L46)</f>
        <v>0</v>
      </c>
      <c r="J46">
        <f t="shared" si="0"/>
        <v>0</v>
      </c>
      <c r="K46">
        <f t="shared" si="1"/>
        <v>0</v>
      </c>
      <c r="L46"/>
      <c r="M46"/>
      <c r="N46"/>
      <c r="O46"/>
      <c r="P46"/>
    </row>
    <row r="47" spans="1:16" s="41" customFormat="1" x14ac:dyDescent="0.25">
      <c r="A47">
        <v>13</v>
      </c>
      <c r="B47" t="s">
        <v>134</v>
      </c>
      <c r="C47"/>
      <c r="D47">
        <v>0</v>
      </c>
      <c r="E47" t="str">
        <f>HYPERLINK(اضافات!N47)</f>
        <v>0</v>
      </c>
      <c r="F47" t="str">
        <f>HYPERLINK(اضافات!M47)</f>
        <v>0</v>
      </c>
      <c r="G47" t="str">
        <f>HYPERLINK(اضافات!F47)</f>
        <v>0</v>
      </c>
      <c r="H47" t="str">
        <f>HYPERLINK(اضافات!O47)</f>
        <v>0</v>
      </c>
      <c r="I47" t="str">
        <f>HYPERLINK(خصومات!L47)</f>
        <v>0</v>
      </c>
      <c r="J47">
        <f t="shared" si="0"/>
        <v>0</v>
      </c>
      <c r="K47">
        <f t="shared" si="1"/>
        <v>0</v>
      </c>
      <c r="L47"/>
      <c r="M47"/>
      <c r="N47"/>
      <c r="O47"/>
      <c r="P47"/>
    </row>
    <row r="48" spans="1:16" s="41" customFormat="1" x14ac:dyDescent="0.25">
      <c r="A48">
        <v>14</v>
      </c>
      <c r="B48" t="s">
        <v>135</v>
      </c>
      <c r="C48"/>
      <c r="D48">
        <v>0</v>
      </c>
      <c r="E48" t="str">
        <f>HYPERLINK(اضافات!N48)</f>
        <v>0</v>
      </c>
      <c r="F48" t="str">
        <f>HYPERLINK(اضافات!M48)</f>
        <v>0</v>
      </c>
      <c r="G48" t="str">
        <f>HYPERLINK(اضافات!F48)</f>
        <v>0</v>
      </c>
      <c r="H48" t="str">
        <f>HYPERLINK(اضافات!O48)</f>
        <v>0</v>
      </c>
      <c r="I48" t="str">
        <f>HYPERLINK(خصومات!L48)</f>
        <v>0</v>
      </c>
      <c r="J48">
        <f t="shared" si="0"/>
        <v>0</v>
      </c>
      <c r="K48">
        <f t="shared" si="1"/>
        <v>0</v>
      </c>
      <c r="L48"/>
      <c r="M48"/>
      <c r="N48"/>
      <c r="O48"/>
      <c r="P48"/>
    </row>
    <row r="49" spans="1:16" s="41" customFormat="1" x14ac:dyDescent="0.25">
      <c r="A49">
        <v>15</v>
      </c>
      <c r="B49" t="s">
        <v>147</v>
      </c>
      <c r="C49"/>
      <c r="D49">
        <v>0</v>
      </c>
      <c r="E49" t="str">
        <f>HYPERLINK(اضافات!N49)</f>
        <v>0</v>
      </c>
      <c r="F49" t="str">
        <f>HYPERLINK(اضافات!M49)</f>
        <v>0</v>
      </c>
      <c r="G49" t="str">
        <f>HYPERLINK(اضافات!F49)</f>
        <v>0</v>
      </c>
      <c r="H49" t="str">
        <f>HYPERLINK(اضافات!O49)</f>
        <v>0</v>
      </c>
      <c r="I49" t="str">
        <f>HYPERLINK(خصومات!L49)</f>
        <v>0</v>
      </c>
      <c r="J49">
        <f t="shared" si="0"/>
        <v>0</v>
      </c>
      <c r="K49">
        <f t="shared" si="1"/>
        <v>0</v>
      </c>
      <c r="L49"/>
      <c r="M49"/>
      <c r="N49"/>
      <c r="O49"/>
      <c r="P49"/>
    </row>
    <row r="50" spans="1:16" s="41" customFormat="1" hidden="1" x14ac:dyDescent="0.25">
      <c r="A50"/>
      <c r="B50" t="s">
        <v>82</v>
      </c>
      <c r="C50"/>
      <c r="D50">
        <v>0</v>
      </c>
      <c r="E50" t="str">
        <f>HYPERLINK(اضافات!N50)</f>
        <v>0</v>
      </c>
      <c r="F50" t="str">
        <f>HYPERLINK(اضافات!M50)</f>
        <v>0</v>
      </c>
      <c r="G50" t="str">
        <f>HYPERLINK(اضافات!F50)</f>
        <v>0</v>
      </c>
      <c r="H50" t="str">
        <f>HYPERLINK(اضافات!O50)</f>
        <v>0</v>
      </c>
      <c r="I50" t="str">
        <f>HYPERLINK(خصومات!L50)</f>
        <v>0</v>
      </c>
      <c r="J50">
        <f t="shared" si="0"/>
        <v>0</v>
      </c>
      <c r="K50">
        <f t="shared" si="1"/>
        <v>0</v>
      </c>
      <c r="L50"/>
      <c r="M50"/>
      <c r="N50"/>
      <c r="O50"/>
      <c r="P50"/>
    </row>
    <row r="51" spans="1:16" s="41" customFormat="1" hidden="1" x14ac:dyDescent="0.25">
      <c r="A51"/>
      <c r="B51" t="s">
        <v>82</v>
      </c>
      <c r="C51"/>
      <c r="D51">
        <v>0</v>
      </c>
      <c r="E51" t="str">
        <f>HYPERLINK(اضافات!N51)</f>
        <v>0</v>
      </c>
      <c r="F51" t="str">
        <f>HYPERLINK(اضافات!M51)</f>
        <v>0</v>
      </c>
      <c r="G51" t="str">
        <f>HYPERLINK(اضافات!F51)</f>
        <v>0</v>
      </c>
      <c r="H51" t="str">
        <f>HYPERLINK(اضافات!O51)</f>
        <v>0</v>
      </c>
      <c r="I51" t="str">
        <f>HYPERLINK(خصومات!L51)</f>
        <v>0</v>
      </c>
      <c r="J51">
        <f t="shared" si="0"/>
        <v>0</v>
      </c>
      <c r="K51">
        <f t="shared" si="1"/>
        <v>0</v>
      </c>
      <c r="L51"/>
      <c r="M51"/>
      <c r="N51"/>
      <c r="O51"/>
      <c r="P51"/>
    </row>
    <row r="52" spans="1:16" s="41" customFormat="1" hidden="1" x14ac:dyDescent="0.25">
      <c r="A52"/>
      <c r="B52" t="s">
        <v>82</v>
      </c>
      <c r="C52"/>
      <c r="D52">
        <v>0</v>
      </c>
      <c r="E52" t="str">
        <f>HYPERLINK(اضافات!N52)</f>
        <v>0</v>
      </c>
      <c r="F52" t="str">
        <f>HYPERLINK(اضافات!M52)</f>
        <v>0</v>
      </c>
      <c r="G52" t="str">
        <f>HYPERLINK(اضافات!F52)</f>
        <v>0</v>
      </c>
      <c r="H52" t="str">
        <f>HYPERLINK(اضافات!O52)</f>
        <v>0</v>
      </c>
      <c r="I52" t="str">
        <f>HYPERLINK(خصومات!L52)</f>
        <v>0</v>
      </c>
      <c r="J52">
        <f t="shared" si="0"/>
        <v>0</v>
      </c>
      <c r="K52">
        <f t="shared" si="1"/>
        <v>0</v>
      </c>
      <c r="L52"/>
      <c r="M52"/>
      <c r="N52"/>
      <c r="O52"/>
      <c r="P52"/>
    </row>
    <row r="53" spans="1:16" s="41" customFormat="1" hidden="1" x14ac:dyDescent="0.25">
      <c r="A53"/>
      <c r="B53" t="s">
        <v>82</v>
      </c>
      <c r="C53"/>
      <c r="D53">
        <v>0</v>
      </c>
      <c r="E53" t="str">
        <f>HYPERLINK(اضافات!N53)</f>
        <v>0</v>
      </c>
      <c r="F53" t="str">
        <f>HYPERLINK(اضافات!M53)</f>
        <v>0</v>
      </c>
      <c r="G53" t="str">
        <f>HYPERLINK(اضافات!F53)</f>
        <v>0</v>
      </c>
      <c r="H53" t="str">
        <f>HYPERLINK(اضافات!O53)</f>
        <v>0</v>
      </c>
      <c r="I53" t="str">
        <f>HYPERLINK(خصومات!L53)</f>
        <v>0</v>
      </c>
      <c r="J53">
        <f t="shared" si="0"/>
        <v>0</v>
      </c>
      <c r="K53">
        <f t="shared" si="1"/>
        <v>0</v>
      </c>
      <c r="L53"/>
      <c r="M53"/>
      <c r="N53"/>
      <c r="O53"/>
      <c r="P53"/>
    </row>
    <row r="54" spans="1:16" s="41" customFormat="1" hidden="1" x14ac:dyDescent="0.25">
      <c r="A54"/>
      <c r="B54" t="s">
        <v>82</v>
      </c>
      <c r="C54"/>
      <c r="D54">
        <v>0</v>
      </c>
      <c r="E54" t="str">
        <f>HYPERLINK(اضافات!N54)</f>
        <v>0</v>
      </c>
      <c r="F54" t="str">
        <f>HYPERLINK(اضافات!M54)</f>
        <v>0</v>
      </c>
      <c r="G54" t="str">
        <f>HYPERLINK(اضافات!F54)</f>
        <v>0</v>
      </c>
      <c r="H54" t="str">
        <f>HYPERLINK(اضافات!O54)</f>
        <v>0</v>
      </c>
      <c r="I54" t="str">
        <f>HYPERLINK(خصومات!L54)</f>
        <v>0</v>
      </c>
      <c r="J54">
        <f t="shared" si="0"/>
        <v>0</v>
      </c>
      <c r="K54">
        <f t="shared" si="1"/>
        <v>0</v>
      </c>
      <c r="L54"/>
      <c r="M54"/>
      <c r="N54"/>
      <c r="O54"/>
      <c r="P54"/>
    </row>
    <row r="55" spans="1:16" s="41" customFormat="1" hidden="1" x14ac:dyDescent="0.25">
      <c r="A55"/>
      <c r="B55" t="s">
        <v>82</v>
      </c>
      <c r="C55"/>
      <c r="D55">
        <v>0</v>
      </c>
      <c r="E55" t="str">
        <f>HYPERLINK(اضافات!N55)</f>
        <v>0</v>
      </c>
      <c r="F55" t="str">
        <f>HYPERLINK(اضافات!M55)</f>
        <v>0</v>
      </c>
      <c r="G55" t="str">
        <f>HYPERLINK(اضافات!F55)</f>
        <v>0</v>
      </c>
      <c r="H55" t="str">
        <f>HYPERLINK(اضافات!O55)</f>
        <v>0</v>
      </c>
      <c r="I55" t="str">
        <f>HYPERLINK(خصومات!L55)</f>
        <v>0</v>
      </c>
      <c r="J55">
        <f t="shared" si="0"/>
        <v>0</v>
      </c>
      <c r="K55">
        <f t="shared" si="1"/>
        <v>0</v>
      </c>
      <c r="L55"/>
      <c r="M55"/>
      <c r="N55"/>
      <c r="O55"/>
      <c r="P55"/>
    </row>
    <row r="56" spans="1:16" ht="13.2" x14ac:dyDescent="0.25">
      <c r="A56">
        <v>15</v>
      </c>
      <c r="B56" t="s">
        <v>79</v>
      </c>
      <c r="D56">
        <f>SUM(D19:D55)</f>
        <v>0</v>
      </c>
      <c r="E56">
        <f t="shared" ref="E56:K56" si="3">SUM(E19:E55)</f>
        <v>0</v>
      </c>
      <c r="F56">
        <f t="shared" si="3"/>
        <v>0</v>
      </c>
      <c r="G56">
        <f t="shared" si="3"/>
        <v>0</v>
      </c>
      <c r="H56">
        <f t="shared" si="3"/>
        <v>0</v>
      </c>
      <c r="I56">
        <f t="shared" si="3"/>
        <v>0</v>
      </c>
      <c r="J56">
        <f t="shared" si="3"/>
        <v>0</v>
      </c>
      <c r="K56">
        <f t="shared" si="3"/>
        <v>0</v>
      </c>
      <c r="L56">
        <f>SUM(K19:K55)</f>
        <v>0</v>
      </c>
      <c r="M56"/>
      <c r="N56"/>
      <c r="O56"/>
      <c r="P56"/>
    </row>
    <row r="57" spans="1:16" ht="13.2" x14ac:dyDescent="0.25">
      <c r="A57">
        <v>1</v>
      </c>
      <c r="B57" t="s">
        <v>71</v>
      </c>
      <c r="D57">
        <v>0</v>
      </c>
      <c r="E57" t="str">
        <f>HYPERLINK(اضافات!N57)</f>
        <v>0</v>
      </c>
      <c r="F57" t="str">
        <f>HYPERLINK(اضافات!M57)</f>
        <v>0</v>
      </c>
      <c r="G57" t="str">
        <f>HYPERLINK(اضافات!F57)</f>
        <v>0</v>
      </c>
      <c r="H57" t="str">
        <f>HYPERLINK(اضافات!O57)</f>
        <v>0</v>
      </c>
      <c r="I57" t="str">
        <f>HYPERLINK(خصومات!L57)</f>
        <v>0</v>
      </c>
      <c r="J57">
        <f t="shared" si="0"/>
        <v>0</v>
      </c>
      <c r="K57">
        <f t="shared" si="1"/>
        <v>0</v>
      </c>
      <c r="L57"/>
      <c r="M57"/>
      <c r="N57"/>
      <c r="O57"/>
      <c r="P57"/>
    </row>
    <row r="58" spans="1:16" ht="13.2" x14ac:dyDescent="0.25">
      <c r="A58">
        <v>2</v>
      </c>
      <c r="B58" t="s">
        <v>132</v>
      </c>
      <c r="D58">
        <v>0</v>
      </c>
      <c r="E58" t="str">
        <f>HYPERLINK(اضافات!N58)</f>
        <v>0</v>
      </c>
      <c r="F58" t="str">
        <f>HYPERLINK(اضافات!M58)</f>
        <v>0</v>
      </c>
      <c r="G58" t="str">
        <f>HYPERLINK(اضافات!F58)</f>
        <v>0</v>
      </c>
      <c r="H58" t="str">
        <f>HYPERLINK(اضافات!O58)</f>
        <v>0</v>
      </c>
      <c r="I58" t="str">
        <f>HYPERLINK(خصومات!L58)</f>
        <v>0</v>
      </c>
      <c r="J58">
        <f t="shared" si="0"/>
        <v>0</v>
      </c>
      <c r="K58">
        <f t="shared" si="1"/>
        <v>0</v>
      </c>
      <c r="L58"/>
      <c r="M58"/>
      <c r="N58"/>
      <c r="O58"/>
      <c r="P58"/>
    </row>
    <row r="59" spans="1:16" ht="13.2" hidden="1" x14ac:dyDescent="0.25">
      <c r="B59" t="s">
        <v>95</v>
      </c>
      <c r="D59">
        <v>0</v>
      </c>
      <c r="E59" t="str">
        <f>HYPERLINK(اضافات!N59)</f>
        <v>0</v>
      </c>
      <c r="F59" t="str">
        <f>HYPERLINK(اضافات!M59)</f>
        <v>0</v>
      </c>
      <c r="G59" t="str">
        <f>HYPERLINK(اضافات!F59)</f>
        <v>0</v>
      </c>
      <c r="H59" t="str">
        <f>HYPERLINK(اضافات!O59)</f>
        <v>0</v>
      </c>
      <c r="I59" t="str">
        <f>HYPERLINK(خصومات!L59)</f>
        <v>0</v>
      </c>
      <c r="J59">
        <f t="shared" si="0"/>
        <v>0</v>
      </c>
      <c r="K59">
        <f t="shared" si="1"/>
        <v>0</v>
      </c>
      <c r="L59"/>
      <c r="M59"/>
      <c r="N59"/>
      <c r="O59"/>
      <c r="P59"/>
    </row>
    <row r="60" spans="1:16" ht="13.2" hidden="1" x14ac:dyDescent="0.25">
      <c r="B60" t="s">
        <v>95</v>
      </c>
      <c r="D60">
        <v>0</v>
      </c>
      <c r="E60" t="str">
        <f>HYPERLINK(اضافات!N60)</f>
        <v>0</v>
      </c>
      <c r="F60" t="str">
        <f>HYPERLINK(اضافات!M60)</f>
        <v>0</v>
      </c>
      <c r="G60" t="str">
        <f>HYPERLINK(اضافات!F60)</f>
        <v>0</v>
      </c>
      <c r="H60" t="str">
        <f>HYPERLINK(اضافات!O60)</f>
        <v>0</v>
      </c>
      <c r="I60" t="str">
        <f>HYPERLINK(خصومات!L60)</f>
        <v>0</v>
      </c>
      <c r="J60">
        <f t="shared" si="0"/>
        <v>0</v>
      </c>
      <c r="K60">
        <f t="shared" si="1"/>
        <v>0</v>
      </c>
      <c r="L60"/>
      <c r="M60"/>
      <c r="N60"/>
      <c r="O60"/>
      <c r="P60"/>
    </row>
    <row r="61" spans="1:16" ht="13.2" hidden="1" x14ac:dyDescent="0.25">
      <c r="B61" t="s">
        <v>95</v>
      </c>
      <c r="D61">
        <v>0</v>
      </c>
      <c r="E61" t="str">
        <f>HYPERLINK(اضافات!N61)</f>
        <v>0</v>
      </c>
      <c r="F61" t="str">
        <f>HYPERLINK(اضافات!M61)</f>
        <v>0</v>
      </c>
      <c r="G61" t="str">
        <f>HYPERLINK(اضافات!F61)</f>
        <v>0</v>
      </c>
      <c r="H61" t="str">
        <f>HYPERLINK(اضافات!O61)</f>
        <v>0</v>
      </c>
      <c r="I61" t="str">
        <f>HYPERLINK(خصومات!L61)</f>
        <v>0</v>
      </c>
      <c r="J61">
        <f t="shared" si="0"/>
        <v>0</v>
      </c>
      <c r="K61">
        <f t="shared" si="1"/>
        <v>0</v>
      </c>
      <c r="L61"/>
      <c r="M61"/>
      <c r="N61"/>
      <c r="O61"/>
      <c r="P61"/>
    </row>
    <row r="62" spans="1:16" customFormat="1" ht="13.2" x14ac:dyDescent="0.25">
      <c r="A62">
        <v>3</v>
      </c>
      <c r="B62" t="s">
        <v>70</v>
      </c>
      <c r="D62">
        <v>0</v>
      </c>
      <c r="E62" t="str">
        <f>HYPERLINK(اضافات!N62)</f>
        <v>0</v>
      </c>
      <c r="F62" t="str">
        <f>HYPERLINK(اضافات!M62)</f>
        <v>0</v>
      </c>
      <c r="G62" t="str">
        <f>HYPERLINK(اضافات!F62)</f>
        <v>0</v>
      </c>
      <c r="H62" t="str">
        <f>HYPERLINK(اضافات!O62)</f>
        <v>0</v>
      </c>
      <c r="I62" t="str">
        <f>HYPERLINK(خصومات!L62)</f>
        <v>0</v>
      </c>
      <c r="J62">
        <f t="shared" si="0"/>
        <v>0</v>
      </c>
      <c r="K62">
        <f t="shared" si="1"/>
        <v>0</v>
      </c>
    </row>
    <row r="63" spans="1:16" ht="13.2" x14ac:dyDescent="0.25">
      <c r="A63">
        <v>4</v>
      </c>
      <c r="B63" t="s">
        <v>75</v>
      </c>
      <c r="D63">
        <v>0</v>
      </c>
      <c r="E63" t="str">
        <f>HYPERLINK(اضافات!N63)</f>
        <v>0</v>
      </c>
      <c r="F63" t="str">
        <f>HYPERLINK(اضافات!M63)</f>
        <v>0</v>
      </c>
      <c r="G63" t="str">
        <f>HYPERLINK(اضافات!F63)</f>
        <v>0</v>
      </c>
      <c r="H63" t="str">
        <f>HYPERLINK(اضافات!O63)</f>
        <v>0</v>
      </c>
      <c r="I63" t="str">
        <f>HYPERLINK(خصومات!L63)</f>
        <v>0</v>
      </c>
      <c r="J63">
        <f t="shared" si="0"/>
        <v>0</v>
      </c>
      <c r="K63">
        <f t="shared" si="1"/>
        <v>0</v>
      </c>
      <c r="L63"/>
      <c r="M63"/>
      <c r="N63"/>
      <c r="O63"/>
      <c r="P63"/>
    </row>
    <row r="64" spans="1:16" ht="13.2" hidden="1" x14ac:dyDescent="0.25">
      <c r="B64" t="s">
        <v>94</v>
      </c>
      <c r="D64">
        <v>0</v>
      </c>
      <c r="E64" t="str">
        <f>HYPERLINK(اضافات!N64)</f>
        <v>0</v>
      </c>
      <c r="F64" t="str">
        <f>HYPERLINK(اضافات!M64)</f>
        <v>0</v>
      </c>
      <c r="G64" t="str">
        <f>HYPERLINK(اضافات!F64)</f>
        <v>0</v>
      </c>
      <c r="H64" t="str">
        <f>HYPERLINK(اضافات!O64)</f>
        <v>0</v>
      </c>
      <c r="I64" t="str">
        <f>HYPERLINK(خصومات!L64)</f>
        <v>0</v>
      </c>
      <c r="J64">
        <f t="shared" si="0"/>
        <v>0</v>
      </c>
      <c r="K64">
        <f t="shared" si="1"/>
        <v>0</v>
      </c>
      <c r="L64"/>
      <c r="M64"/>
      <c r="N64"/>
      <c r="O64"/>
      <c r="P64"/>
    </row>
    <row r="65" spans="1:16" ht="13.2" hidden="1" x14ac:dyDescent="0.25">
      <c r="B65" t="s">
        <v>94</v>
      </c>
      <c r="D65">
        <v>0</v>
      </c>
      <c r="E65" t="str">
        <f>HYPERLINK(اضافات!N65)</f>
        <v>0</v>
      </c>
      <c r="F65" t="str">
        <f>HYPERLINK(اضافات!M65)</f>
        <v>0</v>
      </c>
      <c r="G65" t="str">
        <f>HYPERLINK(اضافات!F65)</f>
        <v>0</v>
      </c>
      <c r="H65" t="str">
        <f>HYPERLINK(اضافات!O65)</f>
        <v>0</v>
      </c>
      <c r="I65" t="str">
        <f>HYPERLINK(خصومات!L65)</f>
        <v>0</v>
      </c>
      <c r="J65">
        <f t="shared" si="0"/>
        <v>0</v>
      </c>
      <c r="K65">
        <f t="shared" si="1"/>
        <v>0</v>
      </c>
      <c r="L65"/>
      <c r="M65"/>
      <c r="N65"/>
      <c r="O65"/>
      <c r="P65"/>
    </row>
    <row r="66" spans="1:16" ht="13.2" hidden="1" x14ac:dyDescent="0.25">
      <c r="B66" t="s">
        <v>94</v>
      </c>
      <c r="D66">
        <v>0</v>
      </c>
      <c r="E66" t="str">
        <f>HYPERLINK(اضافات!N66)</f>
        <v>0</v>
      </c>
      <c r="F66" t="str">
        <f>HYPERLINK(اضافات!M66)</f>
        <v>0</v>
      </c>
      <c r="G66" t="str">
        <f>HYPERLINK(اضافات!F66)</f>
        <v>0</v>
      </c>
      <c r="H66" t="str">
        <f>HYPERLINK(اضافات!O66)</f>
        <v>0</v>
      </c>
      <c r="I66" t="str">
        <f>HYPERLINK(خصومات!L66)</f>
        <v>0</v>
      </c>
      <c r="J66">
        <f t="shared" si="0"/>
        <v>0</v>
      </c>
      <c r="K66">
        <f t="shared" si="1"/>
        <v>0</v>
      </c>
      <c r="L66"/>
      <c r="M66"/>
      <c r="N66"/>
      <c r="O66"/>
      <c r="P66"/>
    </row>
    <row r="67" spans="1:16" ht="13.2" hidden="1" x14ac:dyDescent="0.25">
      <c r="B67" t="s">
        <v>94</v>
      </c>
      <c r="D67">
        <v>0</v>
      </c>
      <c r="E67" t="str">
        <f>HYPERLINK(اضافات!N67)</f>
        <v>0</v>
      </c>
      <c r="F67" t="str">
        <f>HYPERLINK(اضافات!M67)</f>
        <v>0</v>
      </c>
      <c r="G67" t="str">
        <f>HYPERLINK(اضافات!F67)</f>
        <v>0</v>
      </c>
      <c r="H67" t="str">
        <f>HYPERLINK(اضافات!O67)</f>
        <v>0</v>
      </c>
      <c r="I67" t="str">
        <f>HYPERLINK(خصومات!L67)</f>
        <v>0</v>
      </c>
      <c r="J67">
        <f t="shared" si="0"/>
        <v>0</v>
      </c>
      <c r="K67">
        <f t="shared" si="1"/>
        <v>0</v>
      </c>
      <c r="L67"/>
      <c r="M67"/>
      <c r="N67"/>
      <c r="O67"/>
      <c r="P67"/>
    </row>
    <row r="68" spans="1:16" s="38" customFormat="1" ht="13.2" x14ac:dyDescent="0.25">
      <c r="A68">
        <v>5</v>
      </c>
      <c r="B68" t="s">
        <v>137</v>
      </c>
      <c r="C68"/>
      <c r="D68">
        <v>0</v>
      </c>
      <c r="E68" t="str">
        <f>HYPERLINK(اضافات!N68)</f>
        <v>0</v>
      </c>
      <c r="F68" t="str">
        <f>HYPERLINK(اضافات!M68)</f>
        <v>0</v>
      </c>
      <c r="G68" t="str">
        <f>HYPERLINK(اضافات!F68)</f>
        <v>0</v>
      </c>
      <c r="H68" t="str">
        <f>HYPERLINK(اضافات!O68)</f>
        <v>0</v>
      </c>
      <c r="I68" t="str">
        <f>HYPERLINK(خصومات!L68)</f>
        <v>0</v>
      </c>
      <c r="J68">
        <f t="shared" si="0"/>
        <v>0</v>
      </c>
      <c r="K68">
        <f t="shared" si="1"/>
        <v>0</v>
      </c>
      <c r="L68"/>
      <c r="M68"/>
      <c r="N68"/>
      <c r="O68"/>
      <c r="P68"/>
    </row>
    <row r="69" spans="1:16" s="38" customFormat="1" ht="13.2" x14ac:dyDescent="0.25">
      <c r="A69">
        <v>6</v>
      </c>
      <c r="B69" t="s">
        <v>131</v>
      </c>
      <c r="C69"/>
      <c r="D69">
        <v>0</v>
      </c>
      <c r="E69" t="str">
        <f>HYPERLINK(اضافات!N69)</f>
        <v>0</v>
      </c>
      <c r="F69" t="str">
        <f>HYPERLINK(اضافات!M69)</f>
        <v>0</v>
      </c>
      <c r="G69" t="str">
        <f>HYPERLINK(اضافات!F69)</f>
        <v>0</v>
      </c>
      <c r="H69" t="str">
        <f>HYPERLINK(اضافات!O69)</f>
        <v>0</v>
      </c>
      <c r="I69" t="str">
        <f>HYPERLINK(خصومات!L69)</f>
        <v>0</v>
      </c>
      <c r="J69">
        <f t="shared" ref="J69:J117" si="4">SUM(D69,VALUE(E69),VALUE(F69),VALUE(G69))</f>
        <v>0</v>
      </c>
      <c r="K69">
        <f t="shared" ref="K69:K100" si="5">VALUE(D69)+VALUE(G69)+VALUE(H69)-VALUE(I69)</f>
        <v>0</v>
      </c>
      <c r="L69"/>
      <c r="M69"/>
      <c r="N69"/>
      <c r="O69"/>
      <c r="P69"/>
    </row>
    <row r="70" spans="1:16" s="38" customFormat="1" ht="13.2" x14ac:dyDescent="0.25">
      <c r="A70">
        <v>0</v>
      </c>
      <c r="B70" t="s">
        <v>96</v>
      </c>
      <c r="C70"/>
      <c r="D70">
        <v>0</v>
      </c>
      <c r="E70" t="str">
        <f>HYPERLINK(اضافات!N70)</f>
        <v>0</v>
      </c>
      <c r="F70" t="str">
        <f>HYPERLINK(اضافات!M70)</f>
        <v>0</v>
      </c>
      <c r="G70" t="str">
        <f>HYPERLINK(اضافات!F70)</f>
        <v>0</v>
      </c>
      <c r="H70" t="str">
        <f>HYPERLINK(اضافات!O70)</f>
        <v>0</v>
      </c>
      <c r="I70" t="str">
        <f>HYPERLINK(خصومات!L70)</f>
        <v>0</v>
      </c>
      <c r="J70">
        <f t="shared" si="4"/>
        <v>0</v>
      </c>
      <c r="K70">
        <f t="shared" si="5"/>
        <v>0</v>
      </c>
      <c r="L70"/>
      <c r="M70"/>
      <c r="N70"/>
      <c r="O70"/>
      <c r="P70"/>
    </row>
    <row r="71" spans="1:16" s="38" customFormat="1" ht="13.2" x14ac:dyDescent="0.25">
      <c r="A71">
        <v>7</v>
      </c>
      <c r="B71" t="s">
        <v>138</v>
      </c>
      <c r="C71"/>
      <c r="D71">
        <v>0</v>
      </c>
      <c r="E71" t="str">
        <f>HYPERLINK(اضافات!N71)</f>
        <v>0</v>
      </c>
      <c r="F71" t="str">
        <f>HYPERLINK(اضافات!M71)</f>
        <v>0</v>
      </c>
      <c r="G71" t="str">
        <f>HYPERLINK(اضافات!F71)</f>
        <v>0</v>
      </c>
      <c r="H71" t="str">
        <f>HYPERLINK(اضافات!O71)</f>
        <v>0</v>
      </c>
      <c r="I71" t="str">
        <f>HYPERLINK(خصومات!L71)</f>
        <v>0</v>
      </c>
      <c r="J71">
        <f t="shared" si="4"/>
        <v>0</v>
      </c>
      <c r="K71">
        <f t="shared" si="5"/>
        <v>0</v>
      </c>
      <c r="L71"/>
      <c r="M71"/>
      <c r="N71"/>
      <c r="O71"/>
      <c r="P71"/>
    </row>
    <row r="72" spans="1:16" s="38" customFormat="1" ht="13.2" x14ac:dyDescent="0.25">
      <c r="A72">
        <v>8</v>
      </c>
      <c r="B72" t="s">
        <v>74</v>
      </c>
      <c r="C72"/>
      <c r="D72">
        <v>0</v>
      </c>
      <c r="E72" t="str">
        <f>HYPERLINK(اضافات!N72)</f>
        <v>0</v>
      </c>
      <c r="F72" t="str">
        <f>HYPERLINK(اضافات!M72)</f>
        <v>0</v>
      </c>
      <c r="G72" t="str">
        <f>HYPERLINK(اضافات!F72)</f>
        <v>0</v>
      </c>
      <c r="H72" t="str">
        <f>HYPERLINK(اضافات!O72)</f>
        <v>0</v>
      </c>
      <c r="I72" t="str">
        <f>HYPERLINK(خصومات!L72)</f>
        <v>0</v>
      </c>
      <c r="J72">
        <f t="shared" si="4"/>
        <v>0</v>
      </c>
      <c r="K72">
        <f t="shared" si="5"/>
        <v>0</v>
      </c>
      <c r="L72"/>
      <c r="M72"/>
      <c r="N72"/>
      <c r="O72"/>
      <c r="P72"/>
    </row>
    <row r="73" spans="1:16" s="38" customFormat="1" ht="13.2" x14ac:dyDescent="0.25">
      <c r="A73">
        <v>9</v>
      </c>
      <c r="B73" t="s">
        <v>125</v>
      </c>
      <c r="C73"/>
      <c r="D73">
        <v>0</v>
      </c>
      <c r="E73" t="str">
        <f>HYPERLINK(اضافات!N73)</f>
        <v>0</v>
      </c>
      <c r="F73" t="str">
        <f>HYPERLINK(اضافات!M73)</f>
        <v>0</v>
      </c>
      <c r="G73" t="str">
        <f>HYPERLINK(اضافات!F73)</f>
        <v>0</v>
      </c>
      <c r="H73" t="str">
        <f>HYPERLINK(اضافات!O73)</f>
        <v>0</v>
      </c>
      <c r="I73" t="str">
        <f>HYPERLINK(خصومات!L73)</f>
        <v>0</v>
      </c>
      <c r="J73">
        <f t="shared" si="4"/>
        <v>0</v>
      </c>
      <c r="K73">
        <f t="shared" si="5"/>
        <v>0</v>
      </c>
      <c r="L73"/>
      <c r="M73"/>
      <c r="N73"/>
      <c r="O73"/>
      <c r="P73"/>
    </row>
    <row r="74" spans="1:16" s="38" customFormat="1" ht="13.2" x14ac:dyDescent="0.25">
      <c r="A74">
        <v>10</v>
      </c>
      <c r="B74" t="s">
        <v>73</v>
      </c>
      <c r="C74"/>
      <c r="D74">
        <v>0</v>
      </c>
      <c r="E74" t="str">
        <f>HYPERLINK(اضافات!N74)</f>
        <v>0</v>
      </c>
      <c r="F74" t="str">
        <f>HYPERLINK(اضافات!M74)</f>
        <v>0</v>
      </c>
      <c r="G74" t="str">
        <f>HYPERLINK(اضافات!F74)</f>
        <v>0</v>
      </c>
      <c r="H74" t="str">
        <f>HYPERLINK(اضافات!O74)</f>
        <v>0</v>
      </c>
      <c r="I74" t="str">
        <f>HYPERLINK(خصومات!L74)</f>
        <v>0</v>
      </c>
      <c r="J74">
        <f t="shared" si="4"/>
        <v>0</v>
      </c>
      <c r="K74">
        <f t="shared" si="5"/>
        <v>0</v>
      </c>
      <c r="L74"/>
      <c r="M74"/>
      <c r="N74"/>
      <c r="O74"/>
      <c r="P74"/>
    </row>
    <row r="75" spans="1:16" s="38" customFormat="1" ht="13.2" x14ac:dyDescent="0.25">
      <c r="A75">
        <v>11</v>
      </c>
      <c r="B75" t="s">
        <v>144</v>
      </c>
      <c r="C75"/>
      <c r="D75">
        <v>0</v>
      </c>
      <c r="E75" t="str">
        <f>HYPERLINK(اضافات!N75)</f>
        <v>0</v>
      </c>
      <c r="F75" t="str">
        <f>HYPERLINK(اضافات!M75)</f>
        <v>0</v>
      </c>
      <c r="G75" t="str">
        <f>HYPERLINK(اضافات!F75)</f>
        <v>0</v>
      </c>
      <c r="H75" t="str">
        <f>HYPERLINK(اضافات!O75)</f>
        <v>0</v>
      </c>
      <c r="I75" t="str">
        <f>HYPERLINK(خصومات!L75)</f>
        <v>0</v>
      </c>
      <c r="J75">
        <f t="shared" si="4"/>
        <v>0</v>
      </c>
      <c r="K75">
        <f t="shared" si="5"/>
        <v>0</v>
      </c>
      <c r="L75"/>
      <c r="M75"/>
      <c r="N75"/>
      <c r="O75"/>
      <c r="P75"/>
    </row>
    <row r="76" spans="1:16" s="38" customFormat="1" ht="13.2" x14ac:dyDescent="0.25">
      <c r="A76">
        <v>12</v>
      </c>
      <c r="B76" t="s">
        <v>139</v>
      </c>
      <c r="C76"/>
      <c r="D76">
        <v>0</v>
      </c>
      <c r="E76" t="str">
        <f>HYPERLINK(اضافات!N76)</f>
        <v>0</v>
      </c>
      <c r="F76" t="str">
        <f>HYPERLINK(اضافات!M76)</f>
        <v>0</v>
      </c>
      <c r="G76" t="str">
        <f>HYPERLINK(اضافات!F76)</f>
        <v>0</v>
      </c>
      <c r="H76" t="str">
        <f>HYPERLINK(اضافات!O76)</f>
        <v>0</v>
      </c>
      <c r="I76" t="str">
        <f>HYPERLINK(خصومات!L76)</f>
        <v>0</v>
      </c>
      <c r="J76">
        <f t="shared" si="4"/>
        <v>0</v>
      </c>
      <c r="K76">
        <f t="shared" si="5"/>
        <v>0</v>
      </c>
      <c r="L76"/>
      <c r="M76"/>
      <c r="N76"/>
      <c r="O76"/>
      <c r="P76"/>
    </row>
    <row r="77" spans="1:16" s="42" customFormat="1" x14ac:dyDescent="0.25">
      <c r="A77">
        <v>13</v>
      </c>
      <c r="B77" t="s">
        <v>140</v>
      </c>
      <c r="C77"/>
      <c r="D77">
        <v>0</v>
      </c>
      <c r="E77" t="str">
        <f>HYPERLINK(اضافات!N77)</f>
        <v>0</v>
      </c>
      <c r="F77" t="str">
        <f>HYPERLINK(اضافات!M77)</f>
        <v>0</v>
      </c>
      <c r="G77" t="str">
        <f>HYPERLINK(اضافات!F77)</f>
        <v>0</v>
      </c>
      <c r="H77" t="str">
        <f>HYPERLINK(اضافات!O77)</f>
        <v>0</v>
      </c>
      <c r="I77" t="str">
        <f>HYPERLINK(خصومات!L77)</f>
        <v>0</v>
      </c>
      <c r="J77">
        <f t="shared" si="4"/>
        <v>0</v>
      </c>
      <c r="K77">
        <f t="shared" si="5"/>
        <v>0</v>
      </c>
      <c r="L77"/>
      <c r="M77"/>
      <c r="N77"/>
      <c r="O77"/>
      <c r="P77"/>
    </row>
    <row r="78" spans="1:16" s="42" customFormat="1" x14ac:dyDescent="0.25">
      <c r="A78">
        <v>14</v>
      </c>
      <c r="B78" t="s">
        <v>141</v>
      </c>
      <c r="C78"/>
      <c r="D78">
        <v>0</v>
      </c>
      <c r="E78" t="str">
        <f>HYPERLINK(اضافات!N78)</f>
        <v>0</v>
      </c>
      <c r="F78" t="str">
        <f>HYPERLINK(اضافات!M78)</f>
        <v>0</v>
      </c>
      <c r="G78" t="str">
        <f>HYPERLINK(اضافات!F78)</f>
        <v>0</v>
      </c>
      <c r="H78" t="str">
        <f>HYPERLINK(اضافات!O78)</f>
        <v>0</v>
      </c>
      <c r="I78" t="str">
        <f>HYPERLINK(خصومات!L78)</f>
        <v>0</v>
      </c>
      <c r="J78">
        <f t="shared" si="4"/>
        <v>0</v>
      </c>
      <c r="K78">
        <f t="shared" si="5"/>
        <v>0</v>
      </c>
      <c r="L78"/>
      <c r="M78"/>
      <c r="N78"/>
      <c r="O78"/>
      <c r="P78"/>
    </row>
    <row r="79" spans="1:16" s="42" customFormat="1" x14ac:dyDescent="0.25">
      <c r="A79">
        <v>15</v>
      </c>
      <c r="B79" t="s">
        <v>76</v>
      </c>
      <c r="C79"/>
      <c r="D79">
        <v>0</v>
      </c>
      <c r="E79" t="str">
        <f>HYPERLINK(اضافات!N79)</f>
        <v>0</v>
      </c>
      <c r="F79" t="str">
        <f>HYPERLINK(اضافات!M79)</f>
        <v>0</v>
      </c>
      <c r="G79" t="str">
        <f>HYPERLINK(اضافات!F79)</f>
        <v>0</v>
      </c>
      <c r="H79" t="str">
        <f>HYPERLINK(اضافات!O79)</f>
        <v>0</v>
      </c>
      <c r="I79" t="str">
        <f>HYPERLINK(خصومات!L79)</f>
        <v>0</v>
      </c>
      <c r="J79">
        <f t="shared" si="4"/>
        <v>0</v>
      </c>
      <c r="K79">
        <f t="shared" si="5"/>
        <v>0</v>
      </c>
      <c r="L79"/>
      <c r="M79"/>
      <c r="N79"/>
      <c r="O79"/>
      <c r="P79"/>
    </row>
    <row r="80" spans="1:16" s="42" customFormat="1" hidden="1" x14ac:dyDescent="0.25">
      <c r="A80">
        <v>0</v>
      </c>
      <c r="B80"/>
      <c r="C80"/>
      <c r="D80">
        <v>0</v>
      </c>
      <c r="E80" t="str">
        <f>HYPERLINK(اضافات!N80)</f>
        <v>0</v>
      </c>
      <c r="F80" t="str">
        <f>HYPERLINK(اضافات!M80)</f>
        <v>0</v>
      </c>
      <c r="G80" t="str">
        <f>HYPERLINK(اضافات!F80)</f>
        <v>0</v>
      </c>
      <c r="H80" t="str">
        <f>HYPERLINK(اضافات!O80)</f>
        <v>0</v>
      </c>
      <c r="I80" t="str">
        <f>HYPERLINK(خصومات!L80)</f>
        <v>0</v>
      </c>
      <c r="J80">
        <f t="shared" si="4"/>
        <v>0</v>
      </c>
      <c r="K80">
        <f t="shared" si="5"/>
        <v>0</v>
      </c>
      <c r="L80"/>
      <c r="M80"/>
      <c r="N80"/>
      <c r="O80"/>
      <c r="P80"/>
    </row>
    <row r="81" spans="1:16" s="42" customFormat="1" x14ac:dyDescent="0.25">
      <c r="A81">
        <v>16</v>
      </c>
      <c r="B81" t="s">
        <v>142</v>
      </c>
      <c r="C81"/>
      <c r="D81">
        <v>0</v>
      </c>
      <c r="E81" t="str">
        <f>HYPERLINK(اضافات!N81)</f>
        <v>0</v>
      </c>
      <c r="F81" t="str">
        <f>HYPERLINK(اضافات!M81)</f>
        <v>0</v>
      </c>
      <c r="G81" t="str">
        <f>HYPERLINK(اضافات!F81)</f>
        <v>0</v>
      </c>
      <c r="H81" t="str">
        <f>HYPERLINK(اضافات!O81)</f>
        <v>0</v>
      </c>
      <c r="I81" t="str">
        <f>HYPERLINK(خصومات!L81)</f>
        <v>0</v>
      </c>
      <c r="J81">
        <f t="shared" si="4"/>
        <v>0</v>
      </c>
      <c r="K81">
        <f t="shared" si="5"/>
        <v>0</v>
      </c>
      <c r="L81"/>
      <c r="M81"/>
      <c r="N81"/>
      <c r="O81"/>
      <c r="P81"/>
    </row>
    <row r="82" spans="1:16" s="42" customFormat="1" x14ac:dyDescent="0.25">
      <c r="A82">
        <v>17</v>
      </c>
      <c r="B82" t="s">
        <v>126</v>
      </c>
      <c r="C82"/>
      <c r="D82">
        <v>0</v>
      </c>
      <c r="E82" t="str">
        <f>HYPERLINK(اضافات!N82)</f>
        <v>0</v>
      </c>
      <c r="F82" t="str">
        <f>HYPERLINK(اضافات!M82)</f>
        <v>0</v>
      </c>
      <c r="G82" t="str">
        <f>HYPERLINK(اضافات!F82)</f>
        <v>0</v>
      </c>
      <c r="H82" t="str">
        <f>HYPERLINK(اضافات!O82)</f>
        <v>0</v>
      </c>
      <c r="I82" t="str">
        <f>HYPERLINK(خصومات!L82)</f>
        <v>0</v>
      </c>
      <c r="J82">
        <f t="shared" si="4"/>
        <v>0</v>
      </c>
      <c r="K82">
        <f t="shared" si="5"/>
        <v>0</v>
      </c>
      <c r="L82"/>
      <c r="M82"/>
      <c r="N82"/>
      <c r="O82"/>
      <c r="P82"/>
    </row>
    <row r="83" spans="1:16" s="42" customFormat="1" x14ac:dyDescent="0.25">
      <c r="A83">
        <v>18</v>
      </c>
      <c r="B83" t="s">
        <v>143</v>
      </c>
      <c r="C83"/>
      <c r="D83">
        <v>0</v>
      </c>
      <c r="E83" t="str">
        <f>HYPERLINK(اضافات!N83)</f>
        <v>0</v>
      </c>
      <c r="F83" t="str">
        <f>HYPERLINK(اضافات!M83)</f>
        <v>0</v>
      </c>
      <c r="G83" t="str">
        <f>HYPERLINK(اضافات!F83)</f>
        <v>0</v>
      </c>
      <c r="H83" t="str">
        <f>HYPERLINK(اضافات!O83)</f>
        <v>0</v>
      </c>
      <c r="I83" t="str">
        <f>HYPERLINK(خصومات!L83)</f>
        <v>0</v>
      </c>
      <c r="J83">
        <f t="shared" si="4"/>
        <v>0</v>
      </c>
      <c r="K83">
        <f t="shared" si="5"/>
        <v>0</v>
      </c>
      <c r="L83"/>
      <c r="M83"/>
      <c r="N83"/>
      <c r="O83"/>
      <c r="P83"/>
    </row>
    <row r="84" spans="1:16" s="42" customFormat="1" x14ac:dyDescent="0.25">
      <c r="A84">
        <v>19</v>
      </c>
      <c r="B84" t="s">
        <v>146</v>
      </c>
      <c r="C84"/>
      <c r="D84">
        <v>0</v>
      </c>
      <c r="E84" t="str">
        <f>HYPERLINK(اضافات!N84)</f>
        <v>0</v>
      </c>
      <c r="F84" t="str">
        <f>HYPERLINK(اضافات!M84)</f>
        <v>0</v>
      </c>
      <c r="G84" t="str">
        <f>HYPERLINK(اضافات!F84)</f>
        <v>0</v>
      </c>
      <c r="H84" t="str">
        <f>HYPERLINK(اضافات!O84)</f>
        <v>0</v>
      </c>
      <c r="I84" t="str">
        <f>HYPERLINK(خصومات!L84)</f>
        <v>0</v>
      </c>
      <c r="J84">
        <f t="shared" si="4"/>
        <v>0</v>
      </c>
      <c r="K84">
        <f t="shared" si="5"/>
        <v>0</v>
      </c>
      <c r="L84"/>
      <c r="M84"/>
      <c r="N84"/>
      <c r="O84"/>
      <c r="P84"/>
    </row>
    <row r="85" spans="1:16" s="42" customFormat="1" x14ac:dyDescent="0.25">
      <c r="A85">
        <v>20</v>
      </c>
      <c r="B85" t="s">
        <v>154</v>
      </c>
      <c r="C85"/>
      <c r="D85">
        <v>0</v>
      </c>
      <c r="E85" t="str">
        <f>HYPERLINK(اضافات!N85)</f>
        <v>0</v>
      </c>
      <c r="F85" t="str">
        <f>HYPERLINK(اضافات!M85)</f>
        <v>0</v>
      </c>
      <c r="G85" t="str">
        <f>HYPERLINK(اضافات!F85)</f>
        <v>0</v>
      </c>
      <c r="H85" t="str">
        <f>HYPERLINK(اضافات!O85)</f>
        <v>0</v>
      </c>
      <c r="I85" t="str">
        <f>HYPERLINK(خصومات!L85)</f>
        <v>0</v>
      </c>
      <c r="J85">
        <f t="shared" si="4"/>
        <v>0</v>
      </c>
      <c r="K85">
        <f t="shared" si="5"/>
        <v>0</v>
      </c>
      <c r="L85"/>
      <c r="M85"/>
      <c r="N85"/>
      <c r="O85" t="s">
        <v>157</v>
      </c>
      <c r="P85"/>
    </row>
    <row r="86" spans="1:16" s="42" customFormat="1" hidden="1" x14ac:dyDescent="0.25">
      <c r="A86"/>
      <c r="B86" t="s">
        <v>82</v>
      </c>
      <c r="C86"/>
      <c r="D86">
        <v>0</v>
      </c>
      <c r="E86" t="str">
        <f>HYPERLINK(اضافات!N86)</f>
        <v>0</v>
      </c>
      <c r="F86" t="str">
        <f>HYPERLINK(اضافات!M86)</f>
        <v>0</v>
      </c>
      <c r="G86" t="str">
        <f>HYPERLINK(اضافات!F86)</f>
        <v>0</v>
      </c>
      <c r="H86" t="str">
        <f>HYPERLINK(اضافات!O86)</f>
        <v>0</v>
      </c>
      <c r="I86" t="str">
        <f>HYPERLINK(خصومات!L86)</f>
        <v>0</v>
      </c>
      <c r="J86">
        <f t="shared" si="4"/>
        <v>0</v>
      </c>
      <c r="K86">
        <f t="shared" si="5"/>
        <v>0</v>
      </c>
      <c r="L86"/>
      <c r="M86"/>
      <c r="N86"/>
      <c r="O86"/>
      <c r="P86"/>
    </row>
    <row r="87" spans="1:16" s="42" customFormat="1" hidden="1" x14ac:dyDescent="0.25">
      <c r="A87"/>
      <c r="B87" t="s">
        <v>82</v>
      </c>
      <c r="C87"/>
      <c r="D87">
        <v>0</v>
      </c>
      <c r="E87" t="str">
        <f>HYPERLINK(اضافات!N87)</f>
        <v>0</v>
      </c>
      <c r="F87" t="str">
        <f>HYPERLINK(اضافات!M87)</f>
        <v>0</v>
      </c>
      <c r="G87" t="str">
        <f>HYPERLINK(اضافات!F87)</f>
        <v>0</v>
      </c>
      <c r="H87" t="str">
        <f>HYPERLINK(اضافات!O87)</f>
        <v>0</v>
      </c>
      <c r="I87" t="str">
        <f>HYPERLINK(خصومات!L87)</f>
        <v>0</v>
      </c>
      <c r="J87">
        <f t="shared" si="4"/>
        <v>0</v>
      </c>
      <c r="K87">
        <f t="shared" si="5"/>
        <v>0</v>
      </c>
      <c r="L87"/>
      <c r="M87"/>
      <c r="N87"/>
      <c r="O87"/>
      <c r="P87"/>
    </row>
    <row r="88" spans="1:16" s="42" customFormat="1" hidden="1" x14ac:dyDescent="0.25">
      <c r="A88"/>
      <c r="B88" t="s">
        <v>82</v>
      </c>
      <c r="C88"/>
      <c r="D88">
        <v>0</v>
      </c>
      <c r="E88" t="str">
        <f>HYPERLINK(اضافات!N88)</f>
        <v>0</v>
      </c>
      <c r="F88" t="str">
        <f>HYPERLINK(اضافات!M88)</f>
        <v>0</v>
      </c>
      <c r="G88" t="str">
        <f>HYPERLINK(اضافات!F88)</f>
        <v>0</v>
      </c>
      <c r="H88" t="str">
        <f>HYPERLINK(اضافات!O88)</f>
        <v>0</v>
      </c>
      <c r="I88" t="str">
        <f>HYPERLINK(خصومات!L88)</f>
        <v>0</v>
      </c>
      <c r="J88">
        <f t="shared" si="4"/>
        <v>0</v>
      </c>
      <c r="K88">
        <f t="shared" si="5"/>
        <v>0</v>
      </c>
      <c r="L88"/>
      <c r="M88"/>
      <c r="N88"/>
      <c r="O88"/>
      <c r="P88"/>
    </row>
    <row r="89" spans="1:16" s="42" customFormat="1" hidden="1" x14ac:dyDescent="0.25">
      <c r="A89"/>
      <c r="B89" t="s">
        <v>82</v>
      </c>
      <c r="C89"/>
      <c r="D89">
        <v>0</v>
      </c>
      <c r="E89" t="str">
        <f>HYPERLINK(اضافات!N89)</f>
        <v>0</v>
      </c>
      <c r="F89" t="str">
        <f>HYPERLINK(اضافات!M89)</f>
        <v>0</v>
      </c>
      <c r="G89" t="str">
        <f>HYPERLINK(اضافات!F89)</f>
        <v>0</v>
      </c>
      <c r="H89" t="str">
        <f>HYPERLINK(اضافات!O89)</f>
        <v>0</v>
      </c>
      <c r="I89" t="str">
        <f>HYPERLINK(خصومات!L89)</f>
        <v>0</v>
      </c>
      <c r="J89">
        <f t="shared" si="4"/>
        <v>0</v>
      </c>
      <c r="K89">
        <f t="shared" si="5"/>
        <v>0</v>
      </c>
      <c r="L89"/>
      <c r="M89"/>
      <c r="N89"/>
      <c r="O89"/>
      <c r="P89"/>
    </row>
    <row r="90" spans="1:16" s="42" customFormat="1" hidden="1" x14ac:dyDescent="0.25">
      <c r="A90"/>
      <c r="B90" t="s">
        <v>82</v>
      </c>
      <c r="C90"/>
      <c r="D90">
        <v>0</v>
      </c>
      <c r="E90" t="str">
        <f>HYPERLINK(اضافات!N90)</f>
        <v>0</v>
      </c>
      <c r="F90" t="str">
        <f>HYPERLINK(اضافات!M90)</f>
        <v>0</v>
      </c>
      <c r="G90" t="str">
        <f>HYPERLINK(اضافات!F90)</f>
        <v>0</v>
      </c>
      <c r="H90" t="str">
        <f>HYPERLINK(اضافات!O90)</f>
        <v>0</v>
      </c>
      <c r="I90" t="str">
        <f>HYPERLINK(خصومات!L90)</f>
        <v>0</v>
      </c>
      <c r="J90">
        <f t="shared" si="4"/>
        <v>0</v>
      </c>
      <c r="K90">
        <f t="shared" si="5"/>
        <v>0</v>
      </c>
      <c r="L90"/>
      <c r="M90"/>
      <c r="N90"/>
      <c r="O90"/>
      <c r="P90"/>
    </row>
    <row r="91" spans="1:16" s="42" customFormat="1" hidden="1" x14ac:dyDescent="0.25">
      <c r="A91"/>
      <c r="B91" t="s">
        <v>82</v>
      </c>
      <c r="C91"/>
      <c r="D91">
        <v>0</v>
      </c>
      <c r="E91" t="str">
        <f>HYPERLINK(اضافات!N91)</f>
        <v>0</v>
      </c>
      <c r="F91" t="str">
        <f>HYPERLINK(اضافات!M91)</f>
        <v>0</v>
      </c>
      <c r="G91" t="str">
        <f>HYPERLINK(اضافات!F91)</f>
        <v>0</v>
      </c>
      <c r="H91" t="str">
        <f>HYPERLINK(اضافات!O91)</f>
        <v>0</v>
      </c>
      <c r="I91" t="str">
        <f>HYPERLINK(خصومات!L91)</f>
        <v>0</v>
      </c>
      <c r="J91">
        <f t="shared" si="4"/>
        <v>0</v>
      </c>
      <c r="K91">
        <f t="shared" si="5"/>
        <v>0</v>
      </c>
      <c r="L91"/>
      <c r="M91"/>
      <c r="N91"/>
      <c r="O91"/>
      <c r="P91"/>
    </row>
    <row r="92" spans="1:16" s="42" customFormat="1" hidden="1" x14ac:dyDescent="0.25">
      <c r="A92"/>
      <c r="B92" t="s">
        <v>82</v>
      </c>
      <c r="C92"/>
      <c r="D92">
        <v>0</v>
      </c>
      <c r="E92" t="str">
        <f>HYPERLINK(اضافات!N92)</f>
        <v>0</v>
      </c>
      <c r="F92" t="str">
        <f>HYPERLINK(اضافات!M92)</f>
        <v>0</v>
      </c>
      <c r="G92" t="str">
        <f>HYPERLINK(اضافات!F92)</f>
        <v>0</v>
      </c>
      <c r="H92" t="str">
        <f>HYPERLINK(اضافات!O92)</f>
        <v>0</v>
      </c>
      <c r="I92" t="str">
        <f>HYPERLINK(خصومات!L92)</f>
        <v>0</v>
      </c>
      <c r="J92">
        <f t="shared" si="4"/>
        <v>0</v>
      </c>
      <c r="K92">
        <f t="shared" si="5"/>
        <v>0</v>
      </c>
      <c r="L92"/>
      <c r="M92"/>
      <c r="N92"/>
      <c r="O92"/>
      <c r="P92"/>
    </row>
    <row r="93" spans="1:16" s="42" customFormat="1" hidden="1" x14ac:dyDescent="0.25">
      <c r="A93"/>
      <c r="B93" t="s">
        <v>82</v>
      </c>
      <c r="C93"/>
      <c r="D93">
        <v>0</v>
      </c>
      <c r="E93" t="str">
        <f>HYPERLINK(اضافات!N93)</f>
        <v>0</v>
      </c>
      <c r="F93" t="str">
        <f>HYPERLINK(اضافات!M93)</f>
        <v>0</v>
      </c>
      <c r="G93" t="str">
        <f>HYPERLINK(اضافات!F93)</f>
        <v>0</v>
      </c>
      <c r="H93" t="str">
        <f>HYPERLINK(اضافات!O93)</f>
        <v>0</v>
      </c>
      <c r="I93" t="str">
        <f>HYPERLINK(خصومات!L93)</f>
        <v>0</v>
      </c>
      <c r="J93">
        <f t="shared" si="4"/>
        <v>0</v>
      </c>
      <c r="K93">
        <f t="shared" si="5"/>
        <v>0</v>
      </c>
      <c r="L93"/>
      <c r="M93"/>
      <c r="N93"/>
      <c r="O93"/>
      <c r="P93"/>
    </row>
    <row r="94" spans="1:16" s="42" customFormat="1" hidden="1" x14ac:dyDescent="0.25">
      <c r="A94"/>
      <c r="B94" t="s">
        <v>82</v>
      </c>
      <c r="C94"/>
      <c r="D94">
        <v>0</v>
      </c>
      <c r="E94" t="str">
        <f>HYPERLINK(اضافات!N94)</f>
        <v>0</v>
      </c>
      <c r="F94" t="str">
        <f>HYPERLINK(اضافات!M94)</f>
        <v>0</v>
      </c>
      <c r="G94" t="str">
        <f>HYPERLINK(اضافات!F94)</f>
        <v>0</v>
      </c>
      <c r="H94" t="str">
        <f>HYPERLINK(اضافات!O94)</f>
        <v>0</v>
      </c>
      <c r="I94" t="str">
        <f>HYPERLINK(خصومات!L94)</f>
        <v>0</v>
      </c>
      <c r="J94">
        <f t="shared" si="4"/>
        <v>0</v>
      </c>
      <c r="K94">
        <f t="shared" si="5"/>
        <v>0</v>
      </c>
      <c r="L94"/>
      <c r="M94"/>
      <c r="N94"/>
      <c r="O94"/>
      <c r="P94"/>
    </row>
    <row r="95" spans="1:16" s="42" customFormat="1" hidden="1" x14ac:dyDescent="0.25">
      <c r="A95"/>
      <c r="B95" t="s">
        <v>82</v>
      </c>
      <c r="C95"/>
      <c r="D95">
        <v>0</v>
      </c>
      <c r="E95" t="str">
        <f>HYPERLINK(اضافات!N95)</f>
        <v>0</v>
      </c>
      <c r="F95" t="str">
        <f>HYPERLINK(اضافات!M95)</f>
        <v>0</v>
      </c>
      <c r="G95" t="str">
        <f>HYPERLINK(اضافات!F95)</f>
        <v>0</v>
      </c>
      <c r="H95" t="str">
        <f>HYPERLINK(اضافات!O95)</f>
        <v>0</v>
      </c>
      <c r="I95" t="str">
        <f>HYPERLINK(خصومات!L95)</f>
        <v>0</v>
      </c>
      <c r="J95">
        <f t="shared" si="4"/>
        <v>0</v>
      </c>
      <c r="K95">
        <f t="shared" si="5"/>
        <v>0</v>
      </c>
      <c r="L95"/>
      <c r="M95"/>
      <c r="N95"/>
      <c r="O95"/>
      <c r="P95"/>
    </row>
    <row r="96" spans="1:16" s="42" customFormat="1" hidden="1" x14ac:dyDescent="0.25">
      <c r="A96"/>
      <c r="B96" t="s">
        <v>82</v>
      </c>
      <c r="C96"/>
      <c r="D96">
        <v>0</v>
      </c>
      <c r="E96" t="str">
        <f>HYPERLINK(اضافات!N96)</f>
        <v>0</v>
      </c>
      <c r="F96" t="str">
        <f>HYPERLINK(اضافات!M96)</f>
        <v>0</v>
      </c>
      <c r="G96" t="str">
        <f>HYPERLINK(اضافات!F96)</f>
        <v>0</v>
      </c>
      <c r="H96" t="str">
        <f>HYPERLINK(اضافات!O96)</f>
        <v>0</v>
      </c>
      <c r="I96" t="str">
        <f>HYPERLINK(خصومات!L96)</f>
        <v>0</v>
      </c>
      <c r="J96">
        <f t="shared" si="4"/>
        <v>0</v>
      </c>
      <c r="K96">
        <f t="shared" si="5"/>
        <v>0</v>
      </c>
      <c r="L96"/>
      <c r="M96"/>
      <c r="N96"/>
      <c r="O96"/>
      <c r="P96"/>
    </row>
    <row r="97" spans="1:16" s="42" customFormat="1" hidden="1" x14ac:dyDescent="0.25">
      <c r="A97"/>
      <c r="B97" t="s">
        <v>82</v>
      </c>
      <c r="C97"/>
      <c r="D97">
        <v>0</v>
      </c>
      <c r="E97" t="str">
        <f>HYPERLINK(اضافات!N97)</f>
        <v>0</v>
      </c>
      <c r="F97" t="str">
        <f>HYPERLINK(اضافات!M97)</f>
        <v>0</v>
      </c>
      <c r="G97" t="str">
        <f>HYPERLINK(اضافات!F97)</f>
        <v>0</v>
      </c>
      <c r="H97" t="str">
        <f>HYPERLINK(اضافات!O97)</f>
        <v>0</v>
      </c>
      <c r="I97" t="str">
        <f>HYPERLINK(خصومات!L97)</f>
        <v>0</v>
      </c>
      <c r="J97">
        <f t="shared" si="4"/>
        <v>0</v>
      </c>
      <c r="K97">
        <f t="shared" si="5"/>
        <v>0</v>
      </c>
      <c r="L97"/>
      <c r="M97"/>
      <c r="N97"/>
      <c r="O97"/>
      <c r="P97"/>
    </row>
    <row r="98" spans="1:16" s="42" customFormat="1" hidden="1" x14ac:dyDescent="0.25">
      <c r="A98"/>
      <c r="B98" t="s">
        <v>82</v>
      </c>
      <c r="C98"/>
      <c r="D98">
        <v>0</v>
      </c>
      <c r="E98" t="str">
        <f>HYPERLINK(اضافات!N98)</f>
        <v>0</v>
      </c>
      <c r="F98" t="str">
        <f>HYPERLINK(اضافات!M98)</f>
        <v>0</v>
      </c>
      <c r="G98" t="str">
        <f>HYPERLINK(اضافات!F98)</f>
        <v>0</v>
      </c>
      <c r="H98" t="str">
        <f>HYPERLINK(اضافات!O98)</f>
        <v>0</v>
      </c>
      <c r="I98" t="str">
        <f>HYPERLINK(خصومات!L98)</f>
        <v>0</v>
      </c>
      <c r="J98">
        <f t="shared" si="4"/>
        <v>0</v>
      </c>
      <c r="K98">
        <f t="shared" si="5"/>
        <v>0</v>
      </c>
      <c r="L98"/>
      <c r="M98"/>
      <c r="N98"/>
      <c r="O98"/>
      <c r="P98"/>
    </row>
    <row r="99" spans="1:16" s="42" customFormat="1" hidden="1" x14ac:dyDescent="0.25">
      <c r="A99"/>
      <c r="B99" t="s">
        <v>82</v>
      </c>
      <c r="C99"/>
      <c r="D99">
        <v>0</v>
      </c>
      <c r="E99" t="str">
        <f>HYPERLINK(اضافات!N99)</f>
        <v>0</v>
      </c>
      <c r="F99" t="str">
        <f>HYPERLINK(اضافات!M99)</f>
        <v>0</v>
      </c>
      <c r="G99" t="str">
        <f>HYPERLINK(اضافات!F99)</f>
        <v>0</v>
      </c>
      <c r="H99" t="str">
        <f>HYPERLINK(اضافات!O99)</f>
        <v>0</v>
      </c>
      <c r="I99" t="str">
        <f>HYPERLINK(خصومات!L99)</f>
        <v>0</v>
      </c>
      <c r="J99">
        <f t="shared" si="4"/>
        <v>0</v>
      </c>
      <c r="K99">
        <f t="shared" si="5"/>
        <v>0</v>
      </c>
      <c r="L99"/>
      <c r="M99"/>
      <c r="N99"/>
      <c r="O99"/>
      <c r="P99"/>
    </row>
    <row r="100" spans="1:16" s="42" customFormat="1" hidden="1" x14ac:dyDescent="0.25">
      <c r="A100"/>
      <c r="B100" t="s">
        <v>82</v>
      </c>
      <c r="C100"/>
      <c r="D100">
        <v>0</v>
      </c>
      <c r="E100" t="str">
        <f>HYPERLINK(اضافات!N100)</f>
        <v>0</v>
      </c>
      <c r="F100" t="str">
        <f>HYPERLINK(اضافات!M100)</f>
        <v>0</v>
      </c>
      <c r="G100" t="str">
        <f>HYPERLINK(اضافات!F100)</f>
        <v>0</v>
      </c>
      <c r="H100" t="str">
        <f>HYPERLINK(اضافات!O100)</f>
        <v>0</v>
      </c>
      <c r="I100" t="str">
        <f>HYPERLINK(خصومات!L100)</f>
        <v>0</v>
      </c>
      <c r="J100">
        <f t="shared" si="4"/>
        <v>0</v>
      </c>
      <c r="K100">
        <f t="shared" si="5"/>
        <v>0</v>
      </c>
      <c r="L100"/>
      <c r="M100"/>
      <c r="N100"/>
      <c r="O100"/>
      <c r="P100"/>
    </row>
    <row r="101" spans="1:16" ht="13.2" x14ac:dyDescent="0.25">
      <c r="A101">
        <v>20</v>
      </c>
      <c r="B101" t="s">
        <v>1</v>
      </c>
      <c r="D101">
        <f>SUM(D57:D100)</f>
        <v>0</v>
      </c>
      <c r="E101">
        <f t="shared" ref="E101:K101" si="6">SUM(E57:E100)</f>
        <v>0</v>
      </c>
      <c r="F101">
        <f t="shared" si="6"/>
        <v>0</v>
      </c>
      <c r="G101">
        <f t="shared" si="6"/>
        <v>0</v>
      </c>
      <c r="H101">
        <f t="shared" si="6"/>
        <v>0</v>
      </c>
      <c r="I101">
        <f t="shared" si="6"/>
        <v>0</v>
      </c>
      <c r="J101">
        <f t="shared" si="6"/>
        <v>0</v>
      </c>
      <c r="K101">
        <f t="shared" si="6"/>
        <v>0</v>
      </c>
      <c r="L101">
        <f>SUM(K57:K100)</f>
        <v>0</v>
      </c>
      <c r="M101"/>
      <c r="N101"/>
      <c r="O101"/>
      <c r="P101"/>
    </row>
    <row r="102" spans="1:16" s="42" customFormat="1" x14ac:dyDescent="0.25">
      <c r="A102">
        <v>1</v>
      </c>
      <c r="B102" t="s">
        <v>85</v>
      </c>
      <c r="C102"/>
      <c r="D102">
        <v>0</v>
      </c>
      <c r="E102" t="str">
        <f>HYPERLINK(اضافات!N102)</f>
        <v>0</v>
      </c>
      <c r="F102" t="str">
        <f>HYPERLINK(اضافات!M102)</f>
        <v>0</v>
      </c>
      <c r="G102" t="str">
        <f>HYPERLINK(اضافات!F102)</f>
        <v>0</v>
      </c>
      <c r="H102" t="str">
        <f>HYPERLINK(اضافات!O102)</f>
        <v>0</v>
      </c>
      <c r="I102" t="str">
        <f>HYPERLINK(خصومات!L102)</f>
        <v>0</v>
      </c>
      <c r="J102">
        <f t="shared" si="4"/>
        <v>0</v>
      </c>
      <c r="K102">
        <f t="shared" ref="K102:K117" si="7">VALUE(D102)+VALUE(G102)+VALUE(H102)-VALUE(I102)</f>
        <v>0</v>
      </c>
      <c r="L102"/>
      <c r="M102"/>
      <c r="N102"/>
      <c r="O102"/>
      <c r="P102"/>
    </row>
    <row r="103" spans="1:16" s="42" customFormat="1" x14ac:dyDescent="0.25">
      <c r="A103">
        <v>2</v>
      </c>
      <c r="B103" t="s">
        <v>86</v>
      </c>
      <c r="C103"/>
      <c r="D103">
        <v>0</v>
      </c>
      <c r="E103" t="str">
        <f>HYPERLINK(اضافات!N103)</f>
        <v>0</v>
      </c>
      <c r="F103" t="str">
        <f>HYPERLINK(اضافات!M103)</f>
        <v>0</v>
      </c>
      <c r="G103" t="str">
        <f>HYPERLINK(اضافات!F103)</f>
        <v>0</v>
      </c>
      <c r="H103" t="str">
        <f>HYPERLINK(اضافات!O103)</f>
        <v>0</v>
      </c>
      <c r="I103" t="str">
        <f>HYPERLINK(خصومات!L103)</f>
        <v>0</v>
      </c>
      <c r="J103">
        <f t="shared" si="4"/>
        <v>0</v>
      </c>
      <c r="K103">
        <f t="shared" si="7"/>
        <v>0</v>
      </c>
      <c r="L103"/>
      <c r="M103"/>
      <c r="N103"/>
      <c r="O103"/>
      <c r="P103"/>
    </row>
    <row r="104" spans="1:16" s="42" customFormat="1" x14ac:dyDescent="0.25">
      <c r="A104">
        <v>3</v>
      </c>
      <c r="B104" t="s">
        <v>87</v>
      </c>
      <c r="C104"/>
      <c r="D104">
        <v>0</v>
      </c>
      <c r="E104" t="str">
        <f>HYPERLINK(اضافات!N104)</f>
        <v>0</v>
      </c>
      <c r="F104" t="str">
        <f>HYPERLINK(اضافات!M104)</f>
        <v>0</v>
      </c>
      <c r="G104" t="str">
        <f>HYPERLINK(اضافات!F104)</f>
        <v>0</v>
      </c>
      <c r="H104" t="str">
        <f>HYPERLINK(اضافات!O104)</f>
        <v>0</v>
      </c>
      <c r="I104" t="str">
        <f>HYPERLINK(خصومات!L104)</f>
        <v>0</v>
      </c>
      <c r="J104">
        <f t="shared" si="4"/>
        <v>0</v>
      </c>
      <c r="K104">
        <f t="shared" si="7"/>
        <v>0</v>
      </c>
      <c r="L104"/>
      <c r="M104"/>
      <c r="N104"/>
      <c r="O104"/>
      <c r="P104"/>
    </row>
    <row r="105" spans="1:16" s="42" customFormat="1" x14ac:dyDescent="0.25">
      <c r="A105">
        <v>4</v>
      </c>
      <c r="B105" t="s">
        <v>88</v>
      </c>
      <c r="C105"/>
      <c r="D105">
        <v>0</v>
      </c>
      <c r="E105" t="str">
        <f>HYPERLINK(اضافات!N105)</f>
        <v>0</v>
      </c>
      <c r="F105" t="str">
        <f>HYPERLINK(اضافات!M105)</f>
        <v>0</v>
      </c>
      <c r="G105" t="str">
        <f>HYPERLINK(اضافات!F105)</f>
        <v>0</v>
      </c>
      <c r="H105" t="str">
        <f>HYPERLINK(اضافات!O105)</f>
        <v>0</v>
      </c>
      <c r="I105" t="str">
        <f>HYPERLINK(خصومات!L105)</f>
        <v>0</v>
      </c>
      <c r="J105">
        <f t="shared" si="4"/>
        <v>0</v>
      </c>
      <c r="K105">
        <f t="shared" si="7"/>
        <v>0</v>
      </c>
      <c r="L105"/>
      <c r="M105"/>
      <c r="N105"/>
      <c r="O105"/>
      <c r="P105"/>
    </row>
    <row r="106" spans="1:16" s="42" customFormat="1" x14ac:dyDescent="0.25">
      <c r="A106">
        <v>5</v>
      </c>
      <c r="B106" t="s">
        <v>72</v>
      </c>
      <c r="C106"/>
      <c r="D106">
        <v>0</v>
      </c>
      <c r="E106" t="str">
        <f>HYPERLINK(اضافات!N106)</f>
        <v>0</v>
      </c>
      <c r="F106" t="str">
        <f>HYPERLINK(اضافات!M106)</f>
        <v>0</v>
      </c>
      <c r="G106" t="str">
        <f>HYPERLINK(اضافات!F106)</f>
        <v>0</v>
      </c>
      <c r="H106" t="str">
        <f>HYPERLINK(اضافات!O106)</f>
        <v>0</v>
      </c>
      <c r="I106" t="str">
        <f>HYPERLINK(خصومات!L106)</f>
        <v>0</v>
      </c>
      <c r="J106">
        <f t="shared" si="4"/>
        <v>0</v>
      </c>
      <c r="K106">
        <f t="shared" si="7"/>
        <v>0</v>
      </c>
      <c r="L106"/>
      <c r="M106"/>
      <c r="N106"/>
      <c r="O106"/>
      <c r="P106"/>
    </row>
    <row r="107" spans="1:16" s="42" customFormat="1" x14ac:dyDescent="0.25">
      <c r="A107">
        <v>6</v>
      </c>
      <c r="B107" t="s">
        <v>145</v>
      </c>
      <c r="C107"/>
      <c r="D107">
        <v>0</v>
      </c>
      <c r="E107" t="str">
        <f>HYPERLINK(اضافات!N107)</f>
        <v>0</v>
      </c>
      <c r="F107" t="str">
        <f>HYPERLINK(اضافات!M107)</f>
        <v>0</v>
      </c>
      <c r="G107" t="str">
        <f>HYPERLINK(اضافات!F107)</f>
        <v>0</v>
      </c>
      <c r="H107" t="str">
        <f>HYPERLINK(اضافات!O107)</f>
        <v>0</v>
      </c>
      <c r="I107" t="str">
        <f>HYPERLINK(خصومات!L107)</f>
        <v>0</v>
      </c>
      <c r="J107">
        <f t="shared" si="4"/>
        <v>0</v>
      </c>
      <c r="K107">
        <f t="shared" si="7"/>
        <v>0</v>
      </c>
      <c r="L107"/>
      <c r="M107"/>
      <c r="N107"/>
      <c r="O107"/>
      <c r="P107"/>
    </row>
    <row r="108" spans="1:16" s="42" customFormat="1" x14ac:dyDescent="0.25">
      <c r="A108">
        <v>7</v>
      </c>
      <c r="B108" t="s">
        <v>156</v>
      </c>
      <c r="C108"/>
      <c r="D108">
        <v>0</v>
      </c>
      <c r="E108" t="str">
        <f>HYPERLINK(اضافات!N108)</f>
        <v>0</v>
      </c>
      <c r="F108" t="str">
        <f>HYPERLINK(اضافات!M108)</f>
        <v>0</v>
      </c>
      <c r="G108" t="str">
        <f>HYPERLINK(اضافات!F108)</f>
        <v>0</v>
      </c>
      <c r="H108" t="str">
        <f>HYPERLINK(اضافات!O108)</f>
        <v>0</v>
      </c>
      <c r="I108" t="str">
        <f>HYPERLINK(خصومات!L108)</f>
        <v>0</v>
      </c>
      <c r="J108">
        <f t="shared" si="4"/>
        <v>0</v>
      </c>
      <c r="K108">
        <f t="shared" si="7"/>
        <v>0</v>
      </c>
      <c r="L108"/>
      <c r="M108"/>
      <c r="N108"/>
      <c r="O108"/>
      <c r="P108"/>
    </row>
    <row r="109" spans="1:16" s="42" customFormat="1" hidden="1" x14ac:dyDescent="0.25">
      <c r="A109"/>
      <c r="B109" t="s">
        <v>82</v>
      </c>
      <c r="C109"/>
      <c r="D109">
        <v>0</v>
      </c>
      <c r="E109" t="str">
        <f>HYPERLINK(اضافات!N109)</f>
        <v>0</v>
      </c>
      <c r="F109" t="str">
        <f>HYPERLINK(اضافات!M109)</f>
        <v>0</v>
      </c>
      <c r="G109" t="str">
        <f>HYPERLINK(اضافات!F109)</f>
        <v>0</v>
      </c>
      <c r="H109" t="str">
        <f>HYPERLINK(اضافات!O109)</f>
        <v>0</v>
      </c>
      <c r="I109" t="str">
        <f>HYPERLINK(خصومات!L109)</f>
        <v>0</v>
      </c>
      <c r="J109">
        <f t="shared" si="4"/>
        <v>0</v>
      </c>
      <c r="K109">
        <f t="shared" si="7"/>
        <v>0</v>
      </c>
      <c r="L109"/>
      <c r="M109"/>
      <c r="N109"/>
      <c r="O109"/>
      <c r="P109"/>
    </row>
    <row r="110" spans="1:16" s="42" customFormat="1" hidden="1" x14ac:dyDescent="0.25">
      <c r="A110"/>
      <c r="B110" t="s">
        <v>82</v>
      </c>
      <c r="C110"/>
      <c r="D110">
        <v>0</v>
      </c>
      <c r="E110" t="str">
        <f>HYPERLINK(اضافات!N110)</f>
        <v>0</v>
      </c>
      <c r="F110" t="str">
        <f>HYPERLINK(اضافات!M110)</f>
        <v>0</v>
      </c>
      <c r="G110" t="str">
        <f>HYPERLINK(اضافات!F110)</f>
        <v>0</v>
      </c>
      <c r="H110" t="str">
        <f>HYPERLINK(اضافات!O110)</f>
        <v>0</v>
      </c>
      <c r="I110" t="str">
        <f>HYPERLINK(خصومات!L110)</f>
        <v>0</v>
      </c>
      <c r="J110">
        <f t="shared" si="4"/>
        <v>0</v>
      </c>
      <c r="K110">
        <f t="shared" si="7"/>
        <v>0</v>
      </c>
      <c r="L110"/>
      <c r="M110"/>
      <c r="N110"/>
      <c r="O110"/>
      <c r="P110"/>
    </row>
    <row r="111" spans="1:16" s="42" customFormat="1" hidden="1" x14ac:dyDescent="0.25">
      <c r="A111"/>
      <c r="B111" t="s">
        <v>82</v>
      </c>
      <c r="C111"/>
      <c r="D111">
        <v>0</v>
      </c>
      <c r="E111" t="str">
        <f>HYPERLINK(اضافات!N111)</f>
        <v>0</v>
      </c>
      <c r="F111" t="str">
        <f>HYPERLINK(اضافات!M111)</f>
        <v>0</v>
      </c>
      <c r="G111" t="str">
        <f>HYPERLINK(اضافات!F111)</f>
        <v>0</v>
      </c>
      <c r="H111" t="str">
        <f>HYPERLINK(اضافات!O111)</f>
        <v>0</v>
      </c>
      <c r="I111" t="str">
        <f>HYPERLINK(خصومات!L111)</f>
        <v>0</v>
      </c>
      <c r="J111">
        <f t="shared" si="4"/>
        <v>0</v>
      </c>
      <c r="K111">
        <f t="shared" si="7"/>
        <v>0</v>
      </c>
      <c r="L111"/>
      <c r="M111"/>
      <c r="N111"/>
      <c r="O111"/>
      <c r="P111"/>
    </row>
    <row r="112" spans="1:16" s="42" customFormat="1" hidden="1" x14ac:dyDescent="0.25">
      <c r="A112"/>
      <c r="B112" t="s">
        <v>82</v>
      </c>
      <c r="C112"/>
      <c r="D112">
        <v>0</v>
      </c>
      <c r="E112" t="str">
        <f>HYPERLINK(اضافات!N112)</f>
        <v>0</v>
      </c>
      <c r="F112" t="str">
        <f>HYPERLINK(اضافات!M112)</f>
        <v>0</v>
      </c>
      <c r="G112" t="str">
        <f>HYPERLINK(اضافات!F112)</f>
        <v>0</v>
      </c>
      <c r="H112" t="str">
        <f>HYPERLINK(اضافات!O112)</f>
        <v>0</v>
      </c>
      <c r="I112" t="str">
        <f>HYPERLINK(خصومات!L112)</f>
        <v>0</v>
      </c>
      <c r="J112">
        <f t="shared" si="4"/>
        <v>0</v>
      </c>
      <c r="K112">
        <f t="shared" si="7"/>
        <v>0</v>
      </c>
      <c r="L112"/>
      <c r="M112"/>
      <c r="N112"/>
      <c r="O112"/>
      <c r="P112"/>
    </row>
    <row r="113" spans="1:16" s="42" customFormat="1" hidden="1" x14ac:dyDescent="0.25">
      <c r="A113"/>
      <c r="B113" t="s">
        <v>82</v>
      </c>
      <c r="C113"/>
      <c r="D113">
        <v>0</v>
      </c>
      <c r="E113" t="str">
        <f>HYPERLINK(اضافات!N113)</f>
        <v>0</v>
      </c>
      <c r="F113" t="str">
        <f>HYPERLINK(اضافات!M113)</f>
        <v>0</v>
      </c>
      <c r="G113" t="str">
        <f>HYPERLINK(اضافات!F113)</f>
        <v>0</v>
      </c>
      <c r="H113" t="str">
        <f>HYPERLINK(اضافات!O113)</f>
        <v>0</v>
      </c>
      <c r="I113" t="str">
        <f>HYPERLINK(خصومات!L113)</f>
        <v>0</v>
      </c>
      <c r="J113">
        <f t="shared" si="4"/>
        <v>0</v>
      </c>
      <c r="K113">
        <f t="shared" si="7"/>
        <v>0</v>
      </c>
      <c r="L113"/>
      <c r="M113"/>
      <c r="N113"/>
      <c r="O113"/>
      <c r="P113"/>
    </row>
    <row r="114" spans="1:16" s="42" customFormat="1" hidden="1" x14ac:dyDescent="0.25">
      <c r="A114"/>
      <c r="B114" t="s">
        <v>82</v>
      </c>
      <c r="C114"/>
      <c r="D114">
        <v>0</v>
      </c>
      <c r="E114" t="str">
        <f>HYPERLINK(اضافات!N114)</f>
        <v>0</v>
      </c>
      <c r="F114" t="str">
        <f>HYPERLINK(اضافات!M114)</f>
        <v>0</v>
      </c>
      <c r="G114" t="str">
        <f>HYPERLINK(اضافات!F114)</f>
        <v>0</v>
      </c>
      <c r="H114" t="str">
        <f>HYPERLINK(اضافات!O114)</f>
        <v>0</v>
      </c>
      <c r="I114" t="str">
        <f>HYPERLINK(خصومات!L114)</f>
        <v>0</v>
      </c>
      <c r="J114">
        <f t="shared" si="4"/>
        <v>0</v>
      </c>
      <c r="K114">
        <f t="shared" si="7"/>
        <v>0</v>
      </c>
      <c r="L114"/>
      <c r="M114"/>
      <c r="N114"/>
      <c r="O114"/>
      <c r="P114"/>
    </row>
    <row r="115" spans="1:16" s="42" customFormat="1" hidden="1" x14ac:dyDescent="0.25">
      <c r="A115"/>
      <c r="B115" t="s">
        <v>82</v>
      </c>
      <c r="C115"/>
      <c r="D115">
        <v>0</v>
      </c>
      <c r="E115" t="str">
        <f>HYPERLINK(اضافات!N115)</f>
        <v>0</v>
      </c>
      <c r="F115" t="str">
        <f>HYPERLINK(اضافات!M115)</f>
        <v>0</v>
      </c>
      <c r="G115" t="str">
        <f>HYPERLINK(اضافات!F115)</f>
        <v>0</v>
      </c>
      <c r="H115" t="str">
        <f>HYPERLINK(اضافات!O115)</f>
        <v>0</v>
      </c>
      <c r="I115" t="str">
        <f>HYPERLINK(خصومات!L115)</f>
        <v>0</v>
      </c>
      <c r="J115">
        <f t="shared" si="4"/>
        <v>0</v>
      </c>
      <c r="K115">
        <f t="shared" si="7"/>
        <v>0</v>
      </c>
      <c r="L115"/>
      <c r="M115"/>
      <c r="N115"/>
      <c r="O115"/>
      <c r="P115"/>
    </row>
    <row r="116" spans="1:16" s="42" customFormat="1" hidden="1" x14ac:dyDescent="0.25">
      <c r="A116"/>
      <c r="B116" t="s">
        <v>82</v>
      </c>
      <c r="C116"/>
      <c r="D116">
        <v>0</v>
      </c>
      <c r="E116" t="str">
        <f>HYPERLINK(اضافات!N116)</f>
        <v>0</v>
      </c>
      <c r="F116" t="str">
        <f>HYPERLINK(اضافات!M116)</f>
        <v>0</v>
      </c>
      <c r="G116" t="str">
        <f>HYPERLINK(اضافات!F116)</f>
        <v>0</v>
      </c>
      <c r="H116" t="str">
        <f>HYPERLINK(اضافات!O116)</f>
        <v>0</v>
      </c>
      <c r="I116" t="str">
        <f>HYPERLINK(خصومات!L116)</f>
        <v>0</v>
      </c>
      <c r="J116">
        <f t="shared" si="4"/>
        <v>0</v>
      </c>
      <c r="K116">
        <f t="shared" si="7"/>
        <v>0</v>
      </c>
      <c r="L116"/>
      <c r="M116"/>
      <c r="N116"/>
      <c r="O116"/>
      <c r="P116"/>
    </row>
    <row r="117" spans="1:16" s="42" customFormat="1" hidden="1" x14ac:dyDescent="0.25">
      <c r="A117"/>
      <c r="B117" t="s">
        <v>82</v>
      </c>
      <c r="C117"/>
      <c r="D117">
        <v>0</v>
      </c>
      <c r="E117" t="str">
        <f>HYPERLINK(اضافات!N117)</f>
        <v>0</v>
      </c>
      <c r="F117" t="str">
        <f>HYPERLINK(اضافات!M117)</f>
        <v>0</v>
      </c>
      <c r="G117" t="str">
        <f>HYPERLINK(اضافات!F117)</f>
        <v>0</v>
      </c>
      <c r="H117" t="str">
        <f>HYPERLINK(اضافات!O117)</f>
        <v>0</v>
      </c>
      <c r="I117" t="str">
        <f>HYPERLINK(خصومات!L117)</f>
        <v>0</v>
      </c>
      <c r="J117">
        <f t="shared" si="4"/>
        <v>0</v>
      </c>
      <c r="K117">
        <f t="shared" si="7"/>
        <v>0</v>
      </c>
      <c r="L117"/>
      <c r="M117"/>
      <c r="N117"/>
      <c r="O117"/>
      <c r="P117"/>
    </row>
    <row r="118" spans="1:16" ht="13.2" x14ac:dyDescent="0.25">
      <c r="A118">
        <v>6</v>
      </c>
      <c r="B118" t="s">
        <v>84</v>
      </c>
      <c r="D118">
        <f>SUM(D102:D117)</f>
        <v>0</v>
      </c>
      <c r="E118">
        <f t="shared" ref="E118:K118" si="8">SUM(E102:E117)</f>
        <v>0</v>
      </c>
      <c r="F118">
        <f t="shared" si="8"/>
        <v>0</v>
      </c>
      <c r="G118">
        <f t="shared" si="8"/>
        <v>0</v>
      </c>
      <c r="H118">
        <f t="shared" si="8"/>
        <v>0</v>
      </c>
      <c r="I118">
        <f t="shared" si="8"/>
        <v>0</v>
      </c>
      <c r="J118">
        <f t="shared" si="8"/>
        <v>0</v>
      </c>
      <c r="K118">
        <f t="shared" si="8"/>
        <v>0</v>
      </c>
      <c r="L118">
        <f>SUM(K102:K117)</f>
        <v>0</v>
      </c>
      <c r="M118"/>
      <c r="N118"/>
      <c r="O118"/>
      <c r="P118"/>
    </row>
    <row r="119" spans="1:16" s="41" customFormat="1" x14ac:dyDescent="0.25">
      <c r="A119">
        <f t="shared" ref="A119" si="9">SUM(A18,A56,A101)</f>
        <v>38</v>
      </c>
      <c r="B119" t="s">
        <v>81</v>
      </c>
      <c r="C119"/>
      <c r="D119">
        <f>SUM(D18,D56,D101)</f>
        <v>0</v>
      </c>
      <c r="E119">
        <f t="shared" ref="E119:J119" si="10">SUM(E18,E56,E101)</f>
        <v>0</v>
      </c>
      <c r="F119">
        <f t="shared" si="10"/>
        <v>0</v>
      </c>
      <c r="G119">
        <f t="shared" si="10"/>
        <v>0</v>
      </c>
      <c r="H119">
        <f t="shared" si="10"/>
        <v>0</v>
      </c>
      <c r="I119">
        <f t="shared" si="10"/>
        <v>0</v>
      </c>
      <c r="J119">
        <f t="shared" si="10"/>
        <v>0</v>
      </c>
      <c r="K119">
        <f>SUM(K18,K56,K101)</f>
        <v>0</v>
      </c>
      <c r="L119">
        <f>SUM(L18,L56,L101)</f>
        <v>0</v>
      </c>
      <c r="M119"/>
      <c r="N119"/>
      <c r="O119"/>
      <c r="P119"/>
    </row>
    <row r="120" spans="1:16" ht="13.2" x14ac:dyDescent="0.25">
      <c r="A120">
        <f>SUM(A18,A56,A101,A118)</f>
        <v>44</v>
      </c>
      <c r="B120" t="s">
        <v>120</v>
      </c>
      <c r="D120">
        <f t="shared" ref="D120:K120" si="11">SUM(D18,D56,D101,D118)</f>
        <v>0</v>
      </c>
      <c r="E120">
        <f t="shared" si="11"/>
        <v>0</v>
      </c>
      <c r="F120">
        <f t="shared" si="11"/>
        <v>0</v>
      </c>
      <c r="G120">
        <f t="shared" si="11"/>
        <v>0</v>
      </c>
      <c r="H120">
        <f t="shared" si="11"/>
        <v>0</v>
      </c>
      <c r="I120">
        <f t="shared" si="11"/>
        <v>0</v>
      </c>
      <c r="J120">
        <f t="shared" si="11"/>
        <v>0</v>
      </c>
      <c r="K120">
        <f t="shared" si="11"/>
        <v>0</v>
      </c>
      <c r="L120">
        <f>SUM(L18,L56,L101,L118)</f>
        <v>0</v>
      </c>
      <c r="M120"/>
      <c r="N120"/>
      <c r="O120"/>
      <c r="P120"/>
    </row>
    <row r="121" spans="1:16" x14ac:dyDescent="0.25">
      <c r="A121" s="6"/>
      <c r="B121" s="6"/>
      <c r="D121" s="1"/>
      <c r="E121" s="1"/>
      <c r="F121" s="1"/>
      <c r="G121" s="1"/>
      <c r="H121" s="1"/>
      <c r="I121" s="1"/>
      <c r="J121" s="1"/>
      <c r="L121" s="7"/>
      <c r="M121" s="7"/>
      <c r="O121" s="16"/>
    </row>
    <row r="122" spans="1:16" x14ac:dyDescent="0.25">
      <c r="L122" s="4"/>
      <c r="M122" s="4"/>
      <c r="N122" s="10"/>
      <c r="O122" s="16"/>
    </row>
    <row r="123" spans="1:16" ht="15.6" x14ac:dyDescent="0.3">
      <c r="L123" s="8"/>
      <c r="M123" s="8"/>
      <c r="N123" s="11"/>
      <c r="O123" s="16"/>
    </row>
    <row r="124" spans="1:16" x14ac:dyDescent="0.25">
      <c r="L124" s="1"/>
      <c r="M124" s="1"/>
      <c r="O124" s="16"/>
    </row>
    <row r="125" spans="1:16" x14ac:dyDescent="0.25">
      <c r="L125" s="4"/>
      <c r="M125" s="4"/>
    </row>
    <row r="126" spans="1:16" x14ac:dyDescent="0.25">
      <c r="L126" s="4"/>
      <c r="M126" s="4"/>
    </row>
    <row r="127" spans="1:16" x14ac:dyDescent="0.25">
      <c r="L127" s="13"/>
      <c r="M127" s="13"/>
    </row>
  </sheetData>
  <printOptions horizontalCentered="1"/>
  <pageMargins left="0" right="0" top="0.5" bottom="0.5" header="0.3" footer="0.3"/>
  <pageSetup paperSize="9" scale="46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C152-C05C-4284-8201-A360F89137B2}">
  <dimension ref="A1:P120"/>
  <sheetViews>
    <sheetView rightToLeft="1" workbookViewId="0">
      <selection sqref="A1:P120"/>
    </sheetView>
  </sheetViews>
  <sheetFormatPr defaultRowHeight="13.2" x14ac:dyDescent="0.25"/>
  <sheetData>
    <row r="1" spans="1:16" x14ac:dyDescent="0.25">
      <c r="A1" t="s">
        <v>150</v>
      </c>
    </row>
    <row r="2" spans="1:16" x14ac:dyDescent="0.25">
      <c r="B2" t="s">
        <v>6</v>
      </c>
      <c r="D2">
        <v>45870</v>
      </c>
    </row>
    <row r="3" spans="1:16" x14ac:dyDescent="0.25">
      <c r="A3" t="s">
        <v>18</v>
      </c>
      <c r="B3" t="s">
        <v>35</v>
      </c>
      <c r="C3" t="s">
        <v>158</v>
      </c>
      <c r="D3" t="s">
        <v>34</v>
      </c>
      <c r="E3" t="s">
        <v>33</v>
      </c>
      <c r="F3" t="s">
        <v>32</v>
      </c>
      <c r="G3" t="s">
        <v>57</v>
      </c>
      <c r="H3" t="s">
        <v>31</v>
      </c>
      <c r="I3" t="s">
        <v>30</v>
      </c>
      <c r="J3" t="s">
        <v>12</v>
      </c>
      <c r="K3" t="s">
        <v>13</v>
      </c>
      <c r="M3" t="s">
        <v>77</v>
      </c>
      <c r="N3" t="s">
        <v>2</v>
      </c>
      <c r="O3" t="s">
        <v>16</v>
      </c>
      <c r="P3" t="s">
        <v>17</v>
      </c>
    </row>
    <row r="4" spans="1:16" x14ac:dyDescent="0.25">
      <c r="A4">
        <v>1</v>
      </c>
      <c r="B4" t="s">
        <v>128</v>
      </c>
      <c r="D4">
        <v>0</v>
      </c>
      <c r="E4" t="str">
        <f>HYPERLINK(اضافات!N4)</f>
        <v>0</v>
      </c>
      <c r="F4" t="str">
        <f>HYPERLINK(اضافات!M4)</f>
        <v>0</v>
      </c>
      <c r="G4" t="str">
        <f>HYPERLINK(اضافات!F4)</f>
        <v>0</v>
      </c>
      <c r="H4" t="str">
        <f>HYPERLINK(اضافات!O4)</f>
        <v>0</v>
      </c>
      <c r="I4" t="str">
        <f>HYPERLINK(خصومات!L4)</f>
        <v>0</v>
      </c>
      <c r="J4">
        <f>SUM(D4,VALUE(E4),VALUE(F4),VALUE(G4))</f>
        <v>0</v>
      </c>
      <c r="K4">
        <f>VALUE(D4)+VALUE(G4)+VALUE(H4)-VALUE(I4)</f>
        <v>0</v>
      </c>
    </row>
    <row r="5" spans="1:16" x14ac:dyDescent="0.25">
      <c r="A5">
        <v>2</v>
      </c>
      <c r="B5" t="s">
        <v>129</v>
      </c>
      <c r="D5">
        <v>0</v>
      </c>
      <c r="E5" t="str">
        <f>HYPERLINK(اضافات!N5)</f>
        <v>0</v>
      </c>
      <c r="F5" t="str">
        <f>HYPERLINK(اضافات!M5)</f>
        <v>0</v>
      </c>
      <c r="G5" t="str">
        <f>HYPERLINK(اضافات!F5)</f>
        <v>0</v>
      </c>
      <c r="H5" t="str">
        <f>HYPERLINK(اضافات!O5)</f>
        <v>0</v>
      </c>
      <c r="I5" t="str">
        <f>HYPERLINK(خصومات!L5)</f>
        <v>0</v>
      </c>
      <c r="J5">
        <f t="shared" ref="J5:J68" si="0">SUM(D5,VALUE(E5),VALUE(F5),VALUE(G5))</f>
        <v>0</v>
      </c>
      <c r="K5">
        <f t="shared" ref="K5:K68" si="1">VALUE(D5)+VALUE(G5)+VALUE(H5)-VALUE(I5)</f>
        <v>0</v>
      </c>
    </row>
    <row r="6" spans="1:16" x14ac:dyDescent="0.25">
      <c r="A6">
        <v>3</v>
      </c>
      <c r="B6" t="s">
        <v>130</v>
      </c>
      <c r="D6">
        <v>0</v>
      </c>
      <c r="E6" t="str">
        <f>HYPERLINK(اضافات!N6)</f>
        <v>0</v>
      </c>
      <c r="F6" t="str">
        <f>HYPERLINK(اضافات!M6)</f>
        <v>0</v>
      </c>
      <c r="G6" t="str">
        <f>HYPERLINK(اضافات!F6)</f>
        <v>0</v>
      </c>
      <c r="H6" t="str">
        <f>HYPERLINK(اضافات!O6)</f>
        <v>0</v>
      </c>
      <c r="I6" t="str">
        <f>HYPERLINK(خصومات!L6)</f>
        <v>0</v>
      </c>
      <c r="J6">
        <f t="shared" si="0"/>
        <v>0</v>
      </c>
      <c r="K6">
        <f t="shared" si="1"/>
        <v>0</v>
      </c>
    </row>
    <row r="7" spans="1:16" x14ac:dyDescent="0.25">
      <c r="B7" t="s">
        <v>82</v>
      </c>
      <c r="D7">
        <v>0</v>
      </c>
      <c r="E7" t="str">
        <f>HYPERLINK(اضافات!N7)</f>
        <v>0</v>
      </c>
      <c r="F7" t="str">
        <f>HYPERLINK(اضافات!M7)</f>
        <v>0</v>
      </c>
      <c r="G7" t="str">
        <f>HYPERLINK(اضافات!F7)</f>
        <v>0</v>
      </c>
      <c r="H7" t="str">
        <f>HYPERLINK(اضافات!O7)</f>
        <v>0</v>
      </c>
      <c r="I7" t="str">
        <f>HYPERLINK(خصومات!L7)</f>
        <v>0</v>
      </c>
      <c r="J7">
        <f t="shared" si="0"/>
        <v>0</v>
      </c>
      <c r="K7">
        <f t="shared" si="1"/>
        <v>0</v>
      </c>
    </row>
    <row r="8" spans="1:16" x14ac:dyDescent="0.25">
      <c r="B8" t="s">
        <v>82</v>
      </c>
      <c r="D8">
        <v>0</v>
      </c>
      <c r="E8" t="str">
        <f>HYPERLINK(اضافات!N8)</f>
        <v>0</v>
      </c>
      <c r="F8" t="str">
        <f>HYPERLINK(اضافات!M8)</f>
        <v>0</v>
      </c>
      <c r="G8" t="str">
        <f>HYPERLINK(اضافات!F8)</f>
        <v>0</v>
      </c>
      <c r="H8" t="str">
        <f>HYPERLINK(اضافات!O8)</f>
        <v>0</v>
      </c>
      <c r="I8" t="str">
        <f>HYPERLINK(خصومات!L8)</f>
        <v>0</v>
      </c>
      <c r="J8">
        <f t="shared" si="0"/>
        <v>0</v>
      </c>
      <c r="K8">
        <f t="shared" si="1"/>
        <v>0</v>
      </c>
    </row>
    <row r="9" spans="1:16" x14ac:dyDescent="0.25">
      <c r="B9" t="s">
        <v>82</v>
      </c>
      <c r="D9">
        <v>0</v>
      </c>
      <c r="E9" t="str">
        <f>HYPERLINK(اضافات!N9)</f>
        <v>0</v>
      </c>
      <c r="F9" t="str">
        <f>HYPERLINK(اضافات!M9)</f>
        <v>0</v>
      </c>
      <c r="G9" t="str">
        <f>HYPERLINK(اضافات!F9)</f>
        <v>0</v>
      </c>
      <c r="H9" t="str">
        <f>HYPERLINK(اضافات!O9)</f>
        <v>0</v>
      </c>
      <c r="I9" t="str">
        <f>HYPERLINK(خصومات!L9)</f>
        <v>0</v>
      </c>
      <c r="J9">
        <f t="shared" si="0"/>
        <v>0</v>
      </c>
      <c r="K9">
        <f t="shared" si="1"/>
        <v>0</v>
      </c>
    </row>
    <row r="10" spans="1:16" x14ac:dyDescent="0.25">
      <c r="B10" t="s">
        <v>82</v>
      </c>
      <c r="D10">
        <v>0</v>
      </c>
      <c r="E10" t="str">
        <f>HYPERLINK(اضافات!N10)</f>
        <v>0</v>
      </c>
      <c r="F10" t="str">
        <f>HYPERLINK(اضافات!M10)</f>
        <v>0</v>
      </c>
      <c r="G10" t="str">
        <f>HYPERLINK(اضافات!F10)</f>
        <v>0</v>
      </c>
      <c r="H10" t="str">
        <f>HYPERLINK(اضافات!O10)</f>
        <v>0</v>
      </c>
      <c r="I10" t="str">
        <f>HYPERLINK(خصومات!L10)</f>
        <v>0</v>
      </c>
      <c r="J10">
        <f t="shared" si="0"/>
        <v>0</v>
      </c>
      <c r="K10">
        <f t="shared" si="1"/>
        <v>0</v>
      </c>
    </row>
    <row r="11" spans="1:16" x14ac:dyDescent="0.25">
      <c r="B11" t="s">
        <v>82</v>
      </c>
      <c r="D11">
        <v>0</v>
      </c>
      <c r="E11" t="str">
        <f>HYPERLINK(اضافات!N11)</f>
        <v>0</v>
      </c>
      <c r="F11" t="str">
        <f>HYPERLINK(اضافات!M11)</f>
        <v>0</v>
      </c>
      <c r="G11" t="str">
        <f>HYPERLINK(اضافات!F11)</f>
        <v>0</v>
      </c>
      <c r="H11" t="str">
        <f>HYPERLINK(اضافات!O11)</f>
        <v>0</v>
      </c>
      <c r="I11" t="str">
        <f>HYPERLINK(خصومات!L11)</f>
        <v>0</v>
      </c>
      <c r="J11">
        <f t="shared" si="0"/>
        <v>0</v>
      </c>
      <c r="K11">
        <f t="shared" si="1"/>
        <v>0</v>
      </c>
    </row>
    <row r="12" spans="1:16" x14ac:dyDescent="0.25">
      <c r="B12" t="s">
        <v>82</v>
      </c>
      <c r="D12">
        <v>0</v>
      </c>
      <c r="E12" t="str">
        <f>HYPERLINK(اضافات!N12)</f>
        <v>0</v>
      </c>
      <c r="F12" t="str">
        <f>HYPERLINK(اضافات!M12)</f>
        <v>0</v>
      </c>
      <c r="G12" t="str">
        <f>HYPERLINK(اضافات!F12)</f>
        <v>0</v>
      </c>
      <c r="H12" t="str">
        <f>HYPERLINK(اضافات!O12)</f>
        <v>0</v>
      </c>
      <c r="I12" t="str">
        <f>HYPERLINK(خصومات!L12)</f>
        <v>0</v>
      </c>
      <c r="J12">
        <f t="shared" si="0"/>
        <v>0</v>
      </c>
      <c r="K12">
        <f t="shared" si="1"/>
        <v>0</v>
      </c>
    </row>
    <row r="13" spans="1:16" x14ac:dyDescent="0.25">
      <c r="B13" t="s">
        <v>82</v>
      </c>
      <c r="D13">
        <v>0</v>
      </c>
      <c r="E13" t="str">
        <f>HYPERLINK(اضافات!N13)</f>
        <v>0</v>
      </c>
      <c r="F13" t="str">
        <f>HYPERLINK(اضافات!M13)</f>
        <v>0</v>
      </c>
      <c r="G13" t="str">
        <f>HYPERLINK(اضافات!F13)</f>
        <v>0</v>
      </c>
      <c r="H13" t="str">
        <f>HYPERLINK(اضافات!O13)</f>
        <v>0</v>
      </c>
      <c r="I13" t="str">
        <f>HYPERLINK(خصومات!L13)</f>
        <v>0</v>
      </c>
      <c r="J13">
        <f t="shared" si="0"/>
        <v>0</v>
      </c>
      <c r="K13">
        <f t="shared" si="1"/>
        <v>0</v>
      </c>
    </row>
    <row r="14" spans="1:16" x14ac:dyDescent="0.25">
      <c r="B14" t="s">
        <v>82</v>
      </c>
      <c r="D14">
        <v>0</v>
      </c>
      <c r="E14" t="str">
        <f>HYPERLINK(اضافات!N14)</f>
        <v>0</v>
      </c>
      <c r="F14" t="str">
        <f>HYPERLINK(اضافات!M14)</f>
        <v>0</v>
      </c>
      <c r="G14" t="str">
        <f>HYPERLINK(اضافات!F14)</f>
        <v>0</v>
      </c>
      <c r="H14" t="str">
        <f>HYPERLINK(اضافات!O14)</f>
        <v>0</v>
      </c>
      <c r="I14" t="str">
        <f>HYPERLINK(خصومات!L14)</f>
        <v>0</v>
      </c>
      <c r="J14">
        <f t="shared" si="0"/>
        <v>0</v>
      </c>
      <c r="K14">
        <f t="shared" si="1"/>
        <v>0</v>
      </c>
    </row>
    <row r="15" spans="1:16" x14ac:dyDescent="0.25">
      <c r="B15" t="s">
        <v>82</v>
      </c>
      <c r="D15">
        <v>0</v>
      </c>
      <c r="E15" t="str">
        <f>HYPERLINK(اضافات!N15)</f>
        <v>0</v>
      </c>
      <c r="F15" t="str">
        <f>HYPERLINK(اضافات!M15)</f>
        <v>0</v>
      </c>
      <c r="G15" t="str">
        <f>HYPERLINK(اضافات!F15)</f>
        <v>0</v>
      </c>
      <c r="H15" t="str">
        <f>HYPERLINK(اضافات!O15)</f>
        <v>0</v>
      </c>
      <c r="I15" t="str">
        <f>HYPERLINK(خصومات!L15)</f>
        <v>0</v>
      </c>
      <c r="J15">
        <f t="shared" si="0"/>
        <v>0</v>
      </c>
      <c r="K15">
        <f t="shared" si="1"/>
        <v>0</v>
      </c>
    </row>
    <row r="16" spans="1:16" x14ac:dyDescent="0.25">
      <c r="B16" t="s">
        <v>82</v>
      </c>
      <c r="D16">
        <v>0</v>
      </c>
      <c r="E16" t="str">
        <f>HYPERLINK(اضافات!N16)</f>
        <v>0</v>
      </c>
      <c r="F16" t="str">
        <f>HYPERLINK(اضافات!M16)</f>
        <v>0</v>
      </c>
      <c r="G16" t="str">
        <f>HYPERLINK(اضافات!F16)</f>
        <v>0</v>
      </c>
      <c r="H16" t="str">
        <f>HYPERLINK(اضافات!O16)</f>
        <v>0</v>
      </c>
      <c r="I16" t="str">
        <f>HYPERLINK(خصومات!L16)</f>
        <v>0</v>
      </c>
      <c r="J16">
        <f t="shared" si="0"/>
        <v>0</v>
      </c>
      <c r="K16">
        <f t="shared" si="1"/>
        <v>0</v>
      </c>
    </row>
    <row r="17" spans="1:12" x14ac:dyDescent="0.25">
      <c r="B17" t="s">
        <v>82</v>
      </c>
      <c r="D17">
        <v>0</v>
      </c>
      <c r="E17" t="str">
        <f>HYPERLINK(اضافات!N17)</f>
        <v>0</v>
      </c>
      <c r="F17" t="str">
        <f>HYPERLINK(اضافات!M17)</f>
        <v>0</v>
      </c>
      <c r="G17" t="str">
        <f>HYPERLINK(اضافات!F17)</f>
        <v>0</v>
      </c>
      <c r="H17" t="str">
        <f>HYPERLINK(اضافات!O17)</f>
        <v>0</v>
      </c>
      <c r="I17" t="str">
        <f>HYPERLINK(خصومات!L17)</f>
        <v>0</v>
      </c>
      <c r="J17">
        <f t="shared" si="0"/>
        <v>0</v>
      </c>
      <c r="K17">
        <f t="shared" si="1"/>
        <v>0</v>
      </c>
    </row>
    <row r="18" spans="1:12" x14ac:dyDescent="0.25">
      <c r="A18">
        <v>3</v>
      </c>
      <c r="B18" t="s">
        <v>0</v>
      </c>
      <c r="D18">
        <f>SUM(D4:D17)</f>
        <v>0</v>
      </c>
      <c r="E18">
        <f t="shared" ref="E18:K18" si="2">SUM(E4:E17)</f>
        <v>0</v>
      </c>
      <c r="F18">
        <f t="shared" si="2"/>
        <v>0</v>
      </c>
      <c r="G18">
        <f t="shared" si="2"/>
        <v>0</v>
      </c>
      <c r="H18">
        <f t="shared" si="2"/>
        <v>0</v>
      </c>
      <c r="I18">
        <f t="shared" si="2"/>
        <v>0</v>
      </c>
      <c r="J18">
        <f t="shared" si="2"/>
        <v>0</v>
      </c>
      <c r="K18">
        <f t="shared" si="2"/>
        <v>0</v>
      </c>
      <c r="L18">
        <f>SUM(K4:K17)</f>
        <v>0</v>
      </c>
    </row>
    <row r="19" spans="1:12" x14ac:dyDescent="0.25">
      <c r="A19">
        <v>1</v>
      </c>
      <c r="B19" t="s">
        <v>78</v>
      </c>
      <c r="D19">
        <v>0</v>
      </c>
      <c r="E19" t="str">
        <f>HYPERLINK(اضافات!N19)</f>
        <v>0</v>
      </c>
      <c r="F19" t="str">
        <f>HYPERLINK(اضافات!M19)</f>
        <v>0</v>
      </c>
      <c r="G19" t="str">
        <f>HYPERLINK(اضافات!F19)</f>
        <v>0</v>
      </c>
      <c r="H19" t="str">
        <f>HYPERLINK(اضافات!O19)</f>
        <v>0</v>
      </c>
      <c r="I19" t="str">
        <f>HYPERLINK(خصومات!L19)</f>
        <v>0</v>
      </c>
      <c r="J19">
        <f t="shared" si="0"/>
        <v>0</v>
      </c>
      <c r="K19">
        <f t="shared" si="1"/>
        <v>0</v>
      </c>
    </row>
    <row r="20" spans="1:12" x14ac:dyDescent="0.25">
      <c r="A20">
        <v>2</v>
      </c>
      <c r="B20" t="s">
        <v>64</v>
      </c>
      <c r="D20">
        <v>0</v>
      </c>
      <c r="E20" t="str">
        <f>HYPERLINK(اضافات!N20)</f>
        <v>0</v>
      </c>
      <c r="F20" t="str">
        <f>HYPERLINK(اضافات!M20)</f>
        <v>0</v>
      </c>
      <c r="G20" t="str">
        <f>HYPERLINK(اضافات!F20)</f>
        <v>0</v>
      </c>
      <c r="H20" t="str">
        <f>HYPERLINK(اضافات!O20)</f>
        <v>0</v>
      </c>
      <c r="I20" t="str">
        <f>HYPERLINK(خصومات!L20)</f>
        <v>0</v>
      </c>
      <c r="J20">
        <f t="shared" si="0"/>
        <v>0</v>
      </c>
      <c r="K20">
        <f t="shared" si="1"/>
        <v>0</v>
      </c>
    </row>
    <row r="21" spans="1:12" x14ac:dyDescent="0.25">
      <c r="A21">
        <v>3</v>
      </c>
      <c r="B21" t="s">
        <v>91</v>
      </c>
      <c r="D21">
        <v>0</v>
      </c>
      <c r="E21" t="str">
        <f>HYPERLINK(اضافات!N21)</f>
        <v>0</v>
      </c>
      <c r="F21" t="str">
        <f>HYPERLINK(اضافات!M21)</f>
        <v>0</v>
      </c>
      <c r="G21" t="str">
        <f>HYPERLINK(اضافات!F21)</f>
        <v>0</v>
      </c>
      <c r="H21" t="str">
        <f>HYPERLINK(اضافات!O21)</f>
        <v>0</v>
      </c>
      <c r="I21" t="str">
        <f>HYPERLINK(خصومات!L21)</f>
        <v>0</v>
      </c>
      <c r="J21">
        <f t="shared" si="0"/>
        <v>0</v>
      </c>
      <c r="K21">
        <f t="shared" si="1"/>
        <v>0</v>
      </c>
    </row>
    <row r="22" spans="1:12" x14ac:dyDescent="0.25">
      <c r="A22">
        <v>4</v>
      </c>
      <c r="B22" t="s">
        <v>65</v>
      </c>
      <c r="D22">
        <v>0</v>
      </c>
      <c r="E22" t="str">
        <f>HYPERLINK(اضافات!N22)</f>
        <v>0</v>
      </c>
      <c r="F22" t="str">
        <f>HYPERLINK(اضافات!M22)</f>
        <v>0</v>
      </c>
      <c r="G22" t="str">
        <f>HYPERLINK(اضافات!F22)</f>
        <v>0</v>
      </c>
      <c r="H22" t="str">
        <f>HYPERLINK(اضافات!O22)</f>
        <v>0</v>
      </c>
      <c r="I22" t="str">
        <f>HYPERLINK(خصومات!L22)</f>
        <v>0</v>
      </c>
      <c r="J22">
        <f t="shared" si="0"/>
        <v>0</v>
      </c>
      <c r="K22">
        <f t="shared" si="1"/>
        <v>0</v>
      </c>
    </row>
    <row r="23" spans="1:12" x14ac:dyDescent="0.25">
      <c r="A23">
        <v>5</v>
      </c>
      <c r="B23" t="s">
        <v>68</v>
      </c>
      <c r="D23">
        <v>0</v>
      </c>
      <c r="E23" t="str">
        <f>HYPERLINK(اضافات!N23)</f>
        <v>0</v>
      </c>
      <c r="F23" t="str">
        <f>HYPERLINK(اضافات!M23)</f>
        <v>0</v>
      </c>
      <c r="G23" t="str">
        <f>HYPERLINK(اضافات!F23)</f>
        <v>0</v>
      </c>
      <c r="H23" t="str">
        <f>HYPERLINK(اضافات!O23)</f>
        <v>0</v>
      </c>
      <c r="I23" t="str">
        <f>HYPERLINK(خصومات!L23)</f>
        <v>0</v>
      </c>
      <c r="J23">
        <f t="shared" si="0"/>
        <v>0</v>
      </c>
      <c r="K23">
        <f t="shared" si="1"/>
        <v>0</v>
      </c>
    </row>
    <row r="24" spans="1:12" x14ac:dyDescent="0.25">
      <c r="A24">
        <v>6</v>
      </c>
      <c r="B24" t="s">
        <v>127</v>
      </c>
      <c r="D24">
        <v>0</v>
      </c>
      <c r="E24" t="str">
        <f>HYPERLINK(اضافات!N24)</f>
        <v>0</v>
      </c>
      <c r="F24" t="str">
        <f>HYPERLINK(اضافات!M24)</f>
        <v>0</v>
      </c>
      <c r="G24" t="str">
        <f>HYPERLINK(اضافات!F24)</f>
        <v>0</v>
      </c>
      <c r="H24" t="str">
        <f>HYPERLINK(اضافات!O24)</f>
        <v>0</v>
      </c>
      <c r="I24" t="str">
        <f>HYPERLINK(خصومات!L24)</f>
        <v>0</v>
      </c>
      <c r="J24">
        <f t="shared" si="0"/>
        <v>0</v>
      </c>
      <c r="K24">
        <f t="shared" si="1"/>
        <v>0</v>
      </c>
    </row>
    <row r="25" spans="1:12" x14ac:dyDescent="0.25">
      <c r="A25">
        <v>7</v>
      </c>
      <c r="B25" t="s">
        <v>66</v>
      </c>
      <c r="D25">
        <v>0</v>
      </c>
      <c r="E25" t="str">
        <f>HYPERLINK(اضافات!N25)</f>
        <v>0</v>
      </c>
      <c r="F25" t="str">
        <f>HYPERLINK(اضافات!M25)</f>
        <v>0</v>
      </c>
      <c r="G25" t="str">
        <f>HYPERLINK(اضافات!F25)</f>
        <v>0</v>
      </c>
      <c r="H25" t="str">
        <f>HYPERLINK(اضافات!O25)</f>
        <v>0</v>
      </c>
      <c r="I25" t="str">
        <f>HYPERLINK(خصومات!L25)</f>
        <v>0</v>
      </c>
      <c r="J25">
        <f t="shared" si="0"/>
        <v>0</v>
      </c>
      <c r="K25">
        <f t="shared" si="1"/>
        <v>0</v>
      </c>
    </row>
    <row r="26" spans="1:12" x14ac:dyDescent="0.25">
      <c r="B26" t="s">
        <v>82</v>
      </c>
      <c r="D26">
        <v>0</v>
      </c>
      <c r="E26" t="str">
        <f>HYPERLINK(اضافات!N26)</f>
        <v>0</v>
      </c>
      <c r="F26" t="str">
        <f>HYPERLINK(اضافات!M26)</f>
        <v>0</v>
      </c>
      <c r="G26" t="str">
        <f>HYPERLINK(اضافات!F26)</f>
        <v>0</v>
      </c>
      <c r="H26" t="str">
        <f>HYPERLINK(اضافات!O26)</f>
        <v>0</v>
      </c>
      <c r="I26" t="str">
        <f>HYPERLINK(خصومات!L26)</f>
        <v>0</v>
      </c>
      <c r="J26">
        <f t="shared" si="0"/>
        <v>0</v>
      </c>
      <c r="K26">
        <f t="shared" si="1"/>
        <v>0</v>
      </c>
    </row>
    <row r="27" spans="1:12" x14ac:dyDescent="0.25">
      <c r="B27" t="s">
        <v>82</v>
      </c>
      <c r="D27">
        <v>0</v>
      </c>
      <c r="E27" t="str">
        <f>HYPERLINK(اضافات!N27)</f>
        <v>0</v>
      </c>
      <c r="F27" t="str">
        <f>HYPERLINK(اضافات!M27)</f>
        <v>0</v>
      </c>
      <c r="G27" t="str">
        <f>HYPERLINK(اضافات!F27)</f>
        <v>0</v>
      </c>
      <c r="H27" t="str">
        <f>HYPERLINK(اضافات!O27)</f>
        <v>0</v>
      </c>
      <c r="I27" t="str">
        <f>HYPERLINK(خصومات!L27)</f>
        <v>0</v>
      </c>
      <c r="J27">
        <f t="shared" si="0"/>
        <v>0</v>
      </c>
      <c r="K27">
        <f t="shared" si="1"/>
        <v>0</v>
      </c>
    </row>
    <row r="28" spans="1:12" x14ac:dyDescent="0.25">
      <c r="B28" t="s">
        <v>82</v>
      </c>
      <c r="D28">
        <v>0</v>
      </c>
      <c r="E28" t="str">
        <f>HYPERLINK(اضافات!N28)</f>
        <v>0</v>
      </c>
      <c r="F28" t="str">
        <f>HYPERLINK(اضافات!M28)</f>
        <v>0</v>
      </c>
      <c r="G28" t="str">
        <f>HYPERLINK(اضافات!F28)</f>
        <v>0</v>
      </c>
      <c r="H28" t="str">
        <f>HYPERLINK(اضافات!O28)</f>
        <v>0</v>
      </c>
      <c r="I28" t="str">
        <f>HYPERLINK(خصومات!L28)</f>
        <v>0</v>
      </c>
      <c r="J28">
        <f t="shared" si="0"/>
        <v>0</v>
      </c>
      <c r="K28">
        <f t="shared" si="1"/>
        <v>0</v>
      </c>
    </row>
    <row r="29" spans="1:12" x14ac:dyDescent="0.25">
      <c r="B29" t="s">
        <v>82</v>
      </c>
      <c r="D29">
        <v>0</v>
      </c>
      <c r="E29" t="str">
        <f>HYPERLINK(اضافات!N29)</f>
        <v>0</v>
      </c>
      <c r="F29" t="str">
        <f>HYPERLINK(اضافات!M29)</f>
        <v>0</v>
      </c>
      <c r="G29" t="str">
        <f>HYPERLINK(اضافات!F29)</f>
        <v>0</v>
      </c>
      <c r="H29" t="str">
        <f>HYPERLINK(اضافات!O29)</f>
        <v>0</v>
      </c>
      <c r="I29" t="str">
        <f>HYPERLINK(خصومات!L29)</f>
        <v>0</v>
      </c>
      <c r="J29">
        <f t="shared" si="0"/>
        <v>0</v>
      </c>
      <c r="K29">
        <f t="shared" si="1"/>
        <v>0</v>
      </c>
    </row>
    <row r="30" spans="1:12" x14ac:dyDescent="0.25">
      <c r="B30" t="s">
        <v>82</v>
      </c>
      <c r="D30">
        <v>0</v>
      </c>
      <c r="E30" t="str">
        <f>HYPERLINK(اضافات!N30)</f>
        <v>0</v>
      </c>
      <c r="F30" t="str">
        <f>HYPERLINK(اضافات!M30)</f>
        <v>0</v>
      </c>
      <c r="G30" t="str">
        <f>HYPERLINK(اضافات!F30)</f>
        <v>0</v>
      </c>
      <c r="H30" t="str">
        <f>HYPERLINK(اضافات!O30)</f>
        <v>0</v>
      </c>
      <c r="I30" t="str">
        <f>HYPERLINK(خصومات!L30)</f>
        <v>0</v>
      </c>
      <c r="J30">
        <f t="shared" si="0"/>
        <v>0</v>
      </c>
      <c r="K30">
        <f t="shared" si="1"/>
        <v>0</v>
      </c>
    </row>
    <row r="31" spans="1:12" x14ac:dyDescent="0.25">
      <c r="B31" t="s">
        <v>82</v>
      </c>
      <c r="D31">
        <v>0</v>
      </c>
      <c r="E31" t="str">
        <f>HYPERLINK(اضافات!N31)</f>
        <v>0</v>
      </c>
      <c r="F31" t="str">
        <f>HYPERLINK(اضافات!M31)</f>
        <v>0</v>
      </c>
      <c r="G31" t="str">
        <f>HYPERLINK(اضافات!F31)</f>
        <v>0</v>
      </c>
      <c r="H31" t="str">
        <f>HYPERLINK(اضافات!O31)</f>
        <v>0</v>
      </c>
      <c r="I31" t="str">
        <f>HYPERLINK(خصومات!L31)</f>
        <v>0</v>
      </c>
      <c r="J31">
        <f t="shared" si="0"/>
        <v>0</v>
      </c>
      <c r="K31">
        <f t="shared" si="1"/>
        <v>0</v>
      </c>
    </row>
    <row r="32" spans="1:12" x14ac:dyDescent="0.25">
      <c r="B32" t="s">
        <v>82</v>
      </c>
      <c r="D32">
        <v>0</v>
      </c>
      <c r="E32" t="str">
        <f>HYPERLINK(اضافات!N32)</f>
        <v>0</v>
      </c>
      <c r="F32" t="str">
        <f>HYPERLINK(اضافات!M32)</f>
        <v>0</v>
      </c>
      <c r="G32" t="str">
        <f>HYPERLINK(اضافات!F32)</f>
        <v>0</v>
      </c>
      <c r="H32" t="str">
        <f>HYPERLINK(اضافات!O32)</f>
        <v>0</v>
      </c>
      <c r="I32" t="str">
        <f>HYPERLINK(خصومات!L32)</f>
        <v>0</v>
      </c>
      <c r="J32">
        <f t="shared" si="0"/>
        <v>0</v>
      </c>
      <c r="K32">
        <f t="shared" si="1"/>
        <v>0</v>
      </c>
    </row>
    <row r="33" spans="1:11" x14ac:dyDescent="0.25">
      <c r="A33">
        <v>8</v>
      </c>
      <c r="B33" t="s">
        <v>83</v>
      </c>
      <c r="D33">
        <v>0</v>
      </c>
      <c r="E33" t="str">
        <f>HYPERLINK(اضافات!N33)</f>
        <v>0</v>
      </c>
      <c r="F33" t="str">
        <f>HYPERLINK(اضافات!M33)</f>
        <v>0</v>
      </c>
      <c r="G33" t="str">
        <f>HYPERLINK(اضافات!F33)</f>
        <v>0</v>
      </c>
      <c r="H33" t="str">
        <f>HYPERLINK(اضافات!O33)</f>
        <v>0</v>
      </c>
      <c r="I33" t="str">
        <f>HYPERLINK(خصومات!L33)</f>
        <v>0</v>
      </c>
      <c r="J33">
        <f t="shared" si="0"/>
        <v>0</v>
      </c>
      <c r="K33">
        <f t="shared" si="1"/>
        <v>0</v>
      </c>
    </row>
    <row r="34" spans="1:11" x14ac:dyDescent="0.25">
      <c r="A34">
        <v>9</v>
      </c>
      <c r="B34" t="s">
        <v>67</v>
      </c>
      <c r="D34">
        <v>0</v>
      </c>
      <c r="E34" t="str">
        <f>HYPERLINK(اضافات!N34)</f>
        <v>0</v>
      </c>
      <c r="F34" t="str">
        <f>HYPERLINK(اضافات!M34)</f>
        <v>0</v>
      </c>
      <c r="G34" t="str">
        <f>HYPERLINK(اضافات!F34)</f>
        <v>0</v>
      </c>
      <c r="H34" t="str">
        <f>HYPERLINK(اضافات!O34)</f>
        <v>0</v>
      </c>
      <c r="I34" t="str">
        <f>HYPERLINK(خصومات!L34)</f>
        <v>0</v>
      </c>
      <c r="J34">
        <f t="shared" si="0"/>
        <v>0</v>
      </c>
      <c r="K34">
        <f t="shared" si="1"/>
        <v>0</v>
      </c>
    </row>
    <row r="35" spans="1:11" x14ac:dyDescent="0.25">
      <c r="A35">
        <v>10</v>
      </c>
      <c r="B35" t="s">
        <v>136</v>
      </c>
      <c r="D35">
        <v>0</v>
      </c>
      <c r="E35" t="str">
        <f>HYPERLINK(اضافات!N35)</f>
        <v>0</v>
      </c>
      <c r="F35" t="str">
        <f>HYPERLINK(اضافات!M35)</f>
        <v>0</v>
      </c>
      <c r="G35" t="str">
        <f>HYPERLINK(اضافات!F35)</f>
        <v>0</v>
      </c>
      <c r="H35" t="str">
        <f>HYPERLINK(اضافات!O35)</f>
        <v>0</v>
      </c>
      <c r="I35" t="str">
        <f>HYPERLINK(خصومات!L35)</f>
        <v>0</v>
      </c>
      <c r="J35">
        <f t="shared" si="0"/>
        <v>0</v>
      </c>
      <c r="K35">
        <f t="shared" si="1"/>
        <v>0</v>
      </c>
    </row>
    <row r="36" spans="1:11" x14ac:dyDescent="0.25">
      <c r="B36" t="s">
        <v>82</v>
      </c>
      <c r="D36">
        <v>0</v>
      </c>
      <c r="E36" t="str">
        <f>HYPERLINK(اضافات!N36)</f>
        <v>0</v>
      </c>
      <c r="F36" t="str">
        <f>HYPERLINK(اضافات!M36)</f>
        <v>0</v>
      </c>
      <c r="G36" t="str">
        <f>HYPERLINK(اضافات!F36)</f>
        <v>0</v>
      </c>
      <c r="H36" t="str">
        <f>HYPERLINK(اضافات!O36)</f>
        <v>0</v>
      </c>
      <c r="I36" t="str">
        <f>HYPERLINK(خصومات!L36)</f>
        <v>0</v>
      </c>
      <c r="J36">
        <f t="shared" si="0"/>
        <v>0</v>
      </c>
      <c r="K36">
        <f t="shared" si="1"/>
        <v>0</v>
      </c>
    </row>
    <row r="37" spans="1:11" x14ac:dyDescent="0.25">
      <c r="B37" t="s">
        <v>82</v>
      </c>
      <c r="D37">
        <v>0</v>
      </c>
      <c r="E37" t="str">
        <f>HYPERLINK(اضافات!N37)</f>
        <v>0</v>
      </c>
      <c r="F37" t="str">
        <f>HYPERLINK(اضافات!M37)</f>
        <v>0</v>
      </c>
      <c r="G37" t="str">
        <f>HYPERLINK(اضافات!F37)</f>
        <v>0</v>
      </c>
      <c r="H37" t="str">
        <f>HYPERLINK(اضافات!O37)</f>
        <v>0</v>
      </c>
      <c r="I37" t="str">
        <f>HYPERLINK(خصومات!L37)</f>
        <v>0</v>
      </c>
      <c r="J37">
        <f t="shared" si="0"/>
        <v>0</v>
      </c>
      <c r="K37">
        <f t="shared" si="1"/>
        <v>0</v>
      </c>
    </row>
    <row r="38" spans="1:11" x14ac:dyDescent="0.25">
      <c r="B38" t="s">
        <v>82</v>
      </c>
      <c r="D38">
        <v>0</v>
      </c>
      <c r="E38" t="str">
        <f>HYPERLINK(اضافات!N38)</f>
        <v>0</v>
      </c>
      <c r="F38" t="str">
        <f>HYPERLINK(اضافات!M38)</f>
        <v>0</v>
      </c>
      <c r="G38" t="str">
        <f>HYPERLINK(اضافات!F38)</f>
        <v>0</v>
      </c>
      <c r="H38" t="str">
        <f>HYPERLINK(اضافات!O38)</f>
        <v>0</v>
      </c>
      <c r="I38" t="str">
        <f>HYPERLINK(خصومات!L38)</f>
        <v>0</v>
      </c>
      <c r="J38">
        <f t="shared" si="0"/>
        <v>0</v>
      </c>
      <c r="K38">
        <f t="shared" si="1"/>
        <v>0</v>
      </c>
    </row>
    <row r="39" spans="1:11" x14ac:dyDescent="0.25">
      <c r="B39" t="s">
        <v>82</v>
      </c>
      <c r="D39">
        <v>0</v>
      </c>
      <c r="E39" t="str">
        <f>HYPERLINK(اضافات!N39)</f>
        <v>0</v>
      </c>
      <c r="F39" t="str">
        <f>HYPERLINK(اضافات!M39)</f>
        <v>0</v>
      </c>
      <c r="G39" t="str">
        <f>HYPERLINK(اضافات!F39)</f>
        <v>0</v>
      </c>
      <c r="H39" t="str">
        <f>HYPERLINK(اضافات!O39)</f>
        <v>0</v>
      </c>
      <c r="I39" t="str">
        <f>HYPERLINK(خصومات!L39)</f>
        <v>0</v>
      </c>
      <c r="J39">
        <f t="shared" si="0"/>
        <v>0</v>
      </c>
      <c r="K39">
        <f t="shared" si="1"/>
        <v>0</v>
      </c>
    </row>
    <row r="40" spans="1:11" x14ac:dyDescent="0.25">
      <c r="B40" t="s">
        <v>82</v>
      </c>
      <c r="D40">
        <v>0</v>
      </c>
      <c r="E40" t="str">
        <f>HYPERLINK(اضافات!N40)</f>
        <v>0</v>
      </c>
      <c r="F40" t="str">
        <f>HYPERLINK(اضافات!M40)</f>
        <v>0</v>
      </c>
      <c r="G40" t="str">
        <f>HYPERLINK(اضافات!F40)</f>
        <v>0</v>
      </c>
      <c r="H40" t="str">
        <f>HYPERLINK(اضافات!O40)</f>
        <v>0</v>
      </c>
      <c r="I40" t="str">
        <f>HYPERLINK(خصومات!L40)</f>
        <v>0</v>
      </c>
      <c r="J40">
        <f t="shared" si="0"/>
        <v>0</v>
      </c>
      <c r="K40">
        <f t="shared" si="1"/>
        <v>0</v>
      </c>
    </row>
    <row r="41" spans="1:11" x14ac:dyDescent="0.25">
      <c r="B41" t="s">
        <v>82</v>
      </c>
      <c r="D41">
        <v>0</v>
      </c>
      <c r="E41" t="str">
        <f>HYPERLINK(اضافات!N41)</f>
        <v>0</v>
      </c>
      <c r="F41" t="str">
        <f>HYPERLINK(اضافات!M41)</f>
        <v>0</v>
      </c>
      <c r="G41" t="str">
        <f>HYPERLINK(اضافات!F41)</f>
        <v>0</v>
      </c>
      <c r="H41" t="str">
        <f>HYPERLINK(اضافات!O41)</f>
        <v>0</v>
      </c>
      <c r="I41" t="str">
        <f>HYPERLINK(خصومات!L41)</f>
        <v>0</v>
      </c>
      <c r="J41">
        <f t="shared" si="0"/>
        <v>0</v>
      </c>
      <c r="K41">
        <f t="shared" si="1"/>
        <v>0</v>
      </c>
    </row>
    <row r="42" spans="1:11" x14ac:dyDescent="0.25">
      <c r="B42" t="s">
        <v>82</v>
      </c>
      <c r="D42">
        <v>0</v>
      </c>
      <c r="E42" t="str">
        <f>HYPERLINK(اضافات!N42)</f>
        <v>0</v>
      </c>
      <c r="F42" t="str">
        <f>HYPERLINK(اضافات!M42)</f>
        <v>0</v>
      </c>
      <c r="G42" t="str">
        <f>HYPERLINK(اضافات!F42)</f>
        <v>0</v>
      </c>
      <c r="H42" t="str">
        <f>HYPERLINK(اضافات!O42)</f>
        <v>0</v>
      </c>
      <c r="I42" t="str">
        <f>HYPERLINK(خصومات!L42)</f>
        <v>0</v>
      </c>
      <c r="J42">
        <f t="shared" si="0"/>
        <v>0</v>
      </c>
      <c r="K42">
        <f t="shared" si="1"/>
        <v>0</v>
      </c>
    </row>
    <row r="43" spans="1:11" x14ac:dyDescent="0.25">
      <c r="B43" t="s">
        <v>82</v>
      </c>
      <c r="D43">
        <v>0</v>
      </c>
      <c r="E43" t="str">
        <f>HYPERLINK(اضافات!N43)</f>
        <v>0</v>
      </c>
      <c r="F43" t="str">
        <f>HYPERLINK(اضافات!M43)</f>
        <v>0</v>
      </c>
      <c r="G43" t="str">
        <f>HYPERLINK(اضافات!F43)</f>
        <v>0</v>
      </c>
      <c r="H43" t="str">
        <f>HYPERLINK(اضافات!O43)</f>
        <v>0</v>
      </c>
      <c r="I43" t="str">
        <f>HYPERLINK(خصومات!L43)</f>
        <v>0</v>
      </c>
      <c r="J43">
        <f t="shared" si="0"/>
        <v>0</v>
      </c>
      <c r="K43">
        <f t="shared" si="1"/>
        <v>0</v>
      </c>
    </row>
    <row r="44" spans="1:11" x14ac:dyDescent="0.25">
      <c r="B44" t="s">
        <v>82</v>
      </c>
      <c r="D44">
        <v>0</v>
      </c>
      <c r="E44" t="str">
        <f>HYPERLINK(اضافات!N44)</f>
        <v>0</v>
      </c>
      <c r="F44" t="str">
        <f>HYPERLINK(اضافات!M44)</f>
        <v>0</v>
      </c>
      <c r="G44" t="str">
        <f>HYPERLINK(اضافات!F44)</f>
        <v>0</v>
      </c>
      <c r="H44" t="str">
        <f>HYPERLINK(اضافات!O44)</f>
        <v>0</v>
      </c>
      <c r="I44" t="str">
        <f>HYPERLINK(خصومات!L44)</f>
        <v>0</v>
      </c>
      <c r="J44">
        <f t="shared" si="0"/>
        <v>0</v>
      </c>
      <c r="K44">
        <f t="shared" si="1"/>
        <v>0</v>
      </c>
    </row>
    <row r="45" spans="1:11" x14ac:dyDescent="0.25">
      <c r="A45">
        <v>11</v>
      </c>
      <c r="B45" t="s">
        <v>124</v>
      </c>
      <c r="D45">
        <v>0</v>
      </c>
      <c r="E45" t="str">
        <f>HYPERLINK(اضافات!N45)</f>
        <v>0</v>
      </c>
      <c r="F45" t="str">
        <f>HYPERLINK(اضافات!M45)</f>
        <v>0</v>
      </c>
      <c r="G45" t="str">
        <f>HYPERLINK(اضافات!F45)</f>
        <v>0</v>
      </c>
      <c r="H45" t="str">
        <f>HYPERLINK(اضافات!O45)</f>
        <v>0</v>
      </c>
      <c r="I45" t="str">
        <f>HYPERLINK(خصومات!L45)</f>
        <v>0</v>
      </c>
      <c r="J45">
        <f t="shared" si="0"/>
        <v>0</v>
      </c>
      <c r="K45">
        <f t="shared" si="1"/>
        <v>0</v>
      </c>
    </row>
    <row r="46" spans="1:11" x14ac:dyDescent="0.25">
      <c r="A46">
        <v>12</v>
      </c>
      <c r="B46" t="s">
        <v>133</v>
      </c>
      <c r="D46">
        <v>0</v>
      </c>
      <c r="E46" t="str">
        <f>HYPERLINK(اضافات!N46)</f>
        <v>0</v>
      </c>
      <c r="F46" t="str">
        <f>HYPERLINK(اضافات!M46)</f>
        <v>0</v>
      </c>
      <c r="G46" t="str">
        <f>HYPERLINK(اضافات!F46)</f>
        <v>0</v>
      </c>
      <c r="H46" t="str">
        <f>HYPERLINK(اضافات!O46)</f>
        <v>0</v>
      </c>
      <c r="I46" t="str">
        <f>HYPERLINK(خصومات!L46)</f>
        <v>0</v>
      </c>
      <c r="J46">
        <f t="shared" si="0"/>
        <v>0</v>
      </c>
      <c r="K46">
        <f t="shared" si="1"/>
        <v>0</v>
      </c>
    </row>
    <row r="47" spans="1:11" x14ac:dyDescent="0.25">
      <c r="A47">
        <v>13</v>
      </c>
      <c r="B47" t="s">
        <v>134</v>
      </c>
      <c r="D47">
        <v>0</v>
      </c>
      <c r="E47" t="str">
        <f>HYPERLINK(اضافات!N47)</f>
        <v>0</v>
      </c>
      <c r="F47" t="str">
        <f>HYPERLINK(اضافات!M47)</f>
        <v>0</v>
      </c>
      <c r="G47" t="str">
        <f>HYPERLINK(اضافات!F47)</f>
        <v>0</v>
      </c>
      <c r="H47" t="str">
        <f>HYPERLINK(اضافات!O47)</f>
        <v>0</v>
      </c>
      <c r="I47" t="str">
        <f>HYPERLINK(خصومات!L47)</f>
        <v>0</v>
      </c>
      <c r="J47">
        <f t="shared" si="0"/>
        <v>0</v>
      </c>
      <c r="K47">
        <f t="shared" si="1"/>
        <v>0</v>
      </c>
    </row>
    <row r="48" spans="1:11" x14ac:dyDescent="0.25">
      <c r="A48">
        <v>14</v>
      </c>
      <c r="B48" t="s">
        <v>135</v>
      </c>
      <c r="D48">
        <v>0</v>
      </c>
      <c r="E48" t="str">
        <f>HYPERLINK(اضافات!N48)</f>
        <v>0</v>
      </c>
      <c r="F48" t="str">
        <f>HYPERLINK(اضافات!M48)</f>
        <v>0</v>
      </c>
      <c r="G48" t="str">
        <f>HYPERLINK(اضافات!F48)</f>
        <v>0</v>
      </c>
      <c r="H48" t="str">
        <f>HYPERLINK(اضافات!O48)</f>
        <v>0</v>
      </c>
      <c r="I48" t="str">
        <f>HYPERLINK(خصومات!L48)</f>
        <v>0</v>
      </c>
      <c r="J48">
        <f t="shared" si="0"/>
        <v>0</v>
      </c>
      <c r="K48">
        <f t="shared" si="1"/>
        <v>0</v>
      </c>
    </row>
    <row r="49" spans="1:12" x14ac:dyDescent="0.25">
      <c r="A49">
        <v>15</v>
      </c>
      <c r="B49" t="s">
        <v>147</v>
      </c>
      <c r="D49">
        <v>0</v>
      </c>
      <c r="E49" t="str">
        <f>HYPERLINK(اضافات!N49)</f>
        <v>0</v>
      </c>
      <c r="F49" t="str">
        <f>HYPERLINK(اضافات!M49)</f>
        <v>0</v>
      </c>
      <c r="G49" t="str">
        <f>HYPERLINK(اضافات!F49)</f>
        <v>0</v>
      </c>
      <c r="H49" t="str">
        <f>HYPERLINK(اضافات!O49)</f>
        <v>0</v>
      </c>
      <c r="I49" t="str">
        <f>HYPERLINK(خصومات!L49)</f>
        <v>0</v>
      </c>
      <c r="J49">
        <f t="shared" si="0"/>
        <v>0</v>
      </c>
      <c r="K49">
        <f t="shared" si="1"/>
        <v>0</v>
      </c>
    </row>
    <row r="50" spans="1:12" x14ac:dyDescent="0.25">
      <c r="B50" t="s">
        <v>82</v>
      </c>
      <c r="D50">
        <v>0</v>
      </c>
      <c r="E50" t="str">
        <f>HYPERLINK(اضافات!N50)</f>
        <v>0</v>
      </c>
      <c r="F50" t="str">
        <f>HYPERLINK(اضافات!M50)</f>
        <v>0</v>
      </c>
      <c r="G50" t="str">
        <f>HYPERLINK(اضافات!F50)</f>
        <v>0</v>
      </c>
      <c r="H50" t="str">
        <f>HYPERLINK(اضافات!O50)</f>
        <v>0</v>
      </c>
      <c r="I50" t="str">
        <f>HYPERLINK(خصومات!L50)</f>
        <v>0</v>
      </c>
      <c r="J50">
        <f t="shared" si="0"/>
        <v>0</v>
      </c>
      <c r="K50">
        <f t="shared" si="1"/>
        <v>0</v>
      </c>
    </row>
    <row r="51" spans="1:12" x14ac:dyDescent="0.25">
      <c r="B51" t="s">
        <v>82</v>
      </c>
      <c r="D51">
        <v>0</v>
      </c>
      <c r="E51" t="str">
        <f>HYPERLINK(اضافات!N51)</f>
        <v>0</v>
      </c>
      <c r="F51" t="str">
        <f>HYPERLINK(اضافات!M51)</f>
        <v>0</v>
      </c>
      <c r="G51" t="str">
        <f>HYPERLINK(اضافات!F51)</f>
        <v>0</v>
      </c>
      <c r="H51" t="str">
        <f>HYPERLINK(اضافات!O51)</f>
        <v>0</v>
      </c>
      <c r="I51" t="str">
        <f>HYPERLINK(خصومات!L51)</f>
        <v>0</v>
      </c>
      <c r="J51">
        <f t="shared" si="0"/>
        <v>0</v>
      </c>
      <c r="K51">
        <f t="shared" si="1"/>
        <v>0</v>
      </c>
    </row>
    <row r="52" spans="1:12" x14ac:dyDescent="0.25">
      <c r="B52" t="s">
        <v>82</v>
      </c>
      <c r="D52">
        <v>0</v>
      </c>
      <c r="E52" t="str">
        <f>HYPERLINK(اضافات!N52)</f>
        <v>0</v>
      </c>
      <c r="F52" t="str">
        <f>HYPERLINK(اضافات!M52)</f>
        <v>0</v>
      </c>
      <c r="G52" t="str">
        <f>HYPERLINK(اضافات!F52)</f>
        <v>0</v>
      </c>
      <c r="H52" t="str">
        <f>HYPERLINK(اضافات!O52)</f>
        <v>0</v>
      </c>
      <c r="I52" t="str">
        <f>HYPERLINK(خصومات!L52)</f>
        <v>0</v>
      </c>
      <c r="J52">
        <f t="shared" si="0"/>
        <v>0</v>
      </c>
      <c r="K52">
        <f t="shared" si="1"/>
        <v>0</v>
      </c>
    </row>
    <row r="53" spans="1:12" x14ac:dyDescent="0.25">
      <c r="B53" t="s">
        <v>82</v>
      </c>
      <c r="D53">
        <v>0</v>
      </c>
      <c r="E53" t="str">
        <f>HYPERLINK(اضافات!N53)</f>
        <v>0</v>
      </c>
      <c r="F53" t="str">
        <f>HYPERLINK(اضافات!M53)</f>
        <v>0</v>
      </c>
      <c r="G53" t="str">
        <f>HYPERLINK(اضافات!F53)</f>
        <v>0</v>
      </c>
      <c r="H53" t="str">
        <f>HYPERLINK(اضافات!O53)</f>
        <v>0</v>
      </c>
      <c r="I53" t="str">
        <f>HYPERLINK(خصومات!L53)</f>
        <v>0</v>
      </c>
      <c r="J53">
        <f t="shared" si="0"/>
        <v>0</v>
      </c>
      <c r="K53">
        <f t="shared" si="1"/>
        <v>0</v>
      </c>
    </row>
    <row r="54" spans="1:12" x14ac:dyDescent="0.25">
      <c r="B54" t="s">
        <v>82</v>
      </c>
      <c r="D54">
        <v>0</v>
      </c>
      <c r="E54" t="str">
        <f>HYPERLINK(اضافات!N54)</f>
        <v>0</v>
      </c>
      <c r="F54" t="str">
        <f>HYPERLINK(اضافات!M54)</f>
        <v>0</v>
      </c>
      <c r="G54" t="str">
        <f>HYPERLINK(اضافات!F54)</f>
        <v>0</v>
      </c>
      <c r="H54" t="str">
        <f>HYPERLINK(اضافات!O54)</f>
        <v>0</v>
      </c>
      <c r="I54" t="str">
        <f>HYPERLINK(خصومات!L54)</f>
        <v>0</v>
      </c>
      <c r="J54">
        <f t="shared" si="0"/>
        <v>0</v>
      </c>
      <c r="K54">
        <f t="shared" si="1"/>
        <v>0</v>
      </c>
    </row>
    <row r="55" spans="1:12" x14ac:dyDescent="0.25">
      <c r="B55" t="s">
        <v>82</v>
      </c>
      <c r="D55">
        <v>0</v>
      </c>
      <c r="E55" t="str">
        <f>HYPERLINK(اضافات!N55)</f>
        <v>0</v>
      </c>
      <c r="F55" t="str">
        <f>HYPERLINK(اضافات!M55)</f>
        <v>0</v>
      </c>
      <c r="G55" t="str">
        <f>HYPERLINK(اضافات!F55)</f>
        <v>0</v>
      </c>
      <c r="H55" t="str">
        <f>HYPERLINK(اضافات!O55)</f>
        <v>0</v>
      </c>
      <c r="I55" t="str">
        <f>HYPERLINK(خصومات!L55)</f>
        <v>0</v>
      </c>
      <c r="J55">
        <f t="shared" si="0"/>
        <v>0</v>
      </c>
      <c r="K55">
        <f t="shared" si="1"/>
        <v>0</v>
      </c>
    </row>
    <row r="56" spans="1:12" x14ac:dyDescent="0.25">
      <c r="A56">
        <v>15</v>
      </c>
      <c r="B56" t="s">
        <v>79</v>
      </c>
      <c r="D56">
        <f>SUM(D19:D55)</f>
        <v>0</v>
      </c>
      <c r="E56">
        <f t="shared" ref="E56:K56" si="3">SUM(E19:E55)</f>
        <v>0</v>
      </c>
      <c r="F56">
        <f t="shared" si="3"/>
        <v>0</v>
      </c>
      <c r="G56">
        <f t="shared" si="3"/>
        <v>0</v>
      </c>
      <c r="H56">
        <f t="shared" si="3"/>
        <v>0</v>
      </c>
      <c r="I56">
        <f t="shared" si="3"/>
        <v>0</v>
      </c>
      <c r="J56">
        <f t="shared" si="3"/>
        <v>0</v>
      </c>
      <c r="K56">
        <f t="shared" si="3"/>
        <v>0</v>
      </c>
      <c r="L56">
        <f>SUM(K19:K55)</f>
        <v>0</v>
      </c>
    </row>
    <row r="57" spans="1:12" x14ac:dyDescent="0.25">
      <c r="A57">
        <v>1</v>
      </c>
      <c r="B57" t="s">
        <v>71</v>
      </c>
      <c r="D57">
        <v>0</v>
      </c>
      <c r="E57" t="str">
        <f>HYPERLINK(اضافات!N57)</f>
        <v>0</v>
      </c>
      <c r="F57" t="str">
        <f>HYPERLINK(اضافات!M57)</f>
        <v>0</v>
      </c>
      <c r="G57" t="str">
        <f>HYPERLINK(اضافات!F57)</f>
        <v>0</v>
      </c>
      <c r="H57" t="str">
        <f>HYPERLINK(اضافات!O57)</f>
        <v>0</v>
      </c>
      <c r="I57" t="str">
        <f>HYPERLINK(خصومات!L57)</f>
        <v>0</v>
      </c>
      <c r="J57">
        <f t="shared" si="0"/>
        <v>0</v>
      </c>
      <c r="K57">
        <f t="shared" si="1"/>
        <v>0</v>
      </c>
    </row>
    <row r="58" spans="1:12" x14ac:dyDescent="0.25">
      <c r="A58">
        <v>2</v>
      </c>
      <c r="B58" t="s">
        <v>132</v>
      </c>
      <c r="D58">
        <v>0</v>
      </c>
      <c r="E58" t="str">
        <f>HYPERLINK(اضافات!N58)</f>
        <v>0</v>
      </c>
      <c r="F58" t="str">
        <f>HYPERLINK(اضافات!M58)</f>
        <v>0</v>
      </c>
      <c r="G58" t="str">
        <f>HYPERLINK(اضافات!F58)</f>
        <v>0</v>
      </c>
      <c r="H58" t="str">
        <f>HYPERLINK(اضافات!O58)</f>
        <v>0</v>
      </c>
      <c r="I58" t="str">
        <f>HYPERLINK(خصومات!L58)</f>
        <v>0</v>
      </c>
      <c r="J58">
        <f t="shared" si="0"/>
        <v>0</v>
      </c>
      <c r="K58">
        <f t="shared" si="1"/>
        <v>0</v>
      </c>
    </row>
    <row r="59" spans="1:12" x14ac:dyDescent="0.25">
      <c r="B59" t="s">
        <v>95</v>
      </c>
      <c r="D59">
        <v>0</v>
      </c>
      <c r="E59" t="str">
        <f>HYPERLINK(اضافات!N59)</f>
        <v>0</v>
      </c>
      <c r="F59" t="str">
        <f>HYPERLINK(اضافات!M59)</f>
        <v>0</v>
      </c>
      <c r="G59" t="str">
        <f>HYPERLINK(اضافات!F59)</f>
        <v>0</v>
      </c>
      <c r="H59" t="str">
        <f>HYPERLINK(اضافات!O59)</f>
        <v>0</v>
      </c>
      <c r="I59" t="str">
        <f>HYPERLINK(خصومات!L59)</f>
        <v>0</v>
      </c>
      <c r="J59">
        <f t="shared" si="0"/>
        <v>0</v>
      </c>
      <c r="K59">
        <f t="shared" si="1"/>
        <v>0</v>
      </c>
    </row>
    <row r="60" spans="1:12" x14ac:dyDescent="0.25">
      <c r="B60" t="s">
        <v>95</v>
      </c>
      <c r="D60">
        <v>0</v>
      </c>
      <c r="E60" t="str">
        <f>HYPERLINK(اضافات!N60)</f>
        <v>0</v>
      </c>
      <c r="F60" t="str">
        <f>HYPERLINK(اضافات!M60)</f>
        <v>0</v>
      </c>
      <c r="G60" t="str">
        <f>HYPERLINK(اضافات!F60)</f>
        <v>0</v>
      </c>
      <c r="H60" t="str">
        <f>HYPERLINK(اضافات!O60)</f>
        <v>0</v>
      </c>
      <c r="I60" t="str">
        <f>HYPERLINK(خصومات!L60)</f>
        <v>0</v>
      </c>
      <c r="J60">
        <f t="shared" si="0"/>
        <v>0</v>
      </c>
      <c r="K60">
        <f t="shared" si="1"/>
        <v>0</v>
      </c>
    </row>
    <row r="61" spans="1:12" x14ac:dyDescent="0.25">
      <c r="B61" t="s">
        <v>95</v>
      </c>
      <c r="D61">
        <v>0</v>
      </c>
      <c r="E61" t="str">
        <f>HYPERLINK(اضافات!N61)</f>
        <v>0</v>
      </c>
      <c r="F61" t="str">
        <f>HYPERLINK(اضافات!M61)</f>
        <v>0</v>
      </c>
      <c r="G61" t="str">
        <f>HYPERLINK(اضافات!F61)</f>
        <v>0</v>
      </c>
      <c r="H61" t="str">
        <f>HYPERLINK(اضافات!O61)</f>
        <v>0</v>
      </c>
      <c r="I61" t="str">
        <f>HYPERLINK(خصومات!L61)</f>
        <v>0</v>
      </c>
      <c r="J61">
        <f t="shared" si="0"/>
        <v>0</v>
      </c>
      <c r="K61">
        <f t="shared" si="1"/>
        <v>0</v>
      </c>
    </row>
    <row r="62" spans="1:12" x14ac:dyDescent="0.25">
      <c r="A62">
        <v>3</v>
      </c>
      <c r="B62" t="s">
        <v>70</v>
      </c>
      <c r="D62">
        <v>0</v>
      </c>
      <c r="E62" t="str">
        <f>HYPERLINK(اضافات!N62)</f>
        <v>0</v>
      </c>
      <c r="F62" t="str">
        <f>HYPERLINK(اضافات!M62)</f>
        <v>0</v>
      </c>
      <c r="G62" t="str">
        <f>HYPERLINK(اضافات!F62)</f>
        <v>0</v>
      </c>
      <c r="H62" t="str">
        <f>HYPERLINK(اضافات!O62)</f>
        <v>0</v>
      </c>
      <c r="I62" t="str">
        <f>HYPERLINK(خصومات!L62)</f>
        <v>0</v>
      </c>
      <c r="J62">
        <f t="shared" si="0"/>
        <v>0</v>
      </c>
      <c r="K62">
        <f t="shared" si="1"/>
        <v>0</v>
      </c>
    </row>
    <row r="63" spans="1:12" x14ac:dyDescent="0.25">
      <c r="A63">
        <v>4</v>
      </c>
      <c r="B63" t="s">
        <v>75</v>
      </c>
      <c r="D63">
        <v>0</v>
      </c>
      <c r="E63" t="str">
        <f>HYPERLINK(اضافات!N63)</f>
        <v>0</v>
      </c>
      <c r="F63" t="str">
        <f>HYPERLINK(اضافات!M63)</f>
        <v>0</v>
      </c>
      <c r="G63" t="str">
        <f>HYPERLINK(اضافات!F63)</f>
        <v>0</v>
      </c>
      <c r="H63" t="str">
        <f>HYPERLINK(اضافات!O63)</f>
        <v>0</v>
      </c>
      <c r="I63" t="str">
        <f>HYPERLINK(خصومات!L63)</f>
        <v>0</v>
      </c>
      <c r="J63">
        <f t="shared" si="0"/>
        <v>0</v>
      </c>
      <c r="K63">
        <f t="shared" si="1"/>
        <v>0</v>
      </c>
    </row>
    <row r="64" spans="1:12" x14ac:dyDescent="0.25">
      <c r="B64" t="s">
        <v>94</v>
      </c>
      <c r="D64">
        <v>0</v>
      </c>
      <c r="E64" t="str">
        <f>HYPERLINK(اضافات!N64)</f>
        <v>0</v>
      </c>
      <c r="F64" t="str">
        <f>HYPERLINK(اضافات!M64)</f>
        <v>0</v>
      </c>
      <c r="G64" t="str">
        <f>HYPERLINK(اضافات!F64)</f>
        <v>0</v>
      </c>
      <c r="H64" t="str">
        <f>HYPERLINK(اضافات!O64)</f>
        <v>0</v>
      </c>
      <c r="I64" t="str">
        <f>HYPERLINK(خصومات!L64)</f>
        <v>0</v>
      </c>
      <c r="J64">
        <f t="shared" si="0"/>
        <v>0</v>
      </c>
      <c r="K64">
        <f t="shared" si="1"/>
        <v>0</v>
      </c>
    </row>
    <row r="65" spans="1:11" x14ac:dyDescent="0.25">
      <c r="B65" t="s">
        <v>94</v>
      </c>
      <c r="D65">
        <v>0</v>
      </c>
      <c r="E65" t="str">
        <f>HYPERLINK(اضافات!N65)</f>
        <v>0</v>
      </c>
      <c r="F65" t="str">
        <f>HYPERLINK(اضافات!M65)</f>
        <v>0</v>
      </c>
      <c r="G65" t="str">
        <f>HYPERLINK(اضافات!F65)</f>
        <v>0</v>
      </c>
      <c r="H65" t="str">
        <f>HYPERLINK(اضافات!O65)</f>
        <v>0</v>
      </c>
      <c r="I65" t="str">
        <f>HYPERLINK(خصومات!L65)</f>
        <v>0</v>
      </c>
      <c r="J65">
        <f t="shared" si="0"/>
        <v>0</v>
      </c>
      <c r="K65">
        <f t="shared" si="1"/>
        <v>0</v>
      </c>
    </row>
    <row r="66" spans="1:11" x14ac:dyDescent="0.25">
      <c r="B66" t="s">
        <v>94</v>
      </c>
      <c r="D66">
        <v>0</v>
      </c>
      <c r="E66" t="str">
        <f>HYPERLINK(اضافات!N66)</f>
        <v>0</v>
      </c>
      <c r="F66" t="str">
        <f>HYPERLINK(اضافات!M66)</f>
        <v>0</v>
      </c>
      <c r="G66" t="str">
        <f>HYPERLINK(اضافات!F66)</f>
        <v>0</v>
      </c>
      <c r="H66" t="str">
        <f>HYPERLINK(اضافات!O66)</f>
        <v>0</v>
      </c>
      <c r="I66" t="str">
        <f>HYPERLINK(خصومات!L66)</f>
        <v>0</v>
      </c>
      <c r="J66">
        <f t="shared" si="0"/>
        <v>0</v>
      </c>
      <c r="K66">
        <f t="shared" si="1"/>
        <v>0</v>
      </c>
    </row>
    <row r="67" spans="1:11" x14ac:dyDescent="0.25">
      <c r="B67" t="s">
        <v>94</v>
      </c>
      <c r="D67">
        <v>0</v>
      </c>
      <c r="E67" t="str">
        <f>HYPERLINK(اضافات!N67)</f>
        <v>0</v>
      </c>
      <c r="F67" t="str">
        <f>HYPERLINK(اضافات!M67)</f>
        <v>0</v>
      </c>
      <c r="G67" t="str">
        <f>HYPERLINK(اضافات!F67)</f>
        <v>0</v>
      </c>
      <c r="H67" t="str">
        <f>HYPERLINK(اضافات!O67)</f>
        <v>0</v>
      </c>
      <c r="I67" t="str">
        <f>HYPERLINK(خصومات!L67)</f>
        <v>0</v>
      </c>
      <c r="J67">
        <f t="shared" si="0"/>
        <v>0</v>
      </c>
      <c r="K67">
        <f t="shared" si="1"/>
        <v>0</v>
      </c>
    </row>
    <row r="68" spans="1:11" x14ac:dyDescent="0.25">
      <c r="A68">
        <v>5</v>
      </c>
      <c r="B68" t="s">
        <v>137</v>
      </c>
      <c r="D68">
        <v>0</v>
      </c>
      <c r="E68" t="str">
        <f>HYPERLINK(اضافات!N68)</f>
        <v>0</v>
      </c>
      <c r="F68" t="str">
        <f>HYPERLINK(اضافات!M68)</f>
        <v>0</v>
      </c>
      <c r="G68" t="str">
        <f>HYPERLINK(اضافات!F68)</f>
        <v>0</v>
      </c>
      <c r="H68" t="str">
        <f>HYPERLINK(اضافات!O68)</f>
        <v>0</v>
      </c>
      <c r="I68" t="str">
        <f>HYPERLINK(خصومات!L68)</f>
        <v>0</v>
      </c>
      <c r="J68">
        <f t="shared" si="0"/>
        <v>0</v>
      </c>
      <c r="K68">
        <f t="shared" si="1"/>
        <v>0</v>
      </c>
    </row>
    <row r="69" spans="1:11" x14ac:dyDescent="0.25">
      <c r="A69">
        <v>6</v>
      </c>
      <c r="B69" t="s">
        <v>131</v>
      </c>
      <c r="D69">
        <v>0</v>
      </c>
      <c r="E69" t="str">
        <f>HYPERLINK(اضافات!N69)</f>
        <v>0</v>
      </c>
      <c r="F69" t="str">
        <f>HYPERLINK(اضافات!M69)</f>
        <v>0</v>
      </c>
      <c r="G69" t="str">
        <f>HYPERLINK(اضافات!F69)</f>
        <v>0</v>
      </c>
      <c r="H69" t="str">
        <f>HYPERLINK(اضافات!O69)</f>
        <v>0</v>
      </c>
      <c r="I69" t="str">
        <f>HYPERLINK(خصومات!L69)</f>
        <v>0</v>
      </c>
      <c r="J69">
        <f t="shared" ref="J69:J117" si="4">SUM(D69,VALUE(E69),VALUE(F69),VALUE(G69))</f>
        <v>0</v>
      </c>
      <c r="K69">
        <f t="shared" ref="K69:K100" si="5">VALUE(D69)+VALUE(G69)+VALUE(H69)-VALUE(I69)</f>
        <v>0</v>
      </c>
    </row>
    <row r="70" spans="1:11" x14ac:dyDescent="0.25">
      <c r="A70">
        <v>0</v>
      </c>
      <c r="B70" t="s">
        <v>96</v>
      </c>
      <c r="D70">
        <v>0</v>
      </c>
      <c r="E70" t="str">
        <f>HYPERLINK(اضافات!N70)</f>
        <v>0</v>
      </c>
      <c r="F70" t="str">
        <f>HYPERLINK(اضافات!M70)</f>
        <v>0</v>
      </c>
      <c r="G70" t="str">
        <f>HYPERLINK(اضافات!F70)</f>
        <v>0</v>
      </c>
      <c r="H70" t="str">
        <f>HYPERLINK(اضافات!O70)</f>
        <v>0</v>
      </c>
      <c r="I70" t="str">
        <f>HYPERLINK(خصومات!L70)</f>
        <v>0</v>
      </c>
      <c r="J70">
        <f t="shared" si="4"/>
        <v>0</v>
      </c>
      <c r="K70">
        <f t="shared" si="5"/>
        <v>0</v>
      </c>
    </row>
    <row r="71" spans="1:11" x14ac:dyDescent="0.25">
      <c r="A71">
        <v>7</v>
      </c>
      <c r="B71" t="s">
        <v>138</v>
      </c>
      <c r="D71">
        <v>0</v>
      </c>
      <c r="E71" t="str">
        <f>HYPERLINK(اضافات!N71)</f>
        <v>0</v>
      </c>
      <c r="F71" t="str">
        <f>HYPERLINK(اضافات!M71)</f>
        <v>0</v>
      </c>
      <c r="G71" t="str">
        <f>HYPERLINK(اضافات!F71)</f>
        <v>0</v>
      </c>
      <c r="H71" t="str">
        <f>HYPERLINK(اضافات!O71)</f>
        <v>0</v>
      </c>
      <c r="I71" t="str">
        <f>HYPERLINK(خصومات!L71)</f>
        <v>0</v>
      </c>
      <c r="J71">
        <f t="shared" si="4"/>
        <v>0</v>
      </c>
      <c r="K71">
        <f t="shared" si="5"/>
        <v>0</v>
      </c>
    </row>
    <row r="72" spans="1:11" x14ac:dyDescent="0.25">
      <c r="A72">
        <v>8</v>
      </c>
      <c r="B72" t="s">
        <v>74</v>
      </c>
      <c r="D72">
        <v>0</v>
      </c>
      <c r="E72" t="str">
        <f>HYPERLINK(اضافات!N72)</f>
        <v>0</v>
      </c>
      <c r="F72" t="str">
        <f>HYPERLINK(اضافات!M72)</f>
        <v>0</v>
      </c>
      <c r="G72" t="str">
        <f>HYPERLINK(اضافات!F72)</f>
        <v>0</v>
      </c>
      <c r="H72" t="str">
        <f>HYPERLINK(اضافات!O72)</f>
        <v>0</v>
      </c>
      <c r="I72" t="str">
        <f>HYPERLINK(خصومات!L72)</f>
        <v>0</v>
      </c>
      <c r="J72">
        <f t="shared" si="4"/>
        <v>0</v>
      </c>
      <c r="K72">
        <f t="shared" si="5"/>
        <v>0</v>
      </c>
    </row>
    <row r="73" spans="1:11" x14ac:dyDescent="0.25">
      <c r="A73">
        <v>9</v>
      </c>
      <c r="B73" t="s">
        <v>125</v>
      </c>
      <c r="D73">
        <v>0</v>
      </c>
      <c r="E73" t="str">
        <f>HYPERLINK(اضافات!N73)</f>
        <v>0</v>
      </c>
      <c r="F73" t="str">
        <f>HYPERLINK(اضافات!M73)</f>
        <v>0</v>
      </c>
      <c r="G73" t="str">
        <f>HYPERLINK(اضافات!F73)</f>
        <v>0</v>
      </c>
      <c r="H73" t="str">
        <f>HYPERLINK(اضافات!O73)</f>
        <v>0</v>
      </c>
      <c r="I73" t="str">
        <f>HYPERLINK(خصومات!L73)</f>
        <v>0</v>
      </c>
      <c r="J73">
        <f t="shared" si="4"/>
        <v>0</v>
      </c>
      <c r="K73">
        <f t="shared" si="5"/>
        <v>0</v>
      </c>
    </row>
    <row r="74" spans="1:11" x14ac:dyDescent="0.25">
      <c r="A74">
        <v>10</v>
      </c>
      <c r="B74" t="s">
        <v>73</v>
      </c>
      <c r="D74">
        <v>0</v>
      </c>
      <c r="E74" t="str">
        <f>HYPERLINK(اضافات!N74)</f>
        <v>0</v>
      </c>
      <c r="F74" t="str">
        <f>HYPERLINK(اضافات!M74)</f>
        <v>0</v>
      </c>
      <c r="G74" t="str">
        <f>HYPERLINK(اضافات!F74)</f>
        <v>0</v>
      </c>
      <c r="H74" t="str">
        <f>HYPERLINK(اضافات!O74)</f>
        <v>0</v>
      </c>
      <c r="I74" t="str">
        <f>HYPERLINK(خصومات!L74)</f>
        <v>0</v>
      </c>
      <c r="J74">
        <f t="shared" si="4"/>
        <v>0</v>
      </c>
      <c r="K74">
        <f t="shared" si="5"/>
        <v>0</v>
      </c>
    </row>
    <row r="75" spans="1:11" x14ac:dyDescent="0.25">
      <c r="A75">
        <v>11</v>
      </c>
      <c r="B75" t="s">
        <v>144</v>
      </c>
      <c r="D75">
        <v>0</v>
      </c>
      <c r="E75" t="str">
        <f>HYPERLINK(اضافات!N75)</f>
        <v>0</v>
      </c>
      <c r="F75" t="str">
        <f>HYPERLINK(اضافات!M75)</f>
        <v>0</v>
      </c>
      <c r="G75" t="str">
        <f>HYPERLINK(اضافات!F75)</f>
        <v>0</v>
      </c>
      <c r="H75" t="str">
        <f>HYPERLINK(اضافات!O75)</f>
        <v>0</v>
      </c>
      <c r="I75" t="str">
        <f>HYPERLINK(خصومات!L75)</f>
        <v>0</v>
      </c>
      <c r="J75">
        <f t="shared" si="4"/>
        <v>0</v>
      </c>
      <c r="K75">
        <f t="shared" si="5"/>
        <v>0</v>
      </c>
    </row>
    <row r="76" spans="1:11" x14ac:dyDescent="0.25">
      <c r="A76">
        <v>12</v>
      </c>
      <c r="B76" t="s">
        <v>139</v>
      </c>
      <c r="D76">
        <v>0</v>
      </c>
      <c r="E76" t="str">
        <f>HYPERLINK(اضافات!N76)</f>
        <v>0</v>
      </c>
      <c r="F76" t="str">
        <f>HYPERLINK(اضافات!M76)</f>
        <v>0</v>
      </c>
      <c r="G76" t="str">
        <f>HYPERLINK(اضافات!F76)</f>
        <v>0</v>
      </c>
      <c r="H76" t="str">
        <f>HYPERLINK(اضافات!O76)</f>
        <v>0</v>
      </c>
      <c r="I76" t="str">
        <f>HYPERLINK(خصومات!L76)</f>
        <v>0</v>
      </c>
      <c r="J76">
        <f t="shared" si="4"/>
        <v>0</v>
      </c>
      <c r="K76">
        <f t="shared" si="5"/>
        <v>0</v>
      </c>
    </row>
    <row r="77" spans="1:11" x14ac:dyDescent="0.25">
      <c r="A77">
        <v>13</v>
      </c>
      <c r="B77" t="s">
        <v>140</v>
      </c>
      <c r="D77">
        <v>0</v>
      </c>
      <c r="E77" t="str">
        <f>HYPERLINK(اضافات!N77)</f>
        <v>0</v>
      </c>
      <c r="F77" t="str">
        <f>HYPERLINK(اضافات!M77)</f>
        <v>0</v>
      </c>
      <c r="G77" t="str">
        <f>HYPERLINK(اضافات!F77)</f>
        <v>0</v>
      </c>
      <c r="H77" t="str">
        <f>HYPERLINK(اضافات!O77)</f>
        <v>0</v>
      </c>
      <c r="I77" t="str">
        <f>HYPERLINK(خصومات!L77)</f>
        <v>0</v>
      </c>
      <c r="J77">
        <f t="shared" si="4"/>
        <v>0</v>
      </c>
      <c r="K77">
        <f t="shared" si="5"/>
        <v>0</v>
      </c>
    </row>
    <row r="78" spans="1:11" x14ac:dyDescent="0.25">
      <c r="A78">
        <v>14</v>
      </c>
      <c r="B78" t="s">
        <v>141</v>
      </c>
      <c r="D78">
        <v>0</v>
      </c>
      <c r="E78" t="str">
        <f>HYPERLINK(اضافات!N78)</f>
        <v>0</v>
      </c>
      <c r="F78" t="str">
        <f>HYPERLINK(اضافات!M78)</f>
        <v>0</v>
      </c>
      <c r="G78" t="str">
        <f>HYPERLINK(اضافات!F78)</f>
        <v>0</v>
      </c>
      <c r="H78" t="str">
        <f>HYPERLINK(اضافات!O78)</f>
        <v>0</v>
      </c>
      <c r="I78" t="str">
        <f>HYPERLINK(خصومات!L78)</f>
        <v>0</v>
      </c>
      <c r="J78">
        <f t="shared" si="4"/>
        <v>0</v>
      </c>
      <c r="K78">
        <f t="shared" si="5"/>
        <v>0</v>
      </c>
    </row>
    <row r="79" spans="1:11" x14ac:dyDescent="0.25">
      <c r="A79">
        <v>15</v>
      </c>
      <c r="B79" t="s">
        <v>76</v>
      </c>
      <c r="D79">
        <v>0</v>
      </c>
      <c r="E79" t="str">
        <f>HYPERLINK(اضافات!N79)</f>
        <v>0</v>
      </c>
      <c r="F79" t="str">
        <f>HYPERLINK(اضافات!M79)</f>
        <v>0</v>
      </c>
      <c r="G79" t="str">
        <f>HYPERLINK(اضافات!F79)</f>
        <v>0</v>
      </c>
      <c r="H79" t="str">
        <f>HYPERLINK(اضافات!O79)</f>
        <v>0</v>
      </c>
      <c r="I79" t="str">
        <f>HYPERLINK(خصومات!L79)</f>
        <v>0</v>
      </c>
      <c r="J79">
        <f t="shared" si="4"/>
        <v>0</v>
      </c>
      <c r="K79">
        <f t="shared" si="5"/>
        <v>0</v>
      </c>
    </row>
    <row r="80" spans="1:11" x14ac:dyDescent="0.25">
      <c r="A80">
        <v>0</v>
      </c>
      <c r="D80">
        <v>0</v>
      </c>
      <c r="E80" t="str">
        <f>HYPERLINK(اضافات!N80)</f>
        <v>0</v>
      </c>
      <c r="F80" t="str">
        <f>HYPERLINK(اضافات!M80)</f>
        <v>0</v>
      </c>
      <c r="G80" t="str">
        <f>HYPERLINK(اضافات!F80)</f>
        <v>0</v>
      </c>
      <c r="H80" t="str">
        <f>HYPERLINK(اضافات!O80)</f>
        <v>0</v>
      </c>
      <c r="I80" t="str">
        <f>HYPERLINK(خصومات!L80)</f>
        <v>0</v>
      </c>
      <c r="J80">
        <f t="shared" si="4"/>
        <v>0</v>
      </c>
      <c r="K80">
        <f t="shared" si="5"/>
        <v>0</v>
      </c>
    </row>
    <row r="81" spans="1:15" x14ac:dyDescent="0.25">
      <c r="A81">
        <v>16</v>
      </c>
      <c r="B81" t="s">
        <v>142</v>
      </c>
      <c r="D81">
        <v>0</v>
      </c>
      <c r="E81" t="str">
        <f>HYPERLINK(اضافات!N81)</f>
        <v>0</v>
      </c>
      <c r="F81" t="str">
        <f>HYPERLINK(اضافات!M81)</f>
        <v>0</v>
      </c>
      <c r="G81" t="str">
        <f>HYPERLINK(اضافات!F81)</f>
        <v>0</v>
      </c>
      <c r="H81" t="str">
        <f>HYPERLINK(اضافات!O81)</f>
        <v>0</v>
      </c>
      <c r="I81" t="str">
        <f>HYPERLINK(خصومات!L81)</f>
        <v>0</v>
      </c>
      <c r="J81">
        <f t="shared" si="4"/>
        <v>0</v>
      </c>
      <c r="K81">
        <f t="shared" si="5"/>
        <v>0</v>
      </c>
    </row>
    <row r="82" spans="1:15" x14ac:dyDescent="0.25">
      <c r="A82">
        <v>17</v>
      </c>
      <c r="B82" t="s">
        <v>126</v>
      </c>
      <c r="D82">
        <v>0</v>
      </c>
      <c r="E82" t="str">
        <f>HYPERLINK(اضافات!N82)</f>
        <v>0</v>
      </c>
      <c r="F82" t="str">
        <f>HYPERLINK(اضافات!M82)</f>
        <v>0</v>
      </c>
      <c r="G82" t="str">
        <f>HYPERLINK(اضافات!F82)</f>
        <v>0</v>
      </c>
      <c r="H82" t="str">
        <f>HYPERLINK(اضافات!O82)</f>
        <v>0</v>
      </c>
      <c r="I82" t="str">
        <f>HYPERLINK(خصومات!L82)</f>
        <v>0</v>
      </c>
      <c r="J82">
        <f t="shared" si="4"/>
        <v>0</v>
      </c>
      <c r="K82">
        <f t="shared" si="5"/>
        <v>0</v>
      </c>
    </row>
    <row r="83" spans="1:15" x14ac:dyDescent="0.25">
      <c r="A83">
        <v>18</v>
      </c>
      <c r="B83" t="s">
        <v>143</v>
      </c>
      <c r="D83">
        <v>0</v>
      </c>
      <c r="E83" t="str">
        <f>HYPERLINK(اضافات!N83)</f>
        <v>0</v>
      </c>
      <c r="F83" t="str">
        <f>HYPERLINK(اضافات!M83)</f>
        <v>0</v>
      </c>
      <c r="G83" t="str">
        <f>HYPERLINK(اضافات!F83)</f>
        <v>0</v>
      </c>
      <c r="H83" t="str">
        <f>HYPERLINK(اضافات!O83)</f>
        <v>0</v>
      </c>
      <c r="I83" t="str">
        <f>HYPERLINK(خصومات!L83)</f>
        <v>0</v>
      </c>
      <c r="J83">
        <f t="shared" si="4"/>
        <v>0</v>
      </c>
      <c r="K83">
        <f t="shared" si="5"/>
        <v>0</v>
      </c>
    </row>
    <row r="84" spans="1:15" x14ac:dyDescent="0.25">
      <c r="A84">
        <v>19</v>
      </c>
      <c r="B84" t="s">
        <v>146</v>
      </c>
      <c r="D84">
        <v>0</v>
      </c>
      <c r="E84" t="str">
        <f>HYPERLINK(اضافات!N84)</f>
        <v>0</v>
      </c>
      <c r="F84" t="str">
        <f>HYPERLINK(اضافات!M84)</f>
        <v>0</v>
      </c>
      <c r="G84" t="str">
        <f>HYPERLINK(اضافات!F84)</f>
        <v>0</v>
      </c>
      <c r="H84" t="str">
        <f>HYPERLINK(اضافات!O84)</f>
        <v>0</v>
      </c>
      <c r="I84" t="str">
        <f>HYPERLINK(خصومات!L84)</f>
        <v>0</v>
      </c>
      <c r="J84">
        <f t="shared" si="4"/>
        <v>0</v>
      </c>
      <c r="K84">
        <f t="shared" si="5"/>
        <v>0</v>
      </c>
    </row>
    <row r="85" spans="1:15" x14ac:dyDescent="0.25">
      <c r="A85">
        <v>20</v>
      </c>
      <c r="B85" t="s">
        <v>154</v>
      </c>
      <c r="D85">
        <v>0</v>
      </c>
      <c r="E85" t="str">
        <f>HYPERLINK(اضافات!N85)</f>
        <v>0</v>
      </c>
      <c r="F85" t="str">
        <f>HYPERLINK(اضافات!M85)</f>
        <v>0</v>
      </c>
      <c r="G85" t="str">
        <f>HYPERLINK(اضافات!F85)</f>
        <v>0</v>
      </c>
      <c r="H85" t="str">
        <f>HYPERLINK(اضافات!O85)</f>
        <v>0</v>
      </c>
      <c r="I85" t="str">
        <f>HYPERLINK(خصومات!L85)</f>
        <v>0</v>
      </c>
      <c r="J85">
        <f t="shared" si="4"/>
        <v>0</v>
      </c>
      <c r="K85">
        <f t="shared" si="5"/>
        <v>0</v>
      </c>
      <c r="O85" t="s">
        <v>157</v>
      </c>
    </row>
    <row r="86" spans="1:15" x14ac:dyDescent="0.25">
      <c r="B86" t="s">
        <v>82</v>
      </c>
      <c r="D86">
        <v>0</v>
      </c>
      <c r="E86" t="str">
        <f>HYPERLINK(اضافات!N86)</f>
        <v>0</v>
      </c>
      <c r="F86" t="str">
        <f>HYPERLINK(اضافات!M86)</f>
        <v>0</v>
      </c>
      <c r="G86" t="str">
        <f>HYPERLINK(اضافات!F86)</f>
        <v>0</v>
      </c>
      <c r="H86" t="str">
        <f>HYPERLINK(اضافات!O86)</f>
        <v>0</v>
      </c>
      <c r="I86" t="str">
        <f>HYPERLINK(خصومات!L86)</f>
        <v>0</v>
      </c>
      <c r="J86">
        <f t="shared" si="4"/>
        <v>0</v>
      </c>
      <c r="K86">
        <f t="shared" si="5"/>
        <v>0</v>
      </c>
    </row>
    <row r="87" spans="1:15" x14ac:dyDescent="0.25">
      <c r="B87" t="s">
        <v>82</v>
      </c>
      <c r="D87">
        <v>0</v>
      </c>
      <c r="E87" t="str">
        <f>HYPERLINK(اضافات!N87)</f>
        <v>0</v>
      </c>
      <c r="F87" t="str">
        <f>HYPERLINK(اضافات!M87)</f>
        <v>0</v>
      </c>
      <c r="G87" t="str">
        <f>HYPERLINK(اضافات!F87)</f>
        <v>0</v>
      </c>
      <c r="H87" t="str">
        <f>HYPERLINK(اضافات!O87)</f>
        <v>0</v>
      </c>
      <c r="I87" t="str">
        <f>HYPERLINK(خصومات!L87)</f>
        <v>0</v>
      </c>
      <c r="J87">
        <f t="shared" si="4"/>
        <v>0</v>
      </c>
      <c r="K87">
        <f t="shared" si="5"/>
        <v>0</v>
      </c>
    </row>
    <row r="88" spans="1:15" x14ac:dyDescent="0.25">
      <c r="B88" t="s">
        <v>82</v>
      </c>
      <c r="D88">
        <v>0</v>
      </c>
      <c r="E88" t="str">
        <f>HYPERLINK(اضافات!N88)</f>
        <v>0</v>
      </c>
      <c r="F88" t="str">
        <f>HYPERLINK(اضافات!M88)</f>
        <v>0</v>
      </c>
      <c r="G88" t="str">
        <f>HYPERLINK(اضافات!F88)</f>
        <v>0</v>
      </c>
      <c r="H88" t="str">
        <f>HYPERLINK(اضافات!O88)</f>
        <v>0</v>
      </c>
      <c r="I88" t="str">
        <f>HYPERLINK(خصومات!L88)</f>
        <v>0</v>
      </c>
      <c r="J88">
        <f t="shared" si="4"/>
        <v>0</v>
      </c>
      <c r="K88">
        <f t="shared" si="5"/>
        <v>0</v>
      </c>
    </row>
    <row r="89" spans="1:15" x14ac:dyDescent="0.25">
      <c r="B89" t="s">
        <v>82</v>
      </c>
      <c r="D89">
        <v>0</v>
      </c>
      <c r="E89" t="str">
        <f>HYPERLINK(اضافات!N89)</f>
        <v>0</v>
      </c>
      <c r="F89" t="str">
        <f>HYPERLINK(اضافات!M89)</f>
        <v>0</v>
      </c>
      <c r="G89" t="str">
        <f>HYPERLINK(اضافات!F89)</f>
        <v>0</v>
      </c>
      <c r="H89" t="str">
        <f>HYPERLINK(اضافات!O89)</f>
        <v>0</v>
      </c>
      <c r="I89" t="str">
        <f>HYPERLINK(خصومات!L89)</f>
        <v>0</v>
      </c>
      <c r="J89">
        <f t="shared" si="4"/>
        <v>0</v>
      </c>
      <c r="K89">
        <f t="shared" si="5"/>
        <v>0</v>
      </c>
    </row>
    <row r="90" spans="1:15" x14ac:dyDescent="0.25">
      <c r="B90" t="s">
        <v>82</v>
      </c>
      <c r="D90">
        <v>0</v>
      </c>
      <c r="E90" t="str">
        <f>HYPERLINK(اضافات!N90)</f>
        <v>0</v>
      </c>
      <c r="F90" t="str">
        <f>HYPERLINK(اضافات!M90)</f>
        <v>0</v>
      </c>
      <c r="G90" t="str">
        <f>HYPERLINK(اضافات!F90)</f>
        <v>0</v>
      </c>
      <c r="H90" t="str">
        <f>HYPERLINK(اضافات!O90)</f>
        <v>0</v>
      </c>
      <c r="I90" t="str">
        <f>HYPERLINK(خصومات!L90)</f>
        <v>0</v>
      </c>
      <c r="J90">
        <f t="shared" si="4"/>
        <v>0</v>
      </c>
      <c r="K90">
        <f t="shared" si="5"/>
        <v>0</v>
      </c>
    </row>
    <row r="91" spans="1:15" x14ac:dyDescent="0.25">
      <c r="B91" t="s">
        <v>82</v>
      </c>
      <c r="D91">
        <v>0</v>
      </c>
      <c r="E91" t="str">
        <f>HYPERLINK(اضافات!N91)</f>
        <v>0</v>
      </c>
      <c r="F91" t="str">
        <f>HYPERLINK(اضافات!M91)</f>
        <v>0</v>
      </c>
      <c r="G91" t="str">
        <f>HYPERLINK(اضافات!F91)</f>
        <v>0</v>
      </c>
      <c r="H91" t="str">
        <f>HYPERLINK(اضافات!O91)</f>
        <v>0</v>
      </c>
      <c r="I91" t="str">
        <f>HYPERLINK(خصومات!L91)</f>
        <v>0</v>
      </c>
      <c r="J91">
        <f t="shared" si="4"/>
        <v>0</v>
      </c>
      <c r="K91">
        <f t="shared" si="5"/>
        <v>0</v>
      </c>
    </row>
    <row r="92" spans="1:15" x14ac:dyDescent="0.25">
      <c r="B92" t="s">
        <v>82</v>
      </c>
      <c r="D92">
        <v>0</v>
      </c>
      <c r="E92" t="str">
        <f>HYPERLINK(اضافات!N92)</f>
        <v>0</v>
      </c>
      <c r="F92" t="str">
        <f>HYPERLINK(اضافات!M92)</f>
        <v>0</v>
      </c>
      <c r="G92" t="str">
        <f>HYPERLINK(اضافات!F92)</f>
        <v>0</v>
      </c>
      <c r="H92" t="str">
        <f>HYPERLINK(اضافات!O92)</f>
        <v>0</v>
      </c>
      <c r="I92" t="str">
        <f>HYPERLINK(خصومات!L92)</f>
        <v>0</v>
      </c>
      <c r="J92">
        <f t="shared" si="4"/>
        <v>0</v>
      </c>
      <c r="K92">
        <f t="shared" si="5"/>
        <v>0</v>
      </c>
    </row>
    <row r="93" spans="1:15" x14ac:dyDescent="0.25">
      <c r="B93" t="s">
        <v>82</v>
      </c>
      <c r="D93">
        <v>0</v>
      </c>
      <c r="E93" t="str">
        <f>HYPERLINK(اضافات!N93)</f>
        <v>0</v>
      </c>
      <c r="F93" t="str">
        <f>HYPERLINK(اضافات!M93)</f>
        <v>0</v>
      </c>
      <c r="G93" t="str">
        <f>HYPERLINK(اضافات!F93)</f>
        <v>0</v>
      </c>
      <c r="H93" t="str">
        <f>HYPERLINK(اضافات!O93)</f>
        <v>0</v>
      </c>
      <c r="I93" t="str">
        <f>HYPERLINK(خصومات!L93)</f>
        <v>0</v>
      </c>
      <c r="J93">
        <f t="shared" si="4"/>
        <v>0</v>
      </c>
      <c r="K93">
        <f t="shared" si="5"/>
        <v>0</v>
      </c>
    </row>
    <row r="94" spans="1:15" x14ac:dyDescent="0.25">
      <c r="B94" t="s">
        <v>82</v>
      </c>
      <c r="D94">
        <v>0</v>
      </c>
      <c r="E94" t="str">
        <f>HYPERLINK(اضافات!N94)</f>
        <v>0</v>
      </c>
      <c r="F94" t="str">
        <f>HYPERLINK(اضافات!M94)</f>
        <v>0</v>
      </c>
      <c r="G94" t="str">
        <f>HYPERLINK(اضافات!F94)</f>
        <v>0</v>
      </c>
      <c r="H94" t="str">
        <f>HYPERLINK(اضافات!O94)</f>
        <v>0</v>
      </c>
      <c r="I94" t="str">
        <f>HYPERLINK(خصومات!L94)</f>
        <v>0</v>
      </c>
      <c r="J94">
        <f t="shared" si="4"/>
        <v>0</v>
      </c>
      <c r="K94">
        <f t="shared" si="5"/>
        <v>0</v>
      </c>
    </row>
    <row r="95" spans="1:15" x14ac:dyDescent="0.25">
      <c r="B95" t="s">
        <v>82</v>
      </c>
      <c r="D95">
        <v>0</v>
      </c>
      <c r="E95" t="str">
        <f>HYPERLINK(اضافات!N95)</f>
        <v>0</v>
      </c>
      <c r="F95" t="str">
        <f>HYPERLINK(اضافات!M95)</f>
        <v>0</v>
      </c>
      <c r="G95" t="str">
        <f>HYPERLINK(اضافات!F95)</f>
        <v>0</v>
      </c>
      <c r="H95" t="str">
        <f>HYPERLINK(اضافات!O95)</f>
        <v>0</v>
      </c>
      <c r="I95" t="str">
        <f>HYPERLINK(خصومات!L95)</f>
        <v>0</v>
      </c>
      <c r="J95">
        <f t="shared" si="4"/>
        <v>0</v>
      </c>
      <c r="K95">
        <f t="shared" si="5"/>
        <v>0</v>
      </c>
    </row>
    <row r="96" spans="1:15" x14ac:dyDescent="0.25">
      <c r="B96" t="s">
        <v>82</v>
      </c>
      <c r="D96">
        <v>0</v>
      </c>
      <c r="E96" t="str">
        <f>HYPERLINK(اضافات!N96)</f>
        <v>0</v>
      </c>
      <c r="F96" t="str">
        <f>HYPERLINK(اضافات!M96)</f>
        <v>0</v>
      </c>
      <c r="G96" t="str">
        <f>HYPERLINK(اضافات!F96)</f>
        <v>0</v>
      </c>
      <c r="H96" t="str">
        <f>HYPERLINK(اضافات!O96)</f>
        <v>0</v>
      </c>
      <c r="I96" t="str">
        <f>HYPERLINK(خصومات!L96)</f>
        <v>0</v>
      </c>
      <c r="J96">
        <f t="shared" si="4"/>
        <v>0</v>
      </c>
      <c r="K96">
        <f t="shared" si="5"/>
        <v>0</v>
      </c>
    </row>
    <row r="97" spans="1:12" x14ac:dyDescent="0.25">
      <c r="B97" t="s">
        <v>82</v>
      </c>
      <c r="D97">
        <v>0</v>
      </c>
      <c r="E97" t="str">
        <f>HYPERLINK(اضافات!N97)</f>
        <v>0</v>
      </c>
      <c r="F97" t="str">
        <f>HYPERLINK(اضافات!M97)</f>
        <v>0</v>
      </c>
      <c r="G97" t="str">
        <f>HYPERLINK(اضافات!F97)</f>
        <v>0</v>
      </c>
      <c r="H97" t="str">
        <f>HYPERLINK(اضافات!O97)</f>
        <v>0</v>
      </c>
      <c r="I97" t="str">
        <f>HYPERLINK(خصومات!L97)</f>
        <v>0</v>
      </c>
      <c r="J97">
        <f t="shared" si="4"/>
        <v>0</v>
      </c>
      <c r="K97">
        <f t="shared" si="5"/>
        <v>0</v>
      </c>
    </row>
    <row r="98" spans="1:12" x14ac:dyDescent="0.25">
      <c r="B98" t="s">
        <v>82</v>
      </c>
      <c r="D98">
        <v>0</v>
      </c>
      <c r="E98" t="str">
        <f>HYPERLINK(اضافات!N98)</f>
        <v>0</v>
      </c>
      <c r="F98" t="str">
        <f>HYPERLINK(اضافات!M98)</f>
        <v>0</v>
      </c>
      <c r="G98" t="str">
        <f>HYPERLINK(اضافات!F98)</f>
        <v>0</v>
      </c>
      <c r="H98" t="str">
        <f>HYPERLINK(اضافات!O98)</f>
        <v>0</v>
      </c>
      <c r="I98" t="str">
        <f>HYPERLINK(خصومات!L98)</f>
        <v>0</v>
      </c>
      <c r="J98">
        <f t="shared" si="4"/>
        <v>0</v>
      </c>
      <c r="K98">
        <f t="shared" si="5"/>
        <v>0</v>
      </c>
    </row>
    <row r="99" spans="1:12" x14ac:dyDescent="0.25">
      <c r="B99" t="s">
        <v>82</v>
      </c>
      <c r="D99">
        <v>0</v>
      </c>
      <c r="E99" t="str">
        <f>HYPERLINK(اضافات!N99)</f>
        <v>0</v>
      </c>
      <c r="F99" t="str">
        <f>HYPERLINK(اضافات!M99)</f>
        <v>0</v>
      </c>
      <c r="G99" t="str">
        <f>HYPERLINK(اضافات!F99)</f>
        <v>0</v>
      </c>
      <c r="H99" t="str">
        <f>HYPERLINK(اضافات!O99)</f>
        <v>0</v>
      </c>
      <c r="I99" t="str">
        <f>HYPERLINK(خصومات!L99)</f>
        <v>0</v>
      </c>
      <c r="J99">
        <f t="shared" si="4"/>
        <v>0</v>
      </c>
      <c r="K99">
        <f t="shared" si="5"/>
        <v>0</v>
      </c>
    </row>
    <row r="100" spans="1:12" x14ac:dyDescent="0.25">
      <c r="B100" t="s">
        <v>82</v>
      </c>
      <c r="D100">
        <v>0</v>
      </c>
      <c r="E100" t="str">
        <f>HYPERLINK(اضافات!N100)</f>
        <v>0</v>
      </c>
      <c r="F100" t="str">
        <f>HYPERLINK(اضافات!M100)</f>
        <v>0</v>
      </c>
      <c r="G100" t="str">
        <f>HYPERLINK(اضافات!F100)</f>
        <v>0</v>
      </c>
      <c r="H100" t="str">
        <f>HYPERLINK(اضافات!O100)</f>
        <v>0</v>
      </c>
      <c r="I100" t="str">
        <f>HYPERLINK(خصومات!L100)</f>
        <v>0</v>
      </c>
      <c r="J100">
        <f t="shared" si="4"/>
        <v>0</v>
      </c>
      <c r="K100">
        <f t="shared" si="5"/>
        <v>0</v>
      </c>
    </row>
    <row r="101" spans="1:12" x14ac:dyDescent="0.25">
      <c r="A101">
        <v>20</v>
      </c>
      <c r="B101" t="s">
        <v>1</v>
      </c>
      <c r="D101">
        <f>SUM(D57:D100)</f>
        <v>0</v>
      </c>
      <c r="E101">
        <f t="shared" ref="E101:K101" si="6">SUM(E57:E100)</f>
        <v>0</v>
      </c>
      <c r="F101">
        <f t="shared" si="6"/>
        <v>0</v>
      </c>
      <c r="G101">
        <f t="shared" si="6"/>
        <v>0</v>
      </c>
      <c r="H101">
        <f t="shared" si="6"/>
        <v>0</v>
      </c>
      <c r="I101">
        <f t="shared" si="6"/>
        <v>0</v>
      </c>
      <c r="J101">
        <f t="shared" si="6"/>
        <v>0</v>
      </c>
      <c r="K101">
        <f t="shared" si="6"/>
        <v>0</v>
      </c>
      <c r="L101">
        <f>SUM(K57:K100)</f>
        <v>0</v>
      </c>
    </row>
    <row r="102" spans="1:12" x14ac:dyDescent="0.25">
      <c r="A102">
        <v>1</v>
      </c>
      <c r="B102" t="s">
        <v>85</v>
      </c>
      <c r="D102">
        <v>0</v>
      </c>
      <c r="E102" t="str">
        <f>HYPERLINK(اضافات!N102)</f>
        <v>0</v>
      </c>
      <c r="F102" t="str">
        <f>HYPERLINK(اضافات!M102)</f>
        <v>0</v>
      </c>
      <c r="G102" t="str">
        <f>HYPERLINK(اضافات!F102)</f>
        <v>0</v>
      </c>
      <c r="H102" t="str">
        <f>HYPERLINK(اضافات!O102)</f>
        <v>0</v>
      </c>
      <c r="I102" t="str">
        <f>HYPERLINK(خصومات!L102)</f>
        <v>0</v>
      </c>
      <c r="J102">
        <f t="shared" si="4"/>
        <v>0</v>
      </c>
      <c r="K102">
        <f t="shared" ref="K102:K117" si="7">VALUE(D102)+VALUE(G102)+VALUE(H102)-VALUE(I102)</f>
        <v>0</v>
      </c>
    </row>
    <row r="103" spans="1:12" x14ac:dyDescent="0.25">
      <c r="A103">
        <v>2</v>
      </c>
      <c r="B103" t="s">
        <v>86</v>
      </c>
      <c r="D103">
        <v>0</v>
      </c>
      <c r="E103" t="str">
        <f>HYPERLINK(اضافات!N103)</f>
        <v>0</v>
      </c>
      <c r="F103" t="str">
        <f>HYPERLINK(اضافات!M103)</f>
        <v>0</v>
      </c>
      <c r="G103" t="str">
        <f>HYPERLINK(اضافات!F103)</f>
        <v>0</v>
      </c>
      <c r="H103" t="str">
        <f>HYPERLINK(اضافات!O103)</f>
        <v>0</v>
      </c>
      <c r="I103" t="str">
        <f>HYPERLINK(خصومات!L103)</f>
        <v>0</v>
      </c>
      <c r="J103">
        <f t="shared" si="4"/>
        <v>0</v>
      </c>
      <c r="K103">
        <f t="shared" si="7"/>
        <v>0</v>
      </c>
    </row>
    <row r="104" spans="1:12" x14ac:dyDescent="0.25">
      <c r="A104">
        <v>3</v>
      </c>
      <c r="B104" t="s">
        <v>87</v>
      </c>
      <c r="D104">
        <v>0</v>
      </c>
      <c r="E104" t="str">
        <f>HYPERLINK(اضافات!N104)</f>
        <v>0</v>
      </c>
      <c r="F104" t="str">
        <f>HYPERLINK(اضافات!M104)</f>
        <v>0</v>
      </c>
      <c r="G104" t="str">
        <f>HYPERLINK(اضافات!F104)</f>
        <v>0</v>
      </c>
      <c r="H104" t="str">
        <f>HYPERLINK(اضافات!O104)</f>
        <v>0</v>
      </c>
      <c r="I104" t="str">
        <f>HYPERLINK(خصومات!L104)</f>
        <v>0</v>
      </c>
      <c r="J104">
        <f t="shared" si="4"/>
        <v>0</v>
      </c>
      <c r="K104">
        <f t="shared" si="7"/>
        <v>0</v>
      </c>
    </row>
    <row r="105" spans="1:12" x14ac:dyDescent="0.25">
      <c r="A105">
        <v>4</v>
      </c>
      <c r="B105" t="s">
        <v>88</v>
      </c>
      <c r="D105">
        <v>0</v>
      </c>
      <c r="E105" t="str">
        <f>HYPERLINK(اضافات!N105)</f>
        <v>0</v>
      </c>
      <c r="F105" t="str">
        <f>HYPERLINK(اضافات!M105)</f>
        <v>0</v>
      </c>
      <c r="G105" t="str">
        <f>HYPERLINK(اضافات!F105)</f>
        <v>0</v>
      </c>
      <c r="H105" t="str">
        <f>HYPERLINK(اضافات!O105)</f>
        <v>0</v>
      </c>
      <c r="I105" t="str">
        <f>HYPERLINK(خصومات!L105)</f>
        <v>0</v>
      </c>
      <c r="J105">
        <f t="shared" si="4"/>
        <v>0</v>
      </c>
      <c r="K105">
        <f t="shared" si="7"/>
        <v>0</v>
      </c>
    </row>
    <row r="106" spans="1:12" x14ac:dyDescent="0.25">
      <c r="A106">
        <v>5</v>
      </c>
      <c r="B106" t="s">
        <v>72</v>
      </c>
      <c r="D106">
        <v>0</v>
      </c>
      <c r="E106" t="str">
        <f>HYPERLINK(اضافات!N106)</f>
        <v>0</v>
      </c>
      <c r="F106" t="str">
        <f>HYPERLINK(اضافات!M106)</f>
        <v>0</v>
      </c>
      <c r="G106" t="str">
        <f>HYPERLINK(اضافات!F106)</f>
        <v>0</v>
      </c>
      <c r="H106" t="str">
        <f>HYPERLINK(اضافات!O106)</f>
        <v>0</v>
      </c>
      <c r="I106" t="str">
        <f>HYPERLINK(خصومات!L106)</f>
        <v>0</v>
      </c>
      <c r="J106">
        <f t="shared" si="4"/>
        <v>0</v>
      </c>
      <c r="K106">
        <f t="shared" si="7"/>
        <v>0</v>
      </c>
    </row>
    <row r="107" spans="1:12" x14ac:dyDescent="0.25">
      <c r="A107">
        <v>6</v>
      </c>
      <c r="B107" t="s">
        <v>145</v>
      </c>
      <c r="D107">
        <v>0</v>
      </c>
      <c r="E107" t="str">
        <f>HYPERLINK(اضافات!N107)</f>
        <v>0</v>
      </c>
      <c r="F107" t="str">
        <f>HYPERLINK(اضافات!M107)</f>
        <v>0</v>
      </c>
      <c r="G107" t="str">
        <f>HYPERLINK(اضافات!F107)</f>
        <v>0</v>
      </c>
      <c r="H107" t="str">
        <f>HYPERLINK(اضافات!O107)</f>
        <v>0</v>
      </c>
      <c r="I107" t="str">
        <f>HYPERLINK(خصومات!L107)</f>
        <v>0</v>
      </c>
      <c r="J107">
        <f t="shared" si="4"/>
        <v>0</v>
      </c>
      <c r="K107">
        <f t="shared" si="7"/>
        <v>0</v>
      </c>
    </row>
    <row r="108" spans="1:12" x14ac:dyDescent="0.25">
      <c r="A108">
        <v>7</v>
      </c>
      <c r="B108" t="s">
        <v>156</v>
      </c>
      <c r="D108">
        <v>0</v>
      </c>
      <c r="E108" t="str">
        <f>HYPERLINK(اضافات!N108)</f>
        <v>0</v>
      </c>
      <c r="F108" t="str">
        <f>HYPERLINK(اضافات!M108)</f>
        <v>0</v>
      </c>
      <c r="G108" t="str">
        <f>HYPERLINK(اضافات!F108)</f>
        <v>0</v>
      </c>
      <c r="H108" t="str">
        <f>HYPERLINK(اضافات!O108)</f>
        <v>0</v>
      </c>
      <c r="I108" t="str">
        <f>HYPERLINK(خصومات!L108)</f>
        <v>0</v>
      </c>
      <c r="J108">
        <f t="shared" si="4"/>
        <v>0</v>
      </c>
      <c r="K108">
        <f t="shared" si="7"/>
        <v>0</v>
      </c>
    </row>
    <row r="109" spans="1:12" x14ac:dyDescent="0.25">
      <c r="B109" t="s">
        <v>82</v>
      </c>
      <c r="D109">
        <v>0</v>
      </c>
      <c r="E109" t="str">
        <f>HYPERLINK(اضافات!N109)</f>
        <v>0</v>
      </c>
      <c r="F109" t="str">
        <f>HYPERLINK(اضافات!M109)</f>
        <v>0</v>
      </c>
      <c r="G109" t="str">
        <f>HYPERLINK(اضافات!F109)</f>
        <v>0</v>
      </c>
      <c r="H109" t="str">
        <f>HYPERLINK(اضافات!O109)</f>
        <v>0</v>
      </c>
      <c r="I109" t="str">
        <f>HYPERLINK(خصومات!L109)</f>
        <v>0</v>
      </c>
      <c r="J109">
        <f t="shared" si="4"/>
        <v>0</v>
      </c>
      <c r="K109">
        <f t="shared" si="7"/>
        <v>0</v>
      </c>
    </row>
    <row r="110" spans="1:12" x14ac:dyDescent="0.25">
      <c r="B110" t="s">
        <v>82</v>
      </c>
      <c r="D110">
        <v>0</v>
      </c>
      <c r="E110" t="str">
        <f>HYPERLINK(اضافات!N110)</f>
        <v>0</v>
      </c>
      <c r="F110" t="str">
        <f>HYPERLINK(اضافات!M110)</f>
        <v>0</v>
      </c>
      <c r="G110" t="str">
        <f>HYPERLINK(اضافات!F110)</f>
        <v>0</v>
      </c>
      <c r="H110" t="str">
        <f>HYPERLINK(اضافات!O110)</f>
        <v>0</v>
      </c>
      <c r="I110" t="str">
        <f>HYPERLINK(خصومات!L110)</f>
        <v>0</v>
      </c>
      <c r="J110">
        <f t="shared" si="4"/>
        <v>0</v>
      </c>
      <c r="K110">
        <f t="shared" si="7"/>
        <v>0</v>
      </c>
    </row>
    <row r="111" spans="1:12" x14ac:dyDescent="0.25">
      <c r="B111" t="s">
        <v>82</v>
      </c>
      <c r="D111">
        <v>0</v>
      </c>
      <c r="E111" t="str">
        <f>HYPERLINK(اضافات!N111)</f>
        <v>0</v>
      </c>
      <c r="F111" t="str">
        <f>HYPERLINK(اضافات!M111)</f>
        <v>0</v>
      </c>
      <c r="G111" t="str">
        <f>HYPERLINK(اضافات!F111)</f>
        <v>0</v>
      </c>
      <c r="H111" t="str">
        <f>HYPERLINK(اضافات!O111)</f>
        <v>0</v>
      </c>
      <c r="I111" t="str">
        <f>HYPERLINK(خصومات!L111)</f>
        <v>0</v>
      </c>
      <c r="J111">
        <f t="shared" si="4"/>
        <v>0</v>
      </c>
      <c r="K111">
        <f t="shared" si="7"/>
        <v>0</v>
      </c>
    </row>
    <row r="112" spans="1:12" x14ac:dyDescent="0.25">
      <c r="B112" t="s">
        <v>82</v>
      </c>
      <c r="D112">
        <v>0</v>
      </c>
      <c r="E112" t="str">
        <f>HYPERLINK(اضافات!N112)</f>
        <v>0</v>
      </c>
      <c r="F112" t="str">
        <f>HYPERLINK(اضافات!M112)</f>
        <v>0</v>
      </c>
      <c r="G112" t="str">
        <f>HYPERLINK(اضافات!F112)</f>
        <v>0</v>
      </c>
      <c r="H112" t="str">
        <f>HYPERLINK(اضافات!O112)</f>
        <v>0</v>
      </c>
      <c r="I112" t="str">
        <f>HYPERLINK(خصومات!L112)</f>
        <v>0</v>
      </c>
      <c r="J112">
        <f t="shared" si="4"/>
        <v>0</v>
      </c>
      <c r="K112">
        <f t="shared" si="7"/>
        <v>0</v>
      </c>
    </row>
    <row r="113" spans="1:12" x14ac:dyDescent="0.25">
      <c r="B113" t="s">
        <v>82</v>
      </c>
      <c r="D113">
        <v>0</v>
      </c>
      <c r="E113" t="str">
        <f>HYPERLINK(اضافات!N113)</f>
        <v>0</v>
      </c>
      <c r="F113" t="str">
        <f>HYPERLINK(اضافات!M113)</f>
        <v>0</v>
      </c>
      <c r="G113" t="str">
        <f>HYPERLINK(اضافات!F113)</f>
        <v>0</v>
      </c>
      <c r="H113" t="str">
        <f>HYPERLINK(اضافات!O113)</f>
        <v>0</v>
      </c>
      <c r="I113" t="str">
        <f>HYPERLINK(خصومات!L113)</f>
        <v>0</v>
      </c>
      <c r="J113">
        <f t="shared" si="4"/>
        <v>0</v>
      </c>
      <c r="K113">
        <f t="shared" si="7"/>
        <v>0</v>
      </c>
    </row>
    <row r="114" spans="1:12" x14ac:dyDescent="0.25">
      <c r="B114" t="s">
        <v>82</v>
      </c>
      <c r="D114">
        <v>0</v>
      </c>
      <c r="E114" t="str">
        <f>HYPERLINK(اضافات!N114)</f>
        <v>0</v>
      </c>
      <c r="F114" t="str">
        <f>HYPERLINK(اضافات!M114)</f>
        <v>0</v>
      </c>
      <c r="G114" t="str">
        <f>HYPERLINK(اضافات!F114)</f>
        <v>0</v>
      </c>
      <c r="H114" t="str">
        <f>HYPERLINK(اضافات!O114)</f>
        <v>0</v>
      </c>
      <c r="I114" t="str">
        <f>HYPERLINK(خصومات!L114)</f>
        <v>0</v>
      </c>
      <c r="J114">
        <f t="shared" si="4"/>
        <v>0</v>
      </c>
      <c r="K114">
        <f t="shared" si="7"/>
        <v>0</v>
      </c>
    </row>
    <row r="115" spans="1:12" x14ac:dyDescent="0.25">
      <c r="B115" t="s">
        <v>82</v>
      </c>
      <c r="D115">
        <v>0</v>
      </c>
      <c r="E115" t="str">
        <f>HYPERLINK(اضافات!N115)</f>
        <v>0</v>
      </c>
      <c r="F115" t="str">
        <f>HYPERLINK(اضافات!M115)</f>
        <v>0</v>
      </c>
      <c r="G115" t="str">
        <f>HYPERLINK(اضافات!F115)</f>
        <v>0</v>
      </c>
      <c r="H115" t="str">
        <f>HYPERLINK(اضافات!O115)</f>
        <v>0</v>
      </c>
      <c r="I115" t="str">
        <f>HYPERLINK(خصومات!L115)</f>
        <v>0</v>
      </c>
      <c r="J115">
        <f t="shared" si="4"/>
        <v>0</v>
      </c>
      <c r="K115">
        <f t="shared" si="7"/>
        <v>0</v>
      </c>
    </row>
    <row r="116" spans="1:12" x14ac:dyDescent="0.25">
      <c r="B116" t="s">
        <v>82</v>
      </c>
      <c r="D116">
        <v>0</v>
      </c>
      <c r="E116" t="str">
        <f>HYPERLINK(اضافات!N116)</f>
        <v>0</v>
      </c>
      <c r="F116" t="str">
        <f>HYPERLINK(اضافات!M116)</f>
        <v>0</v>
      </c>
      <c r="G116" t="str">
        <f>HYPERLINK(اضافات!F116)</f>
        <v>0</v>
      </c>
      <c r="H116" t="str">
        <f>HYPERLINK(اضافات!O116)</f>
        <v>0</v>
      </c>
      <c r="I116" t="str">
        <f>HYPERLINK(خصومات!L116)</f>
        <v>0</v>
      </c>
      <c r="J116">
        <f t="shared" si="4"/>
        <v>0</v>
      </c>
      <c r="K116">
        <f t="shared" si="7"/>
        <v>0</v>
      </c>
    </row>
    <row r="117" spans="1:12" x14ac:dyDescent="0.25">
      <c r="B117" t="s">
        <v>82</v>
      </c>
      <c r="D117">
        <v>0</v>
      </c>
      <c r="E117" t="str">
        <f>HYPERLINK(اضافات!N117)</f>
        <v>0</v>
      </c>
      <c r="F117" t="str">
        <f>HYPERLINK(اضافات!M117)</f>
        <v>0</v>
      </c>
      <c r="G117" t="str">
        <f>HYPERLINK(اضافات!F117)</f>
        <v>0</v>
      </c>
      <c r="H117" t="str">
        <f>HYPERLINK(اضافات!O117)</f>
        <v>0</v>
      </c>
      <c r="I117" t="str">
        <f>HYPERLINK(خصومات!L117)</f>
        <v>0</v>
      </c>
      <c r="J117">
        <f t="shared" si="4"/>
        <v>0</v>
      </c>
      <c r="K117">
        <f t="shared" si="7"/>
        <v>0</v>
      </c>
    </row>
    <row r="118" spans="1:12" x14ac:dyDescent="0.25">
      <c r="A118">
        <v>6</v>
      </c>
      <c r="B118" t="s">
        <v>84</v>
      </c>
      <c r="D118">
        <f>SUM(D102:D117)</f>
        <v>0</v>
      </c>
      <c r="E118">
        <f t="shared" ref="E118:K118" si="8">SUM(E102:E117)</f>
        <v>0</v>
      </c>
      <c r="F118">
        <f t="shared" si="8"/>
        <v>0</v>
      </c>
      <c r="G118">
        <f t="shared" si="8"/>
        <v>0</v>
      </c>
      <c r="H118">
        <f t="shared" si="8"/>
        <v>0</v>
      </c>
      <c r="I118">
        <f t="shared" si="8"/>
        <v>0</v>
      </c>
      <c r="J118">
        <f t="shared" si="8"/>
        <v>0</v>
      </c>
      <c r="K118">
        <f t="shared" si="8"/>
        <v>0</v>
      </c>
      <c r="L118">
        <f>SUM(K102:K117)</f>
        <v>0</v>
      </c>
    </row>
    <row r="119" spans="1:12" x14ac:dyDescent="0.25">
      <c r="A119">
        <f t="shared" ref="A119" si="9">SUM(A18,A56,A101)</f>
        <v>38</v>
      </c>
      <c r="B119" t="s">
        <v>81</v>
      </c>
      <c r="D119">
        <f>SUM(D18,D56,D101)</f>
        <v>0</v>
      </c>
      <c r="E119">
        <f t="shared" ref="E119:J119" si="10">SUM(E18,E56,E101)</f>
        <v>0</v>
      </c>
      <c r="F119">
        <f t="shared" si="10"/>
        <v>0</v>
      </c>
      <c r="G119">
        <f t="shared" si="10"/>
        <v>0</v>
      </c>
      <c r="H119">
        <f t="shared" si="10"/>
        <v>0</v>
      </c>
      <c r="I119">
        <f t="shared" si="10"/>
        <v>0</v>
      </c>
      <c r="J119">
        <f t="shared" si="10"/>
        <v>0</v>
      </c>
      <c r="K119">
        <f>SUM(K18,K56,K101)</f>
        <v>0</v>
      </c>
      <c r="L119">
        <f>SUM(L18,L56,L101)</f>
        <v>0</v>
      </c>
    </row>
    <row r="120" spans="1:12" x14ac:dyDescent="0.25">
      <c r="A120">
        <f>SUM(A18,A56,A101,A118)</f>
        <v>44</v>
      </c>
      <c r="B120" t="s">
        <v>120</v>
      </c>
      <c r="D120">
        <f t="shared" ref="D120:K120" si="11">SUM(D18,D56,D101,D118)</f>
        <v>0</v>
      </c>
      <c r="E120">
        <f t="shared" si="11"/>
        <v>0</v>
      </c>
      <c r="F120">
        <f t="shared" si="11"/>
        <v>0</v>
      </c>
      <c r="G120">
        <f t="shared" si="11"/>
        <v>0</v>
      </c>
      <c r="H120">
        <f t="shared" si="11"/>
        <v>0</v>
      </c>
      <c r="I120">
        <f t="shared" si="11"/>
        <v>0</v>
      </c>
      <c r="J120">
        <f t="shared" si="11"/>
        <v>0</v>
      </c>
      <c r="K120">
        <f t="shared" si="11"/>
        <v>0</v>
      </c>
      <c r="L120">
        <f>SUM(L18,L56,L101,L118)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opLeftCell="A47" zoomScale="84" zoomScaleNormal="84" workbookViewId="0">
      <selection activeCell="B74" sqref="B1:B1048576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56.6640625" customWidth="1"/>
  </cols>
  <sheetData>
    <row r="1" spans="1:17" ht="16.2" thickBot="1" x14ac:dyDescent="0.3">
      <c r="A1" s="118" t="s">
        <v>19</v>
      </c>
      <c r="B1" s="119"/>
    </row>
    <row r="2" spans="1:17" ht="66.599999999999994" thickBot="1" x14ac:dyDescent="0.3">
      <c r="A2" s="84" t="s">
        <v>5</v>
      </c>
      <c r="B2" s="85" t="s">
        <v>151</v>
      </c>
      <c r="C2" s="86" t="s">
        <v>36</v>
      </c>
      <c r="D2" s="86" t="s">
        <v>37</v>
      </c>
      <c r="E2" s="86" t="s">
        <v>38</v>
      </c>
      <c r="F2" s="86" t="s">
        <v>57</v>
      </c>
      <c r="G2" s="86" t="s">
        <v>59</v>
      </c>
      <c r="H2" s="86" t="s">
        <v>58</v>
      </c>
      <c r="I2" s="86" t="s">
        <v>39</v>
      </c>
      <c r="J2" s="86" t="s">
        <v>40</v>
      </c>
      <c r="K2" s="86" t="s">
        <v>41</v>
      </c>
      <c r="L2" s="86" t="s">
        <v>42</v>
      </c>
      <c r="M2" s="87" t="s">
        <v>43</v>
      </c>
      <c r="N2" s="87" t="s">
        <v>44</v>
      </c>
      <c r="O2" s="87" t="s">
        <v>45</v>
      </c>
      <c r="P2" s="87" t="s">
        <v>46</v>
      </c>
      <c r="Q2" s="94" t="s">
        <v>16</v>
      </c>
    </row>
    <row r="3" spans="1:17" ht="15.6" x14ac:dyDescent="0.3">
      <c r="A3" s="95"/>
      <c r="B3" s="95" t="s">
        <v>60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17" ht="15" x14ac:dyDescent="0.25">
      <c r="A4">
        <f>مرتبات2!A4</f>
        <v>1</v>
      </c>
      <c r="B4" s="60" t="str">
        <f>مرتبات!B4</f>
        <v>د/هانى صلاح الدين محمد سري الدين</v>
      </c>
      <c r="C4" s="68">
        <v>0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59">
        <f>SUM(C4:E4)+L4</f>
        <v>0</v>
      </c>
      <c r="N4" s="68">
        <f>SUM(I4:K4)</f>
        <v>0</v>
      </c>
      <c r="O4" s="59">
        <f>SUM(G4:H4)</f>
        <v>0</v>
      </c>
      <c r="P4" s="68">
        <f>SUM(M4:O4)</f>
        <v>0</v>
      </c>
      <c r="Q4" s="59"/>
    </row>
    <row r="5" spans="1:17" ht="15" x14ac:dyDescent="0.25">
      <c r="A5">
        <f>مرتبات2!A5</f>
        <v>2</v>
      </c>
      <c r="B5" s="96" t="str">
        <f>مرتبات!B5</f>
        <v>أ/أميرة محمد على شريف</v>
      </c>
      <c r="C5" s="69">
        <v>0</v>
      </c>
      <c r="D5" s="69">
        <v>0</v>
      </c>
      <c r="E5" s="69">
        <v>0</v>
      </c>
      <c r="F5" s="69">
        <v>0</v>
      </c>
      <c r="G5" s="69">
        <v>0</v>
      </c>
      <c r="H5" s="69">
        <v>0</v>
      </c>
      <c r="I5" s="69">
        <v>0</v>
      </c>
      <c r="J5" s="69">
        <v>0</v>
      </c>
      <c r="K5" s="69">
        <v>0</v>
      </c>
      <c r="L5" s="69">
        <v>0</v>
      </c>
      <c r="M5" s="58">
        <f t="shared" ref="M5:M68" si="0">SUM(C5:E5)+L5</f>
        <v>0</v>
      </c>
      <c r="N5" s="69">
        <f t="shared" ref="N5:N68" si="1">SUM(I5:K5)</f>
        <v>0</v>
      </c>
      <c r="O5" s="58">
        <f t="shared" ref="O5:O68" si="2">SUM(G5:H5)</f>
        <v>0</v>
      </c>
      <c r="P5" s="69">
        <f t="shared" ref="P5:P68" si="3">SUM(M5:O5)</f>
        <v>0</v>
      </c>
      <c r="Q5" s="58"/>
    </row>
    <row r="6" spans="1:17" ht="15" x14ac:dyDescent="0.25">
      <c r="A6">
        <f>مرتبات2!A6</f>
        <v>3</v>
      </c>
      <c r="B6" s="60" t="str">
        <f>مرتبات!B6</f>
        <v>أ/إيهاب حمدى ابراهيم</v>
      </c>
      <c r="C6" s="68">
        <v>0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59">
        <f t="shared" si="0"/>
        <v>0</v>
      </c>
      <c r="N6" s="68">
        <f t="shared" si="1"/>
        <v>0</v>
      </c>
      <c r="O6" s="59">
        <f t="shared" si="2"/>
        <v>0</v>
      </c>
      <c r="P6" s="68">
        <f t="shared" si="3"/>
        <v>0</v>
      </c>
      <c r="Q6" s="59"/>
    </row>
    <row r="7" spans="1:17" ht="15" hidden="1" x14ac:dyDescent="0.25">
      <c r="A7">
        <f>مرتبات2!A7</f>
        <v>0</v>
      </c>
      <c r="B7" s="96" t="str">
        <f>مرتبات!B7</f>
        <v>Spare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I7" s="69">
        <v>0</v>
      </c>
      <c r="J7" s="69">
        <v>0</v>
      </c>
      <c r="K7" s="69">
        <v>0</v>
      </c>
      <c r="L7" s="69">
        <v>0</v>
      </c>
      <c r="M7" s="58">
        <f t="shared" si="0"/>
        <v>0</v>
      </c>
      <c r="N7" s="69">
        <f t="shared" si="1"/>
        <v>0</v>
      </c>
      <c r="O7" s="58">
        <f t="shared" si="2"/>
        <v>0</v>
      </c>
      <c r="P7" s="69">
        <f t="shared" si="3"/>
        <v>0</v>
      </c>
      <c r="Q7" s="58"/>
    </row>
    <row r="8" spans="1:17" ht="15" hidden="1" x14ac:dyDescent="0.25">
      <c r="A8">
        <f>مرتبات2!A8</f>
        <v>0</v>
      </c>
      <c r="B8" s="60" t="str">
        <f>مرتبات!B8</f>
        <v>Spare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59">
        <f t="shared" si="0"/>
        <v>0</v>
      </c>
      <c r="N8" s="68">
        <f t="shared" si="1"/>
        <v>0</v>
      </c>
      <c r="O8" s="59">
        <f t="shared" si="2"/>
        <v>0</v>
      </c>
      <c r="P8" s="68">
        <f t="shared" si="3"/>
        <v>0</v>
      </c>
      <c r="Q8" s="59"/>
    </row>
    <row r="9" spans="1:17" ht="15" hidden="1" x14ac:dyDescent="0.25">
      <c r="A9">
        <f>مرتبات2!A9</f>
        <v>0</v>
      </c>
      <c r="B9" s="96" t="str">
        <f>مرتبات!B9</f>
        <v>Spare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58">
        <f t="shared" si="0"/>
        <v>0</v>
      </c>
      <c r="N9" s="69">
        <f t="shared" si="1"/>
        <v>0</v>
      </c>
      <c r="O9" s="58">
        <f t="shared" si="2"/>
        <v>0</v>
      </c>
      <c r="P9" s="69">
        <f t="shared" si="3"/>
        <v>0</v>
      </c>
      <c r="Q9" s="58"/>
    </row>
    <row r="10" spans="1:17" ht="15" hidden="1" x14ac:dyDescent="0.25">
      <c r="A10">
        <f>مرتبات2!A10</f>
        <v>0</v>
      </c>
      <c r="B10" s="60" t="str">
        <f>مرتبات!B10</f>
        <v>Spare</v>
      </c>
      <c r="C10" s="68">
        <v>0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59">
        <f t="shared" si="0"/>
        <v>0</v>
      </c>
      <c r="N10" s="68">
        <f t="shared" si="1"/>
        <v>0</v>
      </c>
      <c r="O10" s="59">
        <f t="shared" si="2"/>
        <v>0</v>
      </c>
      <c r="P10" s="68">
        <f t="shared" si="3"/>
        <v>0</v>
      </c>
      <c r="Q10" s="59"/>
    </row>
    <row r="11" spans="1:17" ht="15" hidden="1" x14ac:dyDescent="0.25">
      <c r="A11">
        <f>مرتبات2!A11</f>
        <v>0</v>
      </c>
      <c r="B11" s="96" t="str">
        <f>مرتبات!B11</f>
        <v>Spare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58">
        <f t="shared" si="0"/>
        <v>0</v>
      </c>
      <c r="N11" s="69">
        <f t="shared" si="1"/>
        <v>0</v>
      </c>
      <c r="O11" s="58">
        <f t="shared" si="2"/>
        <v>0</v>
      </c>
      <c r="P11" s="69">
        <f t="shared" si="3"/>
        <v>0</v>
      </c>
      <c r="Q11" s="58"/>
    </row>
    <row r="12" spans="1:17" ht="15" hidden="1" x14ac:dyDescent="0.25">
      <c r="A12">
        <f>مرتبات2!A12</f>
        <v>0</v>
      </c>
      <c r="B12" s="60" t="str">
        <f>مرتبات!B12</f>
        <v>Spare</v>
      </c>
      <c r="C12" s="68">
        <v>0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59">
        <f t="shared" si="0"/>
        <v>0</v>
      </c>
      <c r="N12" s="68">
        <f t="shared" si="1"/>
        <v>0</v>
      </c>
      <c r="O12" s="59">
        <f t="shared" si="2"/>
        <v>0</v>
      </c>
      <c r="P12" s="68">
        <f t="shared" si="3"/>
        <v>0</v>
      </c>
      <c r="Q12" s="59"/>
    </row>
    <row r="13" spans="1:17" ht="15" hidden="1" x14ac:dyDescent="0.25">
      <c r="A13">
        <f>مرتبات2!A13</f>
        <v>0</v>
      </c>
      <c r="B13" s="96" t="str">
        <f>مرتبات!B13</f>
        <v>Spare</v>
      </c>
      <c r="C13" s="69"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69">
        <v>0</v>
      </c>
      <c r="K13" s="69">
        <v>0</v>
      </c>
      <c r="L13" s="69">
        <v>0</v>
      </c>
      <c r="M13" s="58">
        <f t="shared" si="0"/>
        <v>0</v>
      </c>
      <c r="N13" s="69">
        <f t="shared" si="1"/>
        <v>0</v>
      </c>
      <c r="O13" s="58">
        <f t="shared" si="2"/>
        <v>0</v>
      </c>
      <c r="P13" s="69">
        <f t="shared" si="3"/>
        <v>0</v>
      </c>
      <c r="Q13" s="58"/>
    </row>
    <row r="14" spans="1:17" ht="15" hidden="1" x14ac:dyDescent="0.25">
      <c r="A14">
        <f>مرتبات2!A14</f>
        <v>0</v>
      </c>
      <c r="B14" s="60" t="str">
        <f>مرتبات!B14</f>
        <v>Spare</v>
      </c>
      <c r="C14" s="68">
        <v>0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59">
        <f t="shared" si="0"/>
        <v>0</v>
      </c>
      <c r="N14" s="68">
        <f t="shared" si="1"/>
        <v>0</v>
      </c>
      <c r="O14" s="59">
        <f t="shared" si="2"/>
        <v>0</v>
      </c>
      <c r="P14" s="68">
        <f t="shared" si="3"/>
        <v>0</v>
      </c>
      <c r="Q14" s="59"/>
    </row>
    <row r="15" spans="1:17" ht="15" hidden="1" x14ac:dyDescent="0.25">
      <c r="A15">
        <f>مرتبات2!A15</f>
        <v>0</v>
      </c>
      <c r="B15" s="96" t="str">
        <f>مرتبات!B15</f>
        <v>Spare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58">
        <f t="shared" si="0"/>
        <v>0</v>
      </c>
      <c r="N15" s="69">
        <f t="shared" si="1"/>
        <v>0</v>
      </c>
      <c r="O15" s="58">
        <f t="shared" si="2"/>
        <v>0</v>
      </c>
      <c r="P15" s="69">
        <f t="shared" si="3"/>
        <v>0</v>
      </c>
      <c r="Q15" s="58"/>
    </row>
    <row r="16" spans="1:17" ht="15" hidden="1" x14ac:dyDescent="0.25">
      <c r="A16">
        <f>مرتبات2!A16</f>
        <v>0</v>
      </c>
      <c r="B16" s="60" t="str">
        <f>مرتبات!B16</f>
        <v>Spare</v>
      </c>
      <c r="C16" s="68">
        <v>0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59">
        <f t="shared" si="0"/>
        <v>0</v>
      </c>
      <c r="N16" s="68">
        <f t="shared" si="1"/>
        <v>0</v>
      </c>
      <c r="O16" s="59">
        <f t="shared" si="2"/>
        <v>0</v>
      </c>
      <c r="P16" s="68">
        <f t="shared" si="3"/>
        <v>0</v>
      </c>
      <c r="Q16" s="59"/>
    </row>
    <row r="17" spans="1:17" ht="15" hidden="1" x14ac:dyDescent="0.25">
      <c r="A17">
        <f>مرتبات2!A17</f>
        <v>0</v>
      </c>
      <c r="B17" s="96" t="str">
        <f>مرتبات!B17</f>
        <v>Spare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58">
        <f t="shared" si="0"/>
        <v>0</v>
      </c>
      <c r="N17" s="69">
        <f t="shared" si="1"/>
        <v>0</v>
      </c>
      <c r="O17" s="58">
        <f t="shared" si="2"/>
        <v>0</v>
      </c>
      <c r="P17" s="69">
        <f t="shared" si="3"/>
        <v>0</v>
      </c>
      <c r="Q17" s="58"/>
    </row>
    <row r="18" spans="1:17" ht="15.6" x14ac:dyDescent="0.3">
      <c r="A18">
        <f>مرتبات2!A18</f>
        <v>3</v>
      </c>
      <c r="B18" s="95" t="s">
        <v>61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106"/>
      <c r="O18" s="95"/>
      <c r="P18" s="106"/>
      <c r="Q18" s="95"/>
    </row>
    <row r="19" spans="1:17" ht="15" x14ac:dyDescent="0.25">
      <c r="A19">
        <f>مرتبات2!A19</f>
        <v>1</v>
      </c>
      <c r="B19" s="96" t="str">
        <f>مرتبات!B19</f>
        <v>أ/ناجى رمضان أمين محمد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58">
        <f t="shared" si="0"/>
        <v>0</v>
      </c>
      <c r="N19" s="69">
        <f t="shared" si="1"/>
        <v>0</v>
      </c>
      <c r="O19" s="58">
        <f t="shared" si="2"/>
        <v>0</v>
      </c>
      <c r="P19" s="69">
        <f t="shared" si="3"/>
        <v>0</v>
      </c>
      <c r="Q19" s="58"/>
    </row>
    <row r="20" spans="1:17" ht="15" x14ac:dyDescent="0.25">
      <c r="A20">
        <f>مرتبات2!A20</f>
        <v>2</v>
      </c>
      <c r="B20" s="60" t="str">
        <f>مرتبات!B20</f>
        <v>أ/محمد عبد العزيز عبدالحافظ</v>
      </c>
      <c r="C20" s="68">
        <v>0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59">
        <f t="shared" si="0"/>
        <v>0</v>
      </c>
      <c r="N20" s="68">
        <f t="shared" si="1"/>
        <v>0</v>
      </c>
      <c r="O20" s="59">
        <f t="shared" si="2"/>
        <v>0</v>
      </c>
      <c r="P20" s="68">
        <f t="shared" si="3"/>
        <v>0</v>
      </c>
      <c r="Q20" s="59"/>
    </row>
    <row r="21" spans="1:17" ht="15" x14ac:dyDescent="0.25">
      <c r="A21">
        <f>مرتبات2!A21</f>
        <v>3</v>
      </c>
      <c r="B21" s="96" t="str">
        <f>مرتبات!B21</f>
        <v>أ/ أحمد سعيد أحمد محمد علي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58">
        <f t="shared" si="0"/>
        <v>0</v>
      </c>
      <c r="N21" s="69">
        <f t="shared" si="1"/>
        <v>0</v>
      </c>
      <c r="O21" s="58">
        <f t="shared" si="2"/>
        <v>0</v>
      </c>
      <c r="P21" s="69">
        <f t="shared" si="3"/>
        <v>0</v>
      </c>
      <c r="Q21" s="58"/>
    </row>
    <row r="22" spans="1:17" ht="15" x14ac:dyDescent="0.25">
      <c r="A22">
        <f>مرتبات2!A22</f>
        <v>4</v>
      </c>
      <c r="B22" s="60" t="str">
        <f>مرتبات!B22</f>
        <v>أ/منة الله البلتاجى</v>
      </c>
      <c r="C22" s="68">
        <v>0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59">
        <f t="shared" si="0"/>
        <v>0</v>
      </c>
      <c r="N22" s="68">
        <f t="shared" si="1"/>
        <v>0</v>
      </c>
      <c r="O22" s="59">
        <f t="shared" si="2"/>
        <v>0</v>
      </c>
      <c r="P22" s="68">
        <f t="shared" si="3"/>
        <v>0</v>
      </c>
      <c r="Q22" s="59"/>
    </row>
    <row r="23" spans="1:17" ht="15" x14ac:dyDescent="0.25">
      <c r="A23">
        <f>مرتبات2!A23</f>
        <v>5</v>
      </c>
      <c r="B23" s="96" t="str">
        <f>مرتبات!B23</f>
        <v>أ/نهى عمرو محمد رضوان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58">
        <f t="shared" si="0"/>
        <v>0</v>
      </c>
      <c r="N23" s="69">
        <f t="shared" si="1"/>
        <v>0</v>
      </c>
      <c r="O23" s="58">
        <f t="shared" si="2"/>
        <v>0</v>
      </c>
      <c r="P23" s="69">
        <f t="shared" si="3"/>
        <v>0</v>
      </c>
      <c r="Q23" s="58"/>
    </row>
    <row r="24" spans="1:17" ht="15" x14ac:dyDescent="0.25">
      <c r="A24">
        <f>مرتبات2!A24</f>
        <v>6</v>
      </c>
      <c r="B24" s="60" t="str">
        <f>مرتبات!B24</f>
        <v>أ/عبد الله عمرو حافظ</v>
      </c>
      <c r="C24" s="68">
        <v>0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107">
        <v>0</v>
      </c>
      <c r="K24" s="107">
        <v>0</v>
      </c>
      <c r="L24" s="68">
        <v>0</v>
      </c>
      <c r="M24" s="59">
        <f t="shared" si="0"/>
        <v>0</v>
      </c>
      <c r="N24" s="68">
        <f t="shared" si="1"/>
        <v>0</v>
      </c>
      <c r="O24" s="59">
        <f t="shared" si="2"/>
        <v>0</v>
      </c>
      <c r="P24" s="68">
        <f t="shared" si="3"/>
        <v>0</v>
      </c>
      <c r="Q24" s="59"/>
    </row>
    <row r="25" spans="1:17" ht="15" x14ac:dyDescent="0.25">
      <c r="A25">
        <f>مرتبات2!A25</f>
        <v>7</v>
      </c>
      <c r="B25" s="96" t="str">
        <f>مرتبات!B25</f>
        <v>أ/محمد حمدى كامل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58">
        <f t="shared" si="0"/>
        <v>0</v>
      </c>
      <c r="N25" s="69">
        <f t="shared" si="1"/>
        <v>0</v>
      </c>
      <c r="O25" s="58">
        <f t="shared" si="2"/>
        <v>0</v>
      </c>
      <c r="P25" s="69">
        <f t="shared" si="3"/>
        <v>0</v>
      </c>
      <c r="Q25" s="58"/>
    </row>
    <row r="26" spans="1:17" ht="15" hidden="1" x14ac:dyDescent="0.25">
      <c r="A26">
        <f>مرتبات2!A26</f>
        <v>0</v>
      </c>
      <c r="B26" s="60" t="str">
        <f>مرتبات!B26</f>
        <v>Spare</v>
      </c>
      <c r="C26" s="68">
        <v>0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59">
        <f t="shared" si="0"/>
        <v>0</v>
      </c>
      <c r="N26" s="68">
        <f t="shared" si="1"/>
        <v>0</v>
      </c>
      <c r="O26" s="59">
        <f t="shared" si="2"/>
        <v>0</v>
      </c>
      <c r="P26" s="68">
        <f t="shared" si="3"/>
        <v>0</v>
      </c>
      <c r="Q26" s="59"/>
    </row>
    <row r="27" spans="1:17" ht="15" hidden="1" x14ac:dyDescent="0.25">
      <c r="A27">
        <f>مرتبات2!A27</f>
        <v>0</v>
      </c>
      <c r="B27" s="96" t="str">
        <f>مرتبات!B27</f>
        <v>Spare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58">
        <f t="shared" si="0"/>
        <v>0</v>
      </c>
      <c r="N27" s="69">
        <f t="shared" si="1"/>
        <v>0</v>
      </c>
      <c r="O27" s="58">
        <f t="shared" si="2"/>
        <v>0</v>
      </c>
      <c r="P27" s="69">
        <f t="shared" si="3"/>
        <v>0</v>
      </c>
      <c r="Q27" s="58"/>
    </row>
    <row r="28" spans="1:17" ht="15" hidden="1" x14ac:dyDescent="0.25">
      <c r="A28">
        <f>مرتبات2!A28</f>
        <v>0</v>
      </c>
      <c r="B28" s="60" t="str">
        <f>مرتبات!B28</f>
        <v>Spare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59">
        <f t="shared" si="0"/>
        <v>0</v>
      </c>
      <c r="N28" s="68">
        <f t="shared" si="1"/>
        <v>0</v>
      </c>
      <c r="O28" s="59">
        <f t="shared" si="2"/>
        <v>0</v>
      </c>
      <c r="P28" s="68">
        <f t="shared" si="3"/>
        <v>0</v>
      </c>
      <c r="Q28" s="59"/>
    </row>
    <row r="29" spans="1:17" ht="15" hidden="1" x14ac:dyDescent="0.25">
      <c r="A29">
        <f>مرتبات2!A29</f>
        <v>0</v>
      </c>
      <c r="B29" s="96" t="str">
        <f>مرتبات!B29</f>
        <v>Spare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58">
        <f t="shared" si="0"/>
        <v>0</v>
      </c>
      <c r="N29" s="69">
        <f t="shared" si="1"/>
        <v>0</v>
      </c>
      <c r="O29" s="58">
        <f t="shared" si="2"/>
        <v>0</v>
      </c>
      <c r="P29" s="69">
        <f t="shared" si="3"/>
        <v>0</v>
      </c>
      <c r="Q29" s="58"/>
    </row>
    <row r="30" spans="1:17" ht="15" hidden="1" x14ac:dyDescent="0.25">
      <c r="A30">
        <f>مرتبات2!A30</f>
        <v>0</v>
      </c>
      <c r="B30" s="60" t="str">
        <f>مرتبات!B30</f>
        <v>Spare</v>
      </c>
      <c r="C30" s="68">
        <v>0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59">
        <f t="shared" si="0"/>
        <v>0</v>
      </c>
      <c r="N30" s="68">
        <f t="shared" si="1"/>
        <v>0</v>
      </c>
      <c r="O30" s="59">
        <f t="shared" si="2"/>
        <v>0</v>
      </c>
      <c r="P30" s="68">
        <f t="shared" si="3"/>
        <v>0</v>
      </c>
      <c r="Q30" s="59"/>
    </row>
    <row r="31" spans="1:17" ht="15" hidden="1" x14ac:dyDescent="0.25">
      <c r="A31">
        <f>مرتبات2!A31</f>
        <v>0</v>
      </c>
      <c r="B31" s="96" t="str">
        <f>مرتبات!B31</f>
        <v>Spare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58">
        <f t="shared" si="0"/>
        <v>0</v>
      </c>
      <c r="N31" s="69">
        <f t="shared" si="1"/>
        <v>0</v>
      </c>
      <c r="O31" s="58">
        <f t="shared" si="2"/>
        <v>0</v>
      </c>
      <c r="P31" s="69">
        <f t="shared" si="3"/>
        <v>0</v>
      </c>
      <c r="Q31" s="58"/>
    </row>
    <row r="32" spans="1:17" ht="15" hidden="1" x14ac:dyDescent="0.25">
      <c r="A32">
        <f>مرتبات2!A32</f>
        <v>0</v>
      </c>
      <c r="B32" s="60" t="str">
        <f>مرتبات!B32</f>
        <v>Spare</v>
      </c>
      <c r="C32" s="68">
        <v>0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59">
        <f t="shared" si="0"/>
        <v>0</v>
      </c>
      <c r="N32" s="68">
        <f t="shared" si="1"/>
        <v>0</v>
      </c>
      <c r="O32" s="59">
        <f t="shared" si="2"/>
        <v>0</v>
      </c>
      <c r="P32" s="68">
        <f t="shared" si="3"/>
        <v>0</v>
      </c>
      <c r="Q32" s="59"/>
    </row>
    <row r="33" spans="1:17" ht="15" x14ac:dyDescent="0.25">
      <c r="A33">
        <f>مرتبات2!A33</f>
        <v>8</v>
      </c>
      <c r="B33" s="96" t="str">
        <f>مرتبات!B33</f>
        <v>أ/أحمد سيف الدين أبو بكر سري الدين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58">
        <f t="shared" si="0"/>
        <v>0</v>
      </c>
      <c r="N33" s="69">
        <f t="shared" si="1"/>
        <v>0</v>
      </c>
      <c r="O33" s="58">
        <f t="shared" si="2"/>
        <v>0</v>
      </c>
      <c r="P33" s="69">
        <f t="shared" si="3"/>
        <v>0</v>
      </c>
      <c r="Q33" s="58"/>
    </row>
    <row r="34" spans="1:17" ht="15" x14ac:dyDescent="0.25">
      <c r="A34">
        <f>مرتبات2!A34</f>
        <v>9</v>
      </c>
      <c r="B34" s="60" t="str">
        <f>مرتبات!B34</f>
        <v>أ/هاني أحمد الدالي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59">
        <f t="shared" si="0"/>
        <v>0</v>
      </c>
      <c r="N34" s="68">
        <f t="shared" si="1"/>
        <v>0</v>
      </c>
      <c r="O34" s="59">
        <f t="shared" si="2"/>
        <v>0</v>
      </c>
      <c r="P34" s="68">
        <f t="shared" si="3"/>
        <v>0</v>
      </c>
      <c r="Q34" s="59"/>
    </row>
    <row r="35" spans="1:17" ht="15" x14ac:dyDescent="0.25">
      <c r="A35">
        <f>مرتبات2!A35</f>
        <v>10</v>
      </c>
      <c r="B35" s="96" t="str">
        <f>مرتبات!B35</f>
        <v>أ/عبدالرحمن أحمد عبدالعزيز حسن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58">
        <f t="shared" si="0"/>
        <v>0</v>
      </c>
      <c r="N35" s="69">
        <f t="shared" si="1"/>
        <v>0</v>
      </c>
      <c r="O35" s="58">
        <f t="shared" si="2"/>
        <v>0</v>
      </c>
      <c r="P35" s="69">
        <f t="shared" si="3"/>
        <v>0</v>
      </c>
      <c r="Q35" s="58"/>
    </row>
    <row r="36" spans="1:17" ht="15" hidden="1" x14ac:dyDescent="0.25">
      <c r="A36">
        <f>مرتبات2!A36</f>
        <v>0</v>
      </c>
      <c r="B36" s="60" t="str">
        <f>مرتبات!B36</f>
        <v>Spare</v>
      </c>
      <c r="C36" s="68">
        <v>0</v>
      </c>
      <c r="D36" s="68">
        <v>0</v>
      </c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59">
        <f t="shared" si="0"/>
        <v>0</v>
      </c>
      <c r="N36" s="68">
        <f t="shared" si="1"/>
        <v>0</v>
      </c>
      <c r="O36" s="59">
        <f t="shared" si="2"/>
        <v>0</v>
      </c>
      <c r="P36" s="68">
        <f t="shared" si="3"/>
        <v>0</v>
      </c>
      <c r="Q36" s="59"/>
    </row>
    <row r="37" spans="1:17" ht="15" hidden="1" x14ac:dyDescent="0.25">
      <c r="A37">
        <f>مرتبات2!A37</f>
        <v>0</v>
      </c>
      <c r="B37" s="96" t="str">
        <f>مرتبات!B37</f>
        <v>Spare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58">
        <f t="shared" si="0"/>
        <v>0</v>
      </c>
      <c r="N37" s="69">
        <f t="shared" si="1"/>
        <v>0</v>
      </c>
      <c r="O37" s="58">
        <f t="shared" si="2"/>
        <v>0</v>
      </c>
      <c r="P37" s="69">
        <f t="shared" si="3"/>
        <v>0</v>
      </c>
      <c r="Q37" s="58"/>
    </row>
    <row r="38" spans="1:17" ht="15" hidden="1" x14ac:dyDescent="0.25">
      <c r="A38">
        <f>مرتبات2!A38</f>
        <v>0</v>
      </c>
      <c r="B38" s="60" t="str">
        <f>مرتبات!B38</f>
        <v>Spare</v>
      </c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59">
        <f t="shared" si="0"/>
        <v>0</v>
      </c>
      <c r="N38" s="68">
        <f t="shared" si="1"/>
        <v>0</v>
      </c>
      <c r="O38" s="59">
        <f t="shared" si="2"/>
        <v>0</v>
      </c>
      <c r="P38" s="68">
        <f t="shared" si="3"/>
        <v>0</v>
      </c>
      <c r="Q38" s="59"/>
    </row>
    <row r="39" spans="1:17" ht="15" hidden="1" x14ac:dyDescent="0.25">
      <c r="A39">
        <f>مرتبات2!A39</f>
        <v>0</v>
      </c>
      <c r="B39" s="96" t="str">
        <f>مرتبات!B39</f>
        <v>Spare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58">
        <f t="shared" si="0"/>
        <v>0</v>
      </c>
      <c r="N39" s="69">
        <f t="shared" si="1"/>
        <v>0</v>
      </c>
      <c r="O39" s="58">
        <f t="shared" si="2"/>
        <v>0</v>
      </c>
      <c r="P39" s="69">
        <f t="shared" si="3"/>
        <v>0</v>
      </c>
      <c r="Q39" s="58"/>
    </row>
    <row r="40" spans="1:17" ht="15" hidden="1" x14ac:dyDescent="0.25">
      <c r="A40">
        <f>مرتبات2!A40</f>
        <v>0</v>
      </c>
      <c r="B40" s="60" t="str">
        <f>مرتبات!B40</f>
        <v>Spare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59">
        <f t="shared" si="0"/>
        <v>0</v>
      </c>
      <c r="N40" s="68">
        <f t="shared" si="1"/>
        <v>0</v>
      </c>
      <c r="O40" s="59">
        <f t="shared" si="2"/>
        <v>0</v>
      </c>
      <c r="P40" s="68">
        <f t="shared" si="3"/>
        <v>0</v>
      </c>
      <c r="Q40" s="59"/>
    </row>
    <row r="41" spans="1:17" ht="15" hidden="1" x14ac:dyDescent="0.25">
      <c r="A41">
        <f>مرتبات2!A41</f>
        <v>0</v>
      </c>
      <c r="B41" s="96" t="str">
        <f>مرتبات!B41</f>
        <v>Spare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58">
        <f t="shared" si="0"/>
        <v>0</v>
      </c>
      <c r="N41" s="69">
        <f t="shared" si="1"/>
        <v>0</v>
      </c>
      <c r="O41" s="58">
        <f t="shared" si="2"/>
        <v>0</v>
      </c>
      <c r="P41" s="69">
        <f t="shared" si="3"/>
        <v>0</v>
      </c>
      <c r="Q41" s="58"/>
    </row>
    <row r="42" spans="1:17" ht="15" hidden="1" x14ac:dyDescent="0.25">
      <c r="A42">
        <f>مرتبات2!A42</f>
        <v>0</v>
      </c>
      <c r="B42" s="60" t="str">
        <f>مرتبات!B42</f>
        <v>Spare</v>
      </c>
      <c r="C42" s="68">
        <v>0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59">
        <f t="shared" si="0"/>
        <v>0</v>
      </c>
      <c r="N42" s="68">
        <f t="shared" si="1"/>
        <v>0</v>
      </c>
      <c r="O42" s="59">
        <f t="shared" si="2"/>
        <v>0</v>
      </c>
      <c r="P42" s="68">
        <f t="shared" si="3"/>
        <v>0</v>
      </c>
      <c r="Q42" s="59"/>
    </row>
    <row r="43" spans="1:17" ht="15" hidden="1" x14ac:dyDescent="0.25">
      <c r="A43">
        <f>مرتبات2!A43</f>
        <v>0</v>
      </c>
      <c r="B43" s="96" t="str">
        <f>مرتبات!B43</f>
        <v>Spare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58">
        <f t="shared" si="0"/>
        <v>0</v>
      </c>
      <c r="N43" s="69">
        <f t="shared" si="1"/>
        <v>0</v>
      </c>
      <c r="O43" s="58">
        <f t="shared" si="2"/>
        <v>0</v>
      </c>
      <c r="P43" s="69">
        <f t="shared" si="3"/>
        <v>0</v>
      </c>
      <c r="Q43" s="58"/>
    </row>
    <row r="44" spans="1:17" ht="15" hidden="1" x14ac:dyDescent="0.25">
      <c r="A44">
        <f>مرتبات2!A44</f>
        <v>0</v>
      </c>
      <c r="B44" s="60" t="str">
        <f>مرتبات!B44</f>
        <v>Spare</v>
      </c>
      <c r="C44" s="68">
        <v>0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59">
        <f t="shared" si="0"/>
        <v>0</v>
      </c>
      <c r="N44" s="68">
        <f t="shared" si="1"/>
        <v>0</v>
      </c>
      <c r="O44" s="59">
        <f t="shared" si="2"/>
        <v>0</v>
      </c>
      <c r="P44" s="68">
        <f t="shared" si="3"/>
        <v>0</v>
      </c>
      <c r="Q44" s="59"/>
    </row>
    <row r="45" spans="1:17" ht="15" x14ac:dyDescent="0.25">
      <c r="A45">
        <f>مرتبات2!A45</f>
        <v>11</v>
      </c>
      <c r="B45" s="96" t="str">
        <f>مرتبات!B45</f>
        <v>أ/حبيبة محمود سمير محمود عيسى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98">
        <v>0</v>
      </c>
      <c r="I45" s="69">
        <v>0</v>
      </c>
      <c r="J45" s="69">
        <v>0</v>
      </c>
      <c r="K45" s="69">
        <v>0</v>
      </c>
      <c r="L45" s="69">
        <v>0</v>
      </c>
      <c r="M45" s="58">
        <f t="shared" si="0"/>
        <v>0</v>
      </c>
      <c r="N45" s="69">
        <f t="shared" si="1"/>
        <v>0</v>
      </c>
      <c r="O45" s="58">
        <f t="shared" si="2"/>
        <v>0</v>
      </c>
      <c r="P45" s="69">
        <f t="shared" si="3"/>
        <v>0</v>
      </c>
      <c r="Q45" s="114" t="s">
        <v>152</v>
      </c>
    </row>
    <row r="46" spans="1:17" ht="15" x14ac:dyDescent="0.25">
      <c r="A46">
        <f>مرتبات2!A46</f>
        <v>12</v>
      </c>
      <c r="B46" s="60" t="str">
        <f>مرتبات!B46</f>
        <v>أ/احمد ابو العباس محمد الاتربي</v>
      </c>
      <c r="C46" s="68">
        <v>0</v>
      </c>
      <c r="D46" s="68">
        <v>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59">
        <f t="shared" si="0"/>
        <v>0</v>
      </c>
      <c r="N46" s="68">
        <f t="shared" si="1"/>
        <v>0</v>
      </c>
      <c r="O46" s="59">
        <f t="shared" si="2"/>
        <v>0</v>
      </c>
      <c r="P46" s="68">
        <f t="shared" si="3"/>
        <v>0</v>
      </c>
      <c r="Q46" s="59"/>
    </row>
    <row r="47" spans="1:17" ht="15" x14ac:dyDescent="0.25">
      <c r="A47">
        <f>مرتبات2!A47</f>
        <v>13</v>
      </c>
      <c r="B47" s="96" t="str">
        <f>مرتبات!B47</f>
        <v>أ/ليلي امين محمد امين طموم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58">
        <f t="shared" si="0"/>
        <v>0</v>
      </c>
      <c r="N47" s="69">
        <f t="shared" si="1"/>
        <v>0</v>
      </c>
      <c r="O47" s="58">
        <f t="shared" si="2"/>
        <v>0</v>
      </c>
      <c r="P47" s="69">
        <f t="shared" si="3"/>
        <v>0</v>
      </c>
      <c r="Q47" s="58"/>
    </row>
    <row r="48" spans="1:17" ht="15" x14ac:dyDescent="0.25">
      <c r="A48">
        <f>مرتبات2!A48</f>
        <v>14</v>
      </c>
      <c r="B48" s="60" t="str">
        <f>مرتبات!B48</f>
        <v>أ/كريم ايمن محمد عادل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59">
        <f t="shared" si="0"/>
        <v>0</v>
      </c>
      <c r="N48" s="68">
        <f t="shared" si="1"/>
        <v>0</v>
      </c>
      <c r="O48" s="59">
        <f t="shared" si="2"/>
        <v>0</v>
      </c>
      <c r="P48" s="68">
        <f t="shared" si="3"/>
        <v>0</v>
      </c>
      <c r="Q48" s="59"/>
    </row>
    <row r="49" spans="1:17" ht="15" x14ac:dyDescent="0.25">
      <c r="A49">
        <f>مرتبات2!A49</f>
        <v>15</v>
      </c>
      <c r="B49" s="96" t="str">
        <f>مرتبات!B49</f>
        <v>عمرو محمد عبدالحليم أبو سليم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58">
        <f t="shared" si="0"/>
        <v>0</v>
      </c>
      <c r="N49" s="69">
        <f t="shared" si="1"/>
        <v>0</v>
      </c>
      <c r="O49" s="58">
        <f t="shared" si="2"/>
        <v>0</v>
      </c>
      <c r="P49" s="69">
        <f t="shared" si="3"/>
        <v>0</v>
      </c>
      <c r="Q49" s="58"/>
    </row>
    <row r="50" spans="1:17" ht="15" hidden="1" x14ac:dyDescent="0.25">
      <c r="A50">
        <f>مرتبات2!A50</f>
        <v>0</v>
      </c>
      <c r="B50" s="60" t="str">
        <f>مرتبات!B50</f>
        <v>Spare</v>
      </c>
      <c r="C50" s="68">
        <v>0</v>
      </c>
      <c r="D50" s="68">
        <v>0</v>
      </c>
      <c r="E50" s="68">
        <v>0</v>
      </c>
      <c r="F50" s="68">
        <v>0</v>
      </c>
      <c r="G50" s="68">
        <v>0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59">
        <f t="shared" si="0"/>
        <v>0</v>
      </c>
      <c r="N50" s="68">
        <f t="shared" si="1"/>
        <v>0</v>
      </c>
      <c r="O50" s="59">
        <f t="shared" si="2"/>
        <v>0</v>
      </c>
      <c r="P50" s="68">
        <f t="shared" si="3"/>
        <v>0</v>
      </c>
      <c r="Q50" s="59"/>
    </row>
    <row r="51" spans="1:17" ht="15" hidden="1" x14ac:dyDescent="0.25">
      <c r="A51">
        <f>مرتبات2!A51</f>
        <v>0</v>
      </c>
      <c r="B51" s="96" t="str">
        <f>مرتبات!B51</f>
        <v>Spare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58">
        <f t="shared" si="0"/>
        <v>0</v>
      </c>
      <c r="N51" s="69">
        <f t="shared" si="1"/>
        <v>0</v>
      </c>
      <c r="O51" s="58">
        <f t="shared" si="2"/>
        <v>0</v>
      </c>
      <c r="P51" s="69">
        <f t="shared" si="3"/>
        <v>0</v>
      </c>
      <c r="Q51" s="58"/>
    </row>
    <row r="52" spans="1:17" ht="15" hidden="1" x14ac:dyDescent="0.25">
      <c r="A52">
        <f>مرتبات2!A52</f>
        <v>0</v>
      </c>
      <c r="B52" s="60" t="str">
        <f>مرتبات!B52</f>
        <v>Spare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59">
        <f t="shared" si="0"/>
        <v>0</v>
      </c>
      <c r="N52" s="68">
        <f t="shared" si="1"/>
        <v>0</v>
      </c>
      <c r="O52" s="59">
        <f t="shared" si="2"/>
        <v>0</v>
      </c>
      <c r="P52" s="68">
        <f t="shared" si="3"/>
        <v>0</v>
      </c>
      <c r="Q52" s="59"/>
    </row>
    <row r="53" spans="1:17" ht="15" hidden="1" x14ac:dyDescent="0.25">
      <c r="A53">
        <f>مرتبات2!A53</f>
        <v>0</v>
      </c>
      <c r="B53" s="96" t="str">
        <f>مرتبات!B53</f>
        <v>Spare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58">
        <f t="shared" si="0"/>
        <v>0</v>
      </c>
      <c r="N53" s="69">
        <f t="shared" si="1"/>
        <v>0</v>
      </c>
      <c r="O53" s="58">
        <f t="shared" si="2"/>
        <v>0</v>
      </c>
      <c r="P53" s="69">
        <f t="shared" si="3"/>
        <v>0</v>
      </c>
      <c r="Q53" s="58"/>
    </row>
    <row r="54" spans="1:17" ht="15" hidden="1" x14ac:dyDescent="0.25">
      <c r="A54">
        <f>مرتبات2!A54</f>
        <v>0</v>
      </c>
      <c r="B54" s="60" t="str">
        <f>مرتبات!B54</f>
        <v>Spare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59">
        <f t="shared" si="0"/>
        <v>0</v>
      </c>
      <c r="N54" s="68">
        <f t="shared" si="1"/>
        <v>0</v>
      </c>
      <c r="O54" s="59">
        <f t="shared" si="2"/>
        <v>0</v>
      </c>
      <c r="P54" s="68">
        <f t="shared" si="3"/>
        <v>0</v>
      </c>
      <c r="Q54" s="59"/>
    </row>
    <row r="55" spans="1:17" ht="15" hidden="1" x14ac:dyDescent="0.25">
      <c r="A55">
        <f>مرتبات2!A55</f>
        <v>0</v>
      </c>
      <c r="B55" s="96" t="str">
        <f>مرتبات!B55</f>
        <v>Spare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58">
        <f t="shared" si="0"/>
        <v>0</v>
      </c>
      <c r="N55" s="69">
        <f t="shared" si="1"/>
        <v>0</v>
      </c>
      <c r="O55" s="58">
        <f t="shared" si="2"/>
        <v>0</v>
      </c>
      <c r="P55" s="69">
        <f t="shared" si="3"/>
        <v>0</v>
      </c>
      <c r="Q55" s="58"/>
    </row>
    <row r="56" spans="1:17" ht="15.6" x14ac:dyDescent="0.3">
      <c r="A56">
        <f>مرتبات2!A56</f>
        <v>15</v>
      </c>
      <c r="B56" s="95" t="s">
        <v>89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106"/>
      <c r="O56" s="95"/>
      <c r="P56" s="106"/>
      <c r="Q56" s="95"/>
    </row>
    <row r="57" spans="1:17" ht="15" x14ac:dyDescent="0.25">
      <c r="A57">
        <f>مرتبات2!A57</f>
        <v>1</v>
      </c>
      <c r="B57" s="96" t="str">
        <f>مرتبات!B57</f>
        <v>أ/دعاء عبد الدايم إبراهيم نصار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58">
        <f t="shared" si="0"/>
        <v>0</v>
      </c>
      <c r="N57" s="69">
        <f t="shared" si="1"/>
        <v>0</v>
      </c>
      <c r="O57" s="58">
        <f t="shared" si="2"/>
        <v>0</v>
      </c>
      <c r="P57" s="69">
        <f t="shared" si="3"/>
        <v>0</v>
      </c>
      <c r="Q57" s="58"/>
    </row>
    <row r="58" spans="1:17" ht="15" x14ac:dyDescent="0.25">
      <c r="A58">
        <f>مرتبات2!A58</f>
        <v>2</v>
      </c>
      <c r="B58" s="60" t="str">
        <f>مرتبات!B58</f>
        <v>أ/أحمد محمد رزق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97">
        <v>0</v>
      </c>
      <c r="J58" s="68">
        <v>0</v>
      </c>
      <c r="K58" s="68">
        <v>0</v>
      </c>
      <c r="L58" s="68">
        <v>0</v>
      </c>
      <c r="M58" s="59">
        <f t="shared" si="0"/>
        <v>0</v>
      </c>
      <c r="N58" s="68">
        <f t="shared" si="1"/>
        <v>0</v>
      </c>
      <c r="O58" s="59">
        <f t="shared" si="2"/>
        <v>0</v>
      </c>
      <c r="P58" s="68">
        <f t="shared" si="3"/>
        <v>0</v>
      </c>
      <c r="Q58" s="59"/>
    </row>
    <row r="59" spans="1:17" ht="15" hidden="1" x14ac:dyDescent="0.25">
      <c r="A59">
        <f>مرتبات2!A59</f>
        <v>0</v>
      </c>
      <c r="B59" s="96" t="str">
        <f>مرتبات!B59</f>
        <v>Manager Spare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58">
        <f t="shared" si="0"/>
        <v>0</v>
      </c>
      <c r="N59" s="69">
        <f t="shared" si="1"/>
        <v>0</v>
      </c>
      <c r="O59" s="58">
        <f t="shared" si="2"/>
        <v>0</v>
      </c>
      <c r="P59" s="69">
        <f t="shared" si="3"/>
        <v>0</v>
      </c>
      <c r="Q59" s="58"/>
    </row>
    <row r="60" spans="1:17" ht="15" hidden="1" x14ac:dyDescent="0.25">
      <c r="A60">
        <f>مرتبات2!A60</f>
        <v>0</v>
      </c>
      <c r="B60" s="60" t="str">
        <f>مرتبات!B60</f>
        <v>Manager Spare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59">
        <f t="shared" si="0"/>
        <v>0</v>
      </c>
      <c r="N60" s="68">
        <f t="shared" si="1"/>
        <v>0</v>
      </c>
      <c r="O60" s="59">
        <f t="shared" si="2"/>
        <v>0</v>
      </c>
      <c r="P60" s="68">
        <f t="shared" si="3"/>
        <v>0</v>
      </c>
      <c r="Q60" s="59"/>
    </row>
    <row r="61" spans="1:17" ht="15" hidden="1" x14ac:dyDescent="0.25">
      <c r="A61">
        <f>مرتبات2!A61</f>
        <v>0</v>
      </c>
      <c r="B61" s="96" t="str">
        <f>مرتبات!B61</f>
        <v>Manager Spare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58">
        <f t="shared" si="0"/>
        <v>0</v>
      </c>
      <c r="N61" s="69">
        <f t="shared" si="1"/>
        <v>0</v>
      </c>
      <c r="O61" s="58">
        <f t="shared" si="2"/>
        <v>0</v>
      </c>
      <c r="P61" s="69">
        <f t="shared" si="3"/>
        <v>0</v>
      </c>
      <c r="Q61" s="58"/>
    </row>
    <row r="62" spans="1:17" ht="15" x14ac:dyDescent="0.25">
      <c r="A62">
        <f>مرتبات2!A62</f>
        <v>3</v>
      </c>
      <c r="B62" s="60" t="str">
        <f>مرتبات!B62</f>
        <v>أ/خالد محمد حلمى</v>
      </c>
      <c r="C62" s="68">
        <v>0</v>
      </c>
      <c r="D62" s="68">
        <v>0</v>
      </c>
      <c r="E62" s="68">
        <v>0</v>
      </c>
      <c r="F62" s="68">
        <v>0</v>
      </c>
      <c r="G62" s="68">
        <v>0</v>
      </c>
      <c r="H62" s="68">
        <v>0</v>
      </c>
      <c r="I62" s="97">
        <v>0</v>
      </c>
      <c r="J62" s="68">
        <v>0</v>
      </c>
      <c r="K62" s="68">
        <v>0</v>
      </c>
      <c r="L62" s="68">
        <v>0</v>
      </c>
      <c r="M62" s="59">
        <f t="shared" si="0"/>
        <v>0</v>
      </c>
      <c r="N62" s="68">
        <f t="shared" si="1"/>
        <v>0</v>
      </c>
      <c r="O62" s="59">
        <f t="shared" si="2"/>
        <v>0</v>
      </c>
      <c r="P62" s="68">
        <f t="shared" si="3"/>
        <v>0</v>
      </c>
      <c r="Q62" s="59"/>
    </row>
    <row r="63" spans="1:17" ht="15" x14ac:dyDescent="0.25">
      <c r="A63">
        <f>مرتبات2!A63</f>
        <v>4</v>
      </c>
      <c r="B63" s="96" t="str">
        <f>مرتبات!B63</f>
        <v>أ/ نيرمين عصمت محمد حجازي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58">
        <f t="shared" si="0"/>
        <v>0</v>
      </c>
      <c r="N63" s="69">
        <f t="shared" si="1"/>
        <v>0</v>
      </c>
      <c r="O63" s="58">
        <f t="shared" si="2"/>
        <v>0</v>
      </c>
      <c r="P63" s="69">
        <f t="shared" si="3"/>
        <v>0</v>
      </c>
      <c r="Q63" s="58"/>
    </row>
    <row r="64" spans="1:17" ht="15" hidden="1" x14ac:dyDescent="0.25">
      <c r="A64">
        <f>مرتبات2!A64</f>
        <v>0</v>
      </c>
      <c r="B64" s="60" t="str">
        <f>مرتبات!B64</f>
        <v>Senior Spare</v>
      </c>
      <c r="C64" s="68">
        <v>0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59">
        <f t="shared" si="0"/>
        <v>0</v>
      </c>
      <c r="N64" s="68">
        <f t="shared" si="1"/>
        <v>0</v>
      </c>
      <c r="O64" s="59">
        <f t="shared" si="2"/>
        <v>0</v>
      </c>
      <c r="P64" s="68">
        <f t="shared" si="3"/>
        <v>0</v>
      </c>
      <c r="Q64" s="59"/>
    </row>
    <row r="65" spans="1:17" ht="15" hidden="1" x14ac:dyDescent="0.25">
      <c r="A65">
        <f>مرتبات2!A65</f>
        <v>0</v>
      </c>
      <c r="B65" s="96" t="str">
        <f>مرتبات!B65</f>
        <v>Senior Spare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58">
        <f t="shared" si="0"/>
        <v>0</v>
      </c>
      <c r="N65" s="69">
        <f t="shared" si="1"/>
        <v>0</v>
      </c>
      <c r="O65" s="58">
        <f t="shared" si="2"/>
        <v>0</v>
      </c>
      <c r="P65" s="69">
        <f t="shared" si="3"/>
        <v>0</v>
      </c>
      <c r="Q65" s="58"/>
    </row>
    <row r="66" spans="1:17" ht="15" hidden="1" x14ac:dyDescent="0.25">
      <c r="A66">
        <f>مرتبات2!A66</f>
        <v>0</v>
      </c>
      <c r="B66" s="60" t="str">
        <f>مرتبات!B66</f>
        <v>Senior Spare</v>
      </c>
      <c r="C66" s="68">
        <v>0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59">
        <f t="shared" si="0"/>
        <v>0</v>
      </c>
      <c r="N66" s="68">
        <f t="shared" si="1"/>
        <v>0</v>
      </c>
      <c r="O66" s="59">
        <f t="shared" si="2"/>
        <v>0</v>
      </c>
      <c r="P66" s="68">
        <f t="shared" si="3"/>
        <v>0</v>
      </c>
      <c r="Q66" s="59"/>
    </row>
    <row r="67" spans="1:17" ht="15" hidden="1" x14ac:dyDescent="0.25">
      <c r="A67">
        <f>مرتبات2!A67</f>
        <v>0</v>
      </c>
      <c r="B67" s="96" t="str">
        <f>مرتبات!B67</f>
        <v>Senior Spare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58">
        <f t="shared" si="0"/>
        <v>0</v>
      </c>
      <c r="N67" s="69">
        <f t="shared" si="1"/>
        <v>0</v>
      </c>
      <c r="O67" s="58">
        <f t="shared" si="2"/>
        <v>0</v>
      </c>
      <c r="P67" s="69">
        <f t="shared" si="3"/>
        <v>0</v>
      </c>
      <c r="Q67" s="58"/>
    </row>
    <row r="68" spans="1:17" ht="15" x14ac:dyDescent="0.25">
      <c r="A68">
        <f>مرتبات2!A68</f>
        <v>5</v>
      </c>
      <c r="B68" s="60" t="str">
        <f>مرتبات!B68</f>
        <v>أ/مروة شريف عبدالحميد سلامة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59">
        <f t="shared" si="0"/>
        <v>0</v>
      </c>
      <c r="N68" s="68">
        <f t="shared" si="1"/>
        <v>0</v>
      </c>
      <c r="O68" s="59">
        <f t="shared" si="2"/>
        <v>0</v>
      </c>
      <c r="P68" s="68">
        <f t="shared" si="3"/>
        <v>0</v>
      </c>
      <c r="Q68" s="59"/>
    </row>
    <row r="69" spans="1:17" ht="15" x14ac:dyDescent="0.25">
      <c r="A69">
        <f>مرتبات2!A69</f>
        <v>6</v>
      </c>
      <c r="B69" s="96" t="str">
        <f>مرتبات!B69</f>
        <v>أ/حازم ابراهيم عبد الحميد محمد فتاتة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58">
        <f t="shared" ref="M69:M100" si="4">SUM(C69:E69)+L69</f>
        <v>0</v>
      </c>
      <c r="N69" s="69">
        <f t="shared" ref="N69:N100" si="5">SUM(I69:K69)</f>
        <v>0</v>
      </c>
      <c r="O69" s="58">
        <f t="shared" ref="O69:O100" si="6">SUM(G69:H69)</f>
        <v>0</v>
      </c>
      <c r="P69" s="69">
        <f t="shared" ref="P69:P100" si="7">SUM(M69:O69)</f>
        <v>0</v>
      </c>
      <c r="Q69" s="58"/>
    </row>
    <row r="70" spans="1:17" ht="15" x14ac:dyDescent="0.25">
      <c r="A70" s="110">
        <f>مرتبات2!A70</f>
        <v>0</v>
      </c>
      <c r="B70" s="111" t="str">
        <f>مرتبات!B70</f>
        <v xml:space="preserve">أ/أحمد سمير حسن السيد 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112">
        <f t="shared" si="4"/>
        <v>0</v>
      </c>
      <c r="N70" s="99">
        <f t="shared" si="5"/>
        <v>0</v>
      </c>
      <c r="O70" s="112">
        <f t="shared" si="6"/>
        <v>0</v>
      </c>
      <c r="P70" s="99">
        <f t="shared" si="7"/>
        <v>0</v>
      </c>
      <c r="Q70" s="112" t="s">
        <v>153</v>
      </c>
    </row>
    <row r="71" spans="1:17" ht="15" x14ac:dyDescent="0.25">
      <c r="A71">
        <f>مرتبات2!A71</f>
        <v>7</v>
      </c>
      <c r="B71" s="96" t="str">
        <f>مرتبات!B71</f>
        <v>أ/إيمان صبحى شكرى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113">
        <v>0</v>
      </c>
      <c r="J71" s="69">
        <v>0</v>
      </c>
      <c r="K71" s="69">
        <v>0</v>
      </c>
      <c r="L71" s="69">
        <v>0</v>
      </c>
      <c r="M71" s="58">
        <f t="shared" si="4"/>
        <v>0</v>
      </c>
      <c r="N71" s="69">
        <f t="shared" si="5"/>
        <v>0</v>
      </c>
      <c r="O71" s="58">
        <f t="shared" si="6"/>
        <v>0</v>
      </c>
      <c r="P71" s="69">
        <f t="shared" si="7"/>
        <v>0</v>
      </c>
      <c r="Q71" s="58"/>
    </row>
    <row r="72" spans="1:17" ht="15" x14ac:dyDescent="0.25">
      <c r="A72">
        <f>مرتبات2!A72</f>
        <v>8</v>
      </c>
      <c r="B72" s="60" t="str">
        <f>مرتبات!B72</f>
        <v>أ/شريف شكرى محمد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59">
        <f t="shared" si="4"/>
        <v>0</v>
      </c>
      <c r="N72" s="68">
        <f t="shared" si="5"/>
        <v>0</v>
      </c>
      <c r="O72" s="59">
        <f t="shared" si="6"/>
        <v>0</v>
      </c>
      <c r="P72" s="68">
        <f t="shared" si="7"/>
        <v>0</v>
      </c>
      <c r="Q72" s="59"/>
    </row>
    <row r="73" spans="1:17" ht="15" x14ac:dyDescent="0.25">
      <c r="A73">
        <f>مرتبات2!A73</f>
        <v>9</v>
      </c>
      <c r="B73" s="96" t="str">
        <f>مرتبات!B73</f>
        <v>أ/محمد حسن محمد كامل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58">
        <f t="shared" si="4"/>
        <v>0</v>
      </c>
      <c r="N73" s="69">
        <f t="shared" si="5"/>
        <v>0</v>
      </c>
      <c r="O73" s="58">
        <f t="shared" si="6"/>
        <v>0</v>
      </c>
      <c r="P73" s="69">
        <f t="shared" si="7"/>
        <v>0</v>
      </c>
      <c r="Q73" s="58"/>
    </row>
    <row r="74" spans="1:17" ht="15" x14ac:dyDescent="0.25">
      <c r="A74">
        <f>مرتبات2!A74</f>
        <v>10</v>
      </c>
      <c r="B74" s="60" t="str">
        <f>مرتبات!B74</f>
        <v>أ/سامي ابراهيم محمد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59">
        <f t="shared" si="4"/>
        <v>0</v>
      </c>
      <c r="N74" s="68">
        <f t="shared" si="5"/>
        <v>0</v>
      </c>
      <c r="O74" s="59">
        <f t="shared" si="6"/>
        <v>0</v>
      </c>
      <c r="P74" s="68">
        <f t="shared" si="7"/>
        <v>0</v>
      </c>
      <c r="Q74" s="59"/>
    </row>
    <row r="75" spans="1:17" ht="15" x14ac:dyDescent="0.25">
      <c r="A75">
        <f>مرتبات2!A75</f>
        <v>11</v>
      </c>
      <c r="B75" s="96" t="str">
        <f>مرتبات!B75</f>
        <v>أ/محمود على محمود حسين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8">
        <v>0</v>
      </c>
      <c r="L75" s="69">
        <v>0</v>
      </c>
      <c r="M75" s="58">
        <f t="shared" si="4"/>
        <v>0</v>
      </c>
      <c r="N75" s="69">
        <f t="shared" si="5"/>
        <v>0</v>
      </c>
      <c r="O75" s="58">
        <f t="shared" si="6"/>
        <v>0</v>
      </c>
      <c r="P75" s="69">
        <f t="shared" si="7"/>
        <v>0</v>
      </c>
      <c r="Q75" s="58"/>
    </row>
    <row r="76" spans="1:17" ht="15" x14ac:dyDescent="0.25">
      <c r="A76">
        <f>مرتبات2!A76</f>
        <v>12</v>
      </c>
      <c r="B76" s="60" t="str">
        <f>مرتبات!B76</f>
        <v>أ/عمرو عبد الكريم صقر</v>
      </c>
      <c r="C76" s="68">
        <v>0</v>
      </c>
      <c r="D76" s="68">
        <v>0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59">
        <f t="shared" si="4"/>
        <v>0</v>
      </c>
      <c r="N76" s="68">
        <f t="shared" si="5"/>
        <v>0</v>
      </c>
      <c r="O76" s="59">
        <f t="shared" si="6"/>
        <v>0</v>
      </c>
      <c r="P76" s="68">
        <f t="shared" si="7"/>
        <v>0</v>
      </c>
      <c r="Q76" s="59"/>
    </row>
    <row r="77" spans="1:17" ht="15" x14ac:dyDescent="0.25">
      <c r="A77">
        <f>مرتبات2!A77</f>
        <v>13</v>
      </c>
      <c r="B77" s="96" t="str">
        <f>مرتبات!B77</f>
        <v>أ/مختار احمد المجدلي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58">
        <f t="shared" si="4"/>
        <v>0</v>
      </c>
      <c r="N77" s="69">
        <f t="shared" si="5"/>
        <v>0</v>
      </c>
      <c r="O77" s="58">
        <f t="shared" si="6"/>
        <v>0</v>
      </c>
      <c r="P77" s="69">
        <f t="shared" si="7"/>
        <v>0</v>
      </c>
      <c r="Q77" s="58"/>
    </row>
    <row r="78" spans="1:17" ht="15" x14ac:dyDescent="0.25">
      <c r="A78">
        <f>مرتبات2!A78</f>
        <v>14</v>
      </c>
      <c r="B78" s="60" t="str">
        <f>مرتبات!B78</f>
        <v>أ/طارق محمد جمعه</v>
      </c>
      <c r="C78" s="68">
        <v>0</v>
      </c>
      <c r="D78" s="68">
        <v>0</v>
      </c>
      <c r="E78" s="68">
        <v>0</v>
      </c>
      <c r="F78" s="68">
        <v>0</v>
      </c>
      <c r="G78" s="68">
        <v>0</v>
      </c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59">
        <f t="shared" si="4"/>
        <v>0</v>
      </c>
      <c r="N78" s="68">
        <f t="shared" si="5"/>
        <v>0</v>
      </c>
      <c r="O78" s="59">
        <f t="shared" si="6"/>
        <v>0</v>
      </c>
      <c r="P78" s="68">
        <f t="shared" si="7"/>
        <v>0</v>
      </c>
      <c r="Q78" s="59"/>
    </row>
    <row r="79" spans="1:17" ht="15" x14ac:dyDescent="0.25">
      <c r="A79">
        <f>مرتبات2!A79</f>
        <v>15</v>
      </c>
      <c r="B79" s="96" t="str">
        <f>مرتبات!B79</f>
        <v>أ/ أحمد محمد عبدالسلام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58">
        <f t="shared" si="4"/>
        <v>0</v>
      </c>
      <c r="N79" s="69">
        <f t="shared" si="5"/>
        <v>0</v>
      </c>
      <c r="O79" s="58">
        <f t="shared" si="6"/>
        <v>0</v>
      </c>
      <c r="P79" s="69">
        <f t="shared" si="7"/>
        <v>0</v>
      </c>
      <c r="Q79" s="58"/>
    </row>
    <row r="80" spans="1:17" ht="15" hidden="1" x14ac:dyDescent="0.25">
      <c r="A80">
        <f>مرتبات2!A80</f>
        <v>0</v>
      </c>
      <c r="B80" s="60">
        <f>مرتبات!B80</f>
        <v>0</v>
      </c>
      <c r="C80" s="68">
        <v>0</v>
      </c>
      <c r="D80" s="68">
        <v>0</v>
      </c>
      <c r="E80" s="68">
        <v>0</v>
      </c>
      <c r="F80" s="68">
        <v>0</v>
      </c>
      <c r="G80" s="68">
        <v>0</v>
      </c>
      <c r="H80" s="68">
        <v>0</v>
      </c>
      <c r="I80" s="99">
        <v>0</v>
      </c>
      <c r="J80" s="99">
        <v>0</v>
      </c>
      <c r="K80" s="99">
        <v>0</v>
      </c>
      <c r="L80" s="68">
        <v>0</v>
      </c>
      <c r="M80" s="59">
        <f t="shared" si="4"/>
        <v>0</v>
      </c>
      <c r="N80" s="68">
        <f t="shared" si="5"/>
        <v>0</v>
      </c>
      <c r="O80" s="59">
        <f t="shared" si="6"/>
        <v>0</v>
      </c>
      <c r="P80" s="68">
        <f t="shared" si="7"/>
        <v>0</v>
      </c>
      <c r="Q80" s="59"/>
    </row>
    <row r="81" spans="1:17" ht="15" x14ac:dyDescent="0.25">
      <c r="A81">
        <f>مرتبات2!A81</f>
        <v>16</v>
      </c>
      <c r="B81" s="96" t="str">
        <f>مرتبات!B81</f>
        <v>أ/محمد عبدالجواد محمد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58">
        <f t="shared" si="4"/>
        <v>0</v>
      </c>
      <c r="N81" s="69">
        <f t="shared" si="5"/>
        <v>0</v>
      </c>
      <c r="O81" s="58">
        <f t="shared" si="6"/>
        <v>0</v>
      </c>
      <c r="P81" s="69">
        <f t="shared" si="7"/>
        <v>0</v>
      </c>
      <c r="Q81" s="58"/>
    </row>
    <row r="82" spans="1:17" ht="15" x14ac:dyDescent="0.25">
      <c r="A82">
        <f>مرتبات2!A82</f>
        <v>17</v>
      </c>
      <c r="B82" s="60" t="str">
        <f>مرتبات!B82</f>
        <v>أ/ منة الله محب عبدالغفار السيد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59">
        <f t="shared" si="4"/>
        <v>0</v>
      </c>
      <c r="N82" s="68">
        <f t="shared" si="5"/>
        <v>0</v>
      </c>
      <c r="O82" s="59">
        <f t="shared" si="6"/>
        <v>0</v>
      </c>
      <c r="P82" s="68">
        <f t="shared" si="7"/>
        <v>0</v>
      </c>
      <c r="Q82" s="59"/>
    </row>
    <row r="83" spans="1:17" ht="15" x14ac:dyDescent="0.25">
      <c r="A83">
        <f>مرتبات2!A83</f>
        <v>18</v>
      </c>
      <c r="B83" s="96" t="str">
        <f>مرتبات!B83</f>
        <v>أ/عاصم محمد سعيد عبده</v>
      </c>
      <c r="C83" s="69">
        <v>0</v>
      </c>
      <c r="D83" s="69">
        <v>0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58">
        <f t="shared" si="4"/>
        <v>0</v>
      </c>
      <c r="N83" s="69">
        <f t="shared" si="5"/>
        <v>0</v>
      </c>
      <c r="O83" s="58">
        <f t="shared" si="6"/>
        <v>0</v>
      </c>
      <c r="P83" s="69">
        <f t="shared" si="7"/>
        <v>0</v>
      </c>
      <c r="Q83" s="58"/>
    </row>
    <row r="84" spans="1:17" ht="15" x14ac:dyDescent="0.25">
      <c r="A84">
        <f>مرتبات2!A84</f>
        <v>19</v>
      </c>
      <c r="B84" s="60" t="str">
        <f>مرتبات!B84</f>
        <v>أ/ نجوى إبراهيم محمود غنيم</v>
      </c>
      <c r="C84" s="68">
        <v>0</v>
      </c>
      <c r="D84" s="116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59">
        <f t="shared" si="4"/>
        <v>0</v>
      </c>
      <c r="N84" s="68">
        <f t="shared" si="5"/>
        <v>0</v>
      </c>
      <c r="O84" s="59">
        <f t="shared" si="6"/>
        <v>0</v>
      </c>
      <c r="P84" s="68">
        <f t="shared" si="7"/>
        <v>0</v>
      </c>
      <c r="Q84" s="59"/>
    </row>
    <row r="85" spans="1:17" ht="15" x14ac:dyDescent="0.25">
      <c r="A85">
        <f>مرتبات2!A85</f>
        <v>20</v>
      </c>
      <c r="B85" s="96" t="str">
        <f>مرتبات!B85</f>
        <v>محمد حسين محمد محمد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58">
        <f t="shared" si="4"/>
        <v>0</v>
      </c>
      <c r="N85" s="69">
        <f t="shared" si="5"/>
        <v>0</v>
      </c>
      <c r="O85" s="58">
        <f t="shared" si="6"/>
        <v>0</v>
      </c>
      <c r="P85" s="69">
        <f t="shared" si="7"/>
        <v>0</v>
      </c>
      <c r="Q85" s="58"/>
    </row>
    <row r="86" spans="1:17" ht="15" hidden="1" x14ac:dyDescent="0.25">
      <c r="A86">
        <f>مرتبات2!A86</f>
        <v>0</v>
      </c>
      <c r="B86" s="60" t="str">
        <f>مرتبات!B86</f>
        <v>Spare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  <c r="K86" s="68">
        <v>0</v>
      </c>
      <c r="L86" s="68">
        <v>0</v>
      </c>
      <c r="M86" s="59">
        <f t="shared" si="4"/>
        <v>0</v>
      </c>
      <c r="N86" s="68">
        <f t="shared" si="5"/>
        <v>0</v>
      </c>
      <c r="O86" s="59">
        <f t="shared" si="6"/>
        <v>0</v>
      </c>
      <c r="P86" s="68">
        <f t="shared" si="7"/>
        <v>0</v>
      </c>
      <c r="Q86" s="59"/>
    </row>
    <row r="87" spans="1:17" ht="15" hidden="1" x14ac:dyDescent="0.25">
      <c r="A87">
        <f>مرتبات2!A87</f>
        <v>0</v>
      </c>
      <c r="B87" s="96" t="str">
        <f>مرتبات!B87</f>
        <v>Spare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58">
        <f t="shared" si="4"/>
        <v>0</v>
      </c>
      <c r="N87" s="69">
        <f t="shared" si="5"/>
        <v>0</v>
      </c>
      <c r="O87" s="58">
        <f t="shared" si="6"/>
        <v>0</v>
      </c>
      <c r="P87" s="69">
        <f t="shared" si="7"/>
        <v>0</v>
      </c>
      <c r="Q87" s="58"/>
    </row>
    <row r="88" spans="1:17" ht="15" hidden="1" x14ac:dyDescent="0.25">
      <c r="A88">
        <f>مرتبات2!A88</f>
        <v>0</v>
      </c>
      <c r="B88" s="60" t="str">
        <f>مرتبات!B88</f>
        <v>Spare</v>
      </c>
      <c r="C88" s="68">
        <v>0</v>
      </c>
      <c r="D88" s="68">
        <v>0</v>
      </c>
      <c r="E88" s="68">
        <v>0</v>
      </c>
      <c r="F88" s="68">
        <v>0</v>
      </c>
      <c r="G88" s="68">
        <v>0</v>
      </c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59">
        <f t="shared" si="4"/>
        <v>0</v>
      </c>
      <c r="N88" s="68">
        <f t="shared" si="5"/>
        <v>0</v>
      </c>
      <c r="O88" s="59">
        <f t="shared" si="6"/>
        <v>0</v>
      </c>
      <c r="P88" s="68">
        <f t="shared" si="7"/>
        <v>0</v>
      </c>
      <c r="Q88" s="59"/>
    </row>
    <row r="89" spans="1:17" ht="15" hidden="1" x14ac:dyDescent="0.25">
      <c r="A89">
        <f>مرتبات2!A89</f>
        <v>0</v>
      </c>
      <c r="B89" s="96" t="str">
        <f>مرتبات!B89</f>
        <v>Spare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58">
        <f t="shared" si="4"/>
        <v>0</v>
      </c>
      <c r="N89" s="69">
        <f t="shared" si="5"/>
        <v>0</v>
      </c>
      <c r="O89" s="58">
        <f t="shared" si="6"/>
        <v>0</v>
      </c>
      <c r="P89" s="69">
        <f t="shared" si="7"/>
        <v>0</v>
      </c>
      <c r="Q89" s="58"/>
    </row>
    <row r="90" spans="1:17" ht="15" hidden="1" x14ac:dyDescent="0.25">
      <c r="A90">
        <f>مرتبات2!A90</f>
        <v>0</v>
      </c>
      <c r="B90" s="60" t="str">
        <f>مرتبات!B90</f>
        <v>Spare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59">
        <f t="shared" si="4"/>
        <v>0</v>
      </c>
      <c r="N90" s="68">
        <f t="shared" si="5"/>
        <v>0</v>
      </c>
      <c r="O90" s="59">
        <f t="shared" si="6"/>
        <v>0</v>
      </c>
      <c r="P90" s="68">
        <f t="shared" si="7"/>
        <v>0</v>
      </c>
      <c r="Q90" s="59"/>
    </row>
    <row r="91" spans="1:17" ht="15" hidden="1" x14ac:dyDescent="0.25">
      <c r="A91">
        <f>مرتبات2!A91</f>
        <v>0</v>
      </c>
      <c r="B91" s="96" t="str">
        <f>مرتبات!B91</f>
        <v>Spare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58">
        <f t="shared" si="4"/>
        <v>0</v>
      </c>
      <c r="N91" s="69">
        <f t="shared" si="5"/>
        <v>0</v>
      </c>
      <c r="O91" s="58">
        <f t="shared" si="6"/>
        <v>0</v>
      </c>
      <c r="P91" s="69">
        <f t="shared" si="7"/>
        <v>0</v>
      </c>
      <c r="Q91" s="58"/>
    </row>
    <row r="92" spans="1:17" ht="15" hidden="1" x14ac:dyDescent="0.25">
      <c r="A92">
        <f>مرتبات2!A92</f>
        <v>0</v>
      </c>
      <c r="B92" s="60" t="str">
        <f>مرتبات!B92</f>
        <v>Spare</v>
      </c>
      <c r="C92" s="68">
        <v>0</v>
      </c>
      <c r="D92" s="68">
        <v>0</v>
      </c>
      <c r="E92" s="68">
        <v>0</v>
      </c>
      <c r="F92" s="68">
        <v>0</v>
      </c>
      <c r="G92" s="68">
        <v>0</v>
      </c>
      <c r="H92" s="68">
        <v>0</v>
      </c>
      <c r="I92" s="68">
        <v>0</v>
      </c>
      <c r="J92" s="68">
        <v>0</v>
      </c>
      <c r="K92" s="68">
        <v>0</v>
      </c>
      <c r="L92" s="68">
        <v>0</v>
      </c>
      <c r="M92" s="59">
        <f t="shared" si="4"/>
        <v>0</v>
      </c>
      <c r="N92" s="68">
        <f t="shared" si="5"/>
        <v>0</v>
      </c>
      <c r="O92" s="59">
        <f t="shared" si="6"/>
        <v>0</v>
      </c>
      <c r="P92" s="68">
        <f t="shared" si="7"/>
        <v>0</v>
      </c>
      <c r="Q92" s="59"/>
    </row>
    <row r="93" spans="1:17" ht="15" hidden="1" x14ac:dyDescent="0.25">
      <c r="A93">
        <f>مرتبات2!A93</f>
        <v>0</v>
      </c>
      <c r="B93" s="96" t="str">
        <f>مرتبات!B93</f>
        <v>Spare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58">
        <f t="shared" si="4"/>
        <v>0</v>
      </c>
      <c r="N93" s="69">
        <f t="shared" si="5"/>
        <v>0</v>
      </c>
      <c r="O93" s="58">
        <f t="shared" si="6"/>
        <v>0</v>
      </c>
      <c r="P93" s="69">
        <f t="shared" si="7"/>
        <v>0</v>
      </c>
      <c r="Q93" s="58"/>
    </row>
    <row r="94" spans="1:17" ht="15" hidden="1" x14ac:dyDescent="0.25">
      <c r="A94">
        <f>مرتبات2!A94</f>
        <v>0</v>
      </c>
      <c r="B94" s="60" t="str">
        <f>مرتبات!B94</f>
        <v>Spare</v>
      </c>
      <c r="C94" s="68">
        <v>0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59">
        <f t="shared" si="4"/>
        <v>0</v>
      </c>
      <c r="N94" s="68">
        <f t="shared" si="5"/>
        <v>0</v>
      </c>
      <c r="O94" s="59">
        <f t="shared" si="6"/>
        <v>0</v>
      </c>
      <c r="P94" s="68">
        <f t="shared" si="7"/>
        <v>0</v>
      </c>
      <c r="Q94" s="59"/>
    </row>
    <row r="95" spans="1:17" ht="15" hidden="1" x14ac:dyDescent="0.25">
      <c r="A95">
        <f>مرتبات2!A95</f>
        <v>0</v>
      </c>
      <c r="B95" s="96" t="str">
        <f>مرتبات!B95</f>
        <v>Spare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58">
        <f t="shared" si="4"/>
        <v>0</v>
      </c>
      <c r="N95" s="69">
        <f t="shared" si="5"/>
        <v>0</v>
      </c>
      <c r="O95" s="58">
        <f t="shared" si="6"/>
        <v>0</v>
      </c>
      <c r="P95" s="69">
        <f t="shared" si="7"/>
        <v>0</v>
      </c>
      <c r="Q95" s="58"/>
    </row>
    <row r="96" spans="1:17" ht="15" hidden="1" x14ac:dyDescent="0.25">
      <c r="A96">
        <f>مرتبات2!A96</f>
        <v>0</v>
      </c>
      <c r="B96" s="60" t="str">
        <f>مرتبات!B96</f>
        <v>Spare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59">
        <f t="shared" si="4"/>
        <v>0</v>
      </c>
      <c r="N96" s="68">
        <f t="shared" si="5"/>
        <v>0</v>
      </c>
      <c r="O96" s="59">
        <f t="shared" si="6"/>
        <v>0</v>
      </c>
      <c r="P96" s="68">
        <f t="shared" si="7"/>
        <v>0</v>
      </c>
      <c r="Q96" s="59"/>
    </row>
    <row r="97" spans="1:17" ht="15" hidden="1" x14ac:dyDescent="0.25">
      <c r="A97">
        <f>مرتبات2!A97</f>
        <v>0</v>
      </c>
      <c r="B97" s="96" t="str">
        <f>مرتبات!B97</f>
        <v>Spare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58">
        <f t="shared" si="4"/>
        <v>0</v>
      </c>
      <c r="N97" s="69">
        <f t="shared" si="5"/>
        <v>0</v>
      </c>
      <c r="O97" s="58">
        <f t="shared" si="6"/>
        <v>0</v>
      </c>
      <c r="P97" s="69">
        <f t="shared" si="7"/>
        <v>0</v>
      </c>
      <c r="Q97" s="58"/>
    </row>
    <row r="98" spans="1:17" ht="15" hidden="1" x14ac:dyDescent="0.25">
      <c r="A98">
        <f>مرتبات2!A98</f>
        <v>0</v>
      </c>
      <c r="B98" s="60" t="str">
        <f>مرتبات!B98</f>
        <v>Spare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68">
        <v>0</v>
      </c>
      <c r="M98" s="59">
        <f t="shared" si="4"/>
        <v>0</v>
      </c>
      <c r="N98" s="68">
        <f t="shared" si="5"/>
        <v>0</v>
      </c>
      <c r="O98" s="59">
        <f t="shared" si="6"/>
        <v>0</v>
      </c>
      <c r="P98" s="68">
        <f t="shared" si="7"/>
        <v>0</v>
      </c>
      <c r="Q98" s="59"/>
    </row>
    <row r="99" spans="1:17" ht="15" hidden="1" x14ac:dyDescent="0.25">
      <c r="A99">
        <f>مرتبات2!A99</f>
        <v>0</v>
      </c>
      <c r="B99" s="96" t="str">
        <f>مرتبات!B99</f>
        <v>Spare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58">
        <f t="shared" si="4"/>
        <v>0</v>
      </c>
      <c r="N99" s="69">
        <f t="shared" si="5"/>
        <v>0</v>
      </c>
      <c r="O99" s="58">
        <f t="shared" si="6"/>
        <v>0</v>
      </c>
      <c r="P99" s="69">
        <f t="shared" si="7"/>
        <v>0</v>
      </c>
      <c r="Q99" s="58"/>
    </row>
    <row r="100" spans="1:17" ht="15" hidden="1" x14ac:dyDescent="0.25">
      <c r="A100">
        <f>مرتبات2!A100</f>
        <v>0</v>
      </c>
      <c r="B100" s="60" t="str">
        <f>مرتبات!B100</f>
        <v>Spare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59">
        <f t="shared" si="4"/>
        <v>0</v>
      </c>
      <c r="N100" s="68">
        <f t="shared" si="5"/>
        <v>0</v>
      </c>
      <c r="O100" s="59">
        <f t="shared" si="6"/>
        <v>0</v>
      </c>
      <c r="P100" s="68">
        <f t="shared" si="7"/>
        <v>0</v>
      </c>
      <c r="Q100" s="59"/>
    </row>
    <row r="101" spans="1:17" ht="15.6" x14ac:dyDescent="0.3">
      <c r="A101">
        <v>19</v>
      </c>
      <c r="B101" s="95" t="s">
        <v>90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106"/>
      <c r="O101" s="95"/>
      <c r="P101" s="106"/>
      <c r="Q101" s="95"/>
    </row>
    <row r="102" spans="1:17" ht="15" x14ac:dyDescent="0.25">
      <c r="A102">
        <f>مرتبات2!A102</f>
        <v>1</v>
      </c>
      <c r="B102" s="60" t="str">
        <f>مرتبات!B102</f>
        <v>أ/هالة فوزي</v>
      </c>
      <c r="C102" s="68">
        <v>0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59">
        <f t="shared" ref="M102:M118" si="8">SUM(C102:E102)+L102</f>
        <v>0</v>
      </c>
      <c r="N102" s="68">
        <f t="shared" ref="N102:N118" si="9">SUM(I102:K102)</f>
        <v>0</v>
      </c>
      <c r="O102" s="59">
        <f t="shared" ref="O102:O118" si="10">SUM(G102:H102)</f>
        <v>0</v>
      </c>
      <c r="P102" s="68">
        <f t="shared" ref="P102:P118" si="11">SUM(M102:O102)</f>
        <v>0</v>
      </c>
      <c r="Q102" s="59"/>
    </row>
    <row r="103" spans="1:17" ht="15" x14ac:dyDescent="0.25">
      <c r="A103">
        <f>مرتبات2!A103</f>
        <v>2</v>
      </c>
      <c r="B103" s="96" t="str">
        <f>مرتبات!B103</f>
        <v>د/أمجد سعيد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58">
        <f t="shared" si="8"/>
        <v>0</v>
      </c>
      <c r="N103" s="69">
        <f t="shared" si="9"/>
        <v>0</v>
      </c>
      <c r="O103" s="58">
        <f t="shared" si="10"/>
        <v>0</v>
      </c>
      <c r="P103" s="69">
        <f t="shared" si="11"/>
        <v>0</v>
      </c>
      <c r="Q103" s="58"/>
    </row>
    <row r="104" spans="1:17" ht="15" x14ac:dyDescent="0.25">
      <c r="A104">
        <f>مرتبات2!A104</f>
        <v>3</v>
      </c>
      <c r="B104" s="60" t="str">
        <f>مرتبات!B104</f>
        <v>د/وليد رزق</v>
      </c>
      <c r="C104" s="68">
        <v>0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59">
        <f t="shared" si="8"/>
        <v>0</v>
      </c>
      <c r="N104" s="68">
        <f t="shared" si="9"/>
        <v>0</v>
      </c>
      <c r="O104" s="59">
        <f t="shared" si="10"/>
        <v>0</v>
      </c>
      <c r="P104" s="68">
        <f t="shared" si="11"/>
        <v>0</v>
      </c>
      <c r="Q104" s="59"/>
    </row>
    <row r="105" spans="1:17" ht="15" x14ac:dyDescent="0.25">
      <c r="A105">
        <f>مرتبات2!A105</f>
        <v>4</v>
      </c>
      <c r="B105" s="96" t="str">
        <f>مرتبات!B105</f>
        <v>د/أمينة العطيفي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58">
        <f t="shared" si="8"/>
        <v>0</v>
      </c>
      <c r="N105" s="69">
        <f t="shared" si="9"/>
        <v>0</v>
      </c>
      <c r="O105" s="58">
        <f t="shared" si="10"/>
        <v>0</v>
      </c>
      <c r="P105" s="69">
        <f t="shared" si="11"/>
        <v>0</v>
      </c>
      <c r="Q105" s="58"/>
    </row>
    <row r="106" spans="1:17" ht="15" x14ac:dyDescent="0.25">
      <c r="A106">
        <f>مرتبات2!A106</f>
        <v>5</v>
      </c>
      <c r="B106" s="60" t="str">
        <f>مرتبات!B106</f>
        <v>أ/ محمد فاروق عبد الحليم</v>
      </c>
      <c r="C106" s="68">
        <v>0</v>
      </c>
      <c r="D106" s="68">
        <v>0</v>
      </c>
      <c r="E106" s="68">
        <v>0</v>
      </c>
      <c r="F106" s="68">
        <v>0</v>
      </c>
      <c r="G106" s="68">
        <v>0</v>
      </c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59">
        <f t="shared" si="8"/>
        <v>0</v>
      </c>
      <c r="N106" s="68">
        <f t="shared" si="9"/>
        <v>0</v>
      </c>
      <c r="O106" s="59">
        <f t="shared" si="10"/>
        <v>0</v>
      </c>
      <c r="P106" s="68">
        <f t="shared" si="11"/>
        <v>0</v>
      </c>
      <c r="Q106" s="59"/>
    </row>
    <row r="107" spans="1:17" ht="15" x14ac:dyDescent="0.25">
      <c r="A107">
        <f>مرتبات2!A107</f>
        <v>6</v>
      </c>
      <c r="B107" s="96" t="str">
        <f>مرتبات!B107</f>
        <v>د/ أحمد بغدادي رشدي محمد</v>
      </c>
      <c r="C107" s="69">
        <v>0</v>
      </c>
      <c r="D107" s="69">
        <v>0</v>
      </c>
      <c r="E107" s="69">
        <v>0</v>
      </c>
      <c r="F107" s="69">
        <v>0</v>
      </c>
      <c r="G107" s="69">
        <v>0</v>
      </c>
      <c r="H107" s="69">
        <v>0</v>
      </c>
      <c r="I107" s="69">
        <v>0</v>
      </c>
      <c r="J107" s="69">
        <v>0</v>
      </c>
      <c r="K107" s="69">
        <v>0</v>
      </c>
      <c r="L107" s="69">
        <v>0</v>
      </c>
      <c r="M107" s="58">
        <f t="shared" si="8"/>
        <v>0</v>
      </c>
      <c r="N107" s="69">
        <f t="shared" si="9"/>
        <v>0</v>
      </c>
      <c r="O107" s="58">
        <f t="shared" si="10"/>
        <v>0</v>
      </c>
      <c r="P107" s="69">
        <f t="shared" si="11"/>
        <v>0</v>
      </c>
      <c r="Q107" s="58"/>
    </row>
    <row r="108" spans="1:17" ht="15.6" thickBot="1" x14ac:dyDescent="0.3">
      <c r="A108">
        <f>مرتبات2!A108</f>
        <v>7</v>
      </c>
      <c r="B108" s="60" t="s">
        <v>155</v>
      </c>
      <c r="C108" s="68">
        <v>0</v>
      </c>
      <c r="D108" s="68">
        <v>0</v>
      </c>
      <c r="E108" s="68">
        <v>0</v>
      </c>
      <c r="F108" s="68">
        <v>0</v>
      </c>
      <c r="G108" s="68">
        <v>0</v>
      </c>
      <c r="H108" s="68">
        <v>0</v>
      </c>
      <c r="I108" s="68">
        <v>0</v>
      </c>
      <c r="J108" s="68">
        <v>0</v>
      </c>
      <c r="K108" s="68">
        <v>0</v>
      </c>
      <c r="L108" s="68">
        <v>0</v>
      </c>
      <c r="M108" s="59">
        <f t="shared" si="8"/>
        <v>0</v>
      </c>
      <c r="N108" s="59">
        <f t="shared" si="9"/>
        <v>0</v>
      </c>
      <c r="O108" s="59">
        <f t="shared" si="10"/>
        <v>0</v>
      </c>
      <c r="P108" s="59">
        <f t="shared" si="11"/>
        <v>0</v>
      </c>
      <c r="Q108" s="59"/>
    </row>
    <row r="109" spans="1:17" ht="15" hidden="1" x14ac:dyDescent="0.25">
      <c r="A109">
        <f>مرتبات2!A109</f>
        <v>0</v>
      </c>
      <c r="B109" s="96" t="str">
        <f>مرتبات!B109</f>
        <v>Spare</v>
      </c>
      <c r="C109" s="69">
        <v>0</v>
      </c>
      <c r="D109" s="69">
        <v>0</v>
      </c>
      <c r="E109" s="69">
        <v>0</v>
      </c>
      <c r="F109" s="69">
        <v>0</v>
      </c>
      <c r="G109" s="69">
        <v>0</v>
      </c>
      <c r="H109" s="69">
        <v>0</v>
      </c>
      <c r="I109" s="69">
        <v>0</v>
      </c>
      <c r="J109" s="69">
        <v>0</v>
      </c>
      <c r="K109" s="69">
        <v>0</v>
      </c>
      <c r="L109" s="69">
        <v>0</v>
      </c>
      <c r="M109" s="58">
        <f t="shared" si="8"/>
        <v>0</v>
      </c>
      <c r="N109" s="58">
        <f t="shared" si="9"/>
        <v>0</v>
      </c>
      <c r="O109" s="58">
        <f t="shared" si="10"/>
        <v>0</v>
      </c>
      <c r="P109" s="58">
        <f t="shared" si="11"/>
        <v>0</v>
      </c>
      <c r="Q109" s="58"/>
    </row>
    <row r="110" spans="1:17" ht="15" hidden="1" x14ac:dyDescent="0.25">
      <c r="A110">
        <f>مرتبات2!A110</f>
        <v>0</v>
      </c>
      <c r="B110" s="60" t="str">
        <f>مرتبات!B110</f>
        <v>Spare</v>
      </c>
      <c r="C110" s="68">
        <v>0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59">
        <f t="shared" si="8"/>
        <v>0</v>
      </c>
      <c r="N110" s="59">
        <f t="shared" si="9"/>
        <v>0</v>
      </c>
      <c r="O110" s="59">
        <f t="shared" si="10"/>
        <v>0</v>
      </c>
      <c r="P110" s="59">
        <f t="shared" si="11"/>
        <v>0</v>
      </c>
      <c r="Q110" s="59"/>
    </row>
    <row r="111" spans="1:17" ht="15" hidden="1" x14ac:dyDescent="0.25">
      <c r="A111">
        <f>مرتبات2!A111</f>
        <v>0</v>
      </c>
      <c r="B111" s="96" t="str">
        <f>مرتبات!B111</f>
        <v>Spare</v>
      </c>
      <c r="C111" s="69">
        <v>0</v>
      </c>
      <c r="D111" s="69">
        <v>0</v>
      </c>
      <c r="E111" s="69">
        <v>0</v>
      </c>
      <c r="F111" s="69">
        <v>0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58">
        <f t="shared" si="8"/>
        <v>0</v>
      </c>
      <c r="N111" s="58">
        <f t="shared" si="9"/>
        <v>0</v>
      </c>
      <c r="O111" s="58">
        <f t="shared" si="10"/>
        <v>0</v>
      </c>
      <c r="P111" s="58">
        <f t="shared" si="11"/>
        <v>0</v>
      </c>
      <c r="Q111" s="58"/>
    </row>
    <row r="112" spans="1:17" ht="15" hidden="1" x14ac:dyDescent="0.25">
      <c r="A112">
        <f>مرتبات2!A112</f>
        <v>0</v>
      </c>
      <c r="B112" s="60" t="str">
        <f>مرتبات!B112</f>
        <v>Spare</v>
      </c>
      <c r="C112" s="68">
        <v>0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59">
        <f t="shared" si="8"/>
        <v>0</v>
      </c>
      <c r="N112" s="59">
        <f t="shared" si="9"/>
        <v>0</v>
      </c>
      <c r="O112" s="59">
        <f t="shared" si="10"/>
        <v>0</v>
      </c>
      <c r="P112" s="59">
        <f t="shared" si="11"/>
        <v>0</v>
      </c>
      <c r="Q112" s="59"/>
    </row>
    <row r="113" spans="1:17" ht="15" hidden="1" x14ac:dyDescent="0.25">
      <c r="A113">
        <f>مرتبات2!A113</f>
        <v>0</v>
      </c>
      <c r="B113" s="96" t="str">
        <f>مرتبات!B113</f>
        <v>Spare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9">
        <v>0</v>
      </c>
      <c r="I113" s="69">
        <v>0</v>
      </c>
      <c r="J113" s="69">
        <v>0</v>
      </c>
      <c r="K113" s="69">
        <v>0</v>
      </c>
      <c r="L113" s="69">
        <v>0</v>
      </c>
      <c r="M113" s="58">
        <f t="shared" si="8"/>
        <v>0</v>
      </c>
      <c r="N113" s="58">
        <f t="shared" si="9"/>
        <v>0</v>
      </c>
      <c r="O113" s="58">
        <f t="shared" si="10"/>
        <v>0</v>
      </c>
      <c r="P113" s="58">
        <f t="shared" si="11"/>
        <v>0</v>
      </c>
      <c r="Q113" s="58"/>
    </row>
    <row r="114" spans="1:17" ht="15" hidden="1" x14ac:dyDescent="0.25">
      <c r="A114">
        <f>مرتبات2!A114</f>
        <v>0</v>
      </c>
      <c r="B114" s="60" t="str">
        <f>مرتبات!B114</f>
        <v>Spare</v>
      </c>
      <c r="C114" s="68">
        <v>0</v>
      </c>
      <c r="D114" s="68">
        <v>0</v>
      </c>
      <c r="E114" s="68">
        <v>0</v>
      </c>
      <c r="F114" s="68">
        <v>0</v>
      </c>
      <c r="G114" s="68">
        <v>0</v>
      </c>
      <c r="H114" s="68">
        <v>0</v>
      </c>
      <c r="I114" s="68">
        <v>0</v>
      </c>
      <c r="J114" s="68">
        <v>0</v>
      </c>
      <c r="K114" s="68">
        <v>0</v>
      </c>
      <c r="L114" s="68">
        <v>0</v>
      </c>
      <c r="M114" s="59">
        <f t="shared" si="8"/>
        <v>0</v>
      </c>
      <c r="N114" s="59">
        <f t="shared" si="9"/>
        <v>0</v>
      </c>
      <c r="O114" s="59">
        <f t="shared" si="10"/>
        <v>0</v>
      </c>
      <c r="P114" s="59">
        <f t="shared" si="11"/>
        <v>0</v>
      </c>
      <c r="Q114" s="59"/>
    </row>
    <row r="115" spans="1:17" ht="15" hidden="1" x14ac:dyDescent="0.25">
      <c r="A115">
        <f>مرتبات2!A115</f>
        <v>0</v>
      </c>
      <c r="B115" s="96" t="str">
        <f>مرتبات!B115</f>
        <v>Spare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58">
        <f t="shared" si="8"/>
        <v>0</v>
      </c>
      <c r="N115" s="58">
        <f t="shared" si="9"/>
        <v>0</v>
      </c>
      <c r="O115" s="58">
        <f t="shared" si="10"/>
        <v>0</v>
      </c>
      <c r="P115" s="58">
        <f t="shared" si="11"/>
        <v>0</v>
      </c>
      <c r="Q115" s="58"/>
    </row>
    <row r="116" spans="1:17" ht="15" hidden="1" x14ac:dyDescent="0.25">
      <c r="A116">
        <f>مرتبات2!A116</f>
        <v>0</v>
      </c>
      <c r="B116" s="60" t="str">
        <f>مرتبات!B116</f>
        <v>Spare</v>
      </c>
      <c r="C116" s="68">
        <v>0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59">
        <f t="shared" si="8"/>
        <v>0</v>
      </c>
      <c r="N116" s="59">
        <f t="shared" si="9"/>
        <v>0</v>
      </c>
      <c r="O116" s="59">
        <f t="shared" si="10"/>
        <v>0</v>
      </c>
      <c r="P116" s="59">
        <f t="shared" si="11"/>
        <v>0</v>
      </c>
      <c r="Q116" s="59"/>
    </row>
    <row r="117" spans="1:17" ht="15.6" hidden="1" thickBot="1" x14ac:dyDescent="0.3">
      <c r="A117">
        <f>مرتبات2!A117</f>
        <v>0</v>
      </c>
      <c r="B117" s="96" t="str">
        <f>مرتبات!B117</f>
        <v>Spare</v>
      </c>
      <c r="C117" s="69">
        <v>0</v>
      </c>
      <c r="D117" s="69">
        <v>0</v>
      </c>
      <c r="E117" s="69">
        <v>0</v>
      </c>
      <c r="F117" s="69">
        <v>0</v>
      </c>
      <c r="G117" s="69">
        <v>0</v>
      </c>
      <c r="H117" s="69">
        <v>0</v>
      </c>
      <c r="I117" s="69">
        <v>0</v>
      </c>
      <c r="J117" s="69">
        <v>0</v>
      </c>
      <c r="K117" s="69">
        <v>0</v>
      </c>
      <c r="L117" s="69">
        <v>0</v>
      </c>
      <c r="M117" s="58">
        <f t="shared" si="8"/>
        <v>0</v>
      </c>
      <c r="N117" s="58">
        <f t="shared" si="9"/>
        <v>0</v>
      </c>
      <c r="O117" s="58">
        <f t="shared" si="10"/>
        <v>0</v>
      </c>
      <c r="P117" s="58">
        <f t="shared" si="11"/>
        <v>0</v>
      </c>
      <c r="Q117" s="58"/>
    </row>
    <row r="118" spans="1:17" ht="16.2" thickBot="1" x14ac:dyDescent="0.3">
      <c r="A118">
        <f>مرتبات2!A118</f>
        <v>6</v>
      </c>
      <c r="B118" s="90" t="s">
        <v>63</v>
      </c>
      <c r="C118" s="62">
        <f t="shared" ref="C118:L118" si="12">SUM(C4:C17)+SUM(C19:C55)+SUM(C57:C100)+SUM(C102:C117)</f>
        <v>0</v>
      </c>
      <c r="D118" s="62">
        <f t="shared" si="12"/>
        <v>0</v>
      </c>
      <c r="E118" s="62">
        <f t="shared" si="12"/>
        <v>0</v>
      </c>
      <c r="F118" s="62">
        <f t="shared" si="12"/>
        <v>0</v>
      </c>
      <c r="G118" s="62">
        <f t="shared" si="12"/>
        <v>0</v>
      </c>
      <c r="H118" s="62">
        <f t="shared" si="12"/>
        <v>0</v>
      </c>
      <c r="I118" s="62">
        <f t="shared" si="12"/>
        <v>0</v>
      </c>
      <c r="J118" s="62">
        <f t="shared" si="12"/>
        <v>0</v>
      </c>
      <c r="K118" s="62">
        <f t="shared" si="12"/>
        <v>0</v>
      </c>
      <c r="L118" s="62">
        <f t="shared" si="12"/>
        <v>0</v>
      </c>
      <c r="M118" s="62">
        <f t="shared" si="8"/>
        <v>0</v>
      </c>
      <c r="N118" s="62">
        <f t="shared" si="9"/>
        <v>0</v>
      </c>
      <c r="O118" s="63">
        <f t="shared" si="10"/>
        <v>0</v>
      </c>
      <c r="P118" s="62">
        <f t="shared" si="11"/>
        <v>0</v>
      </c>
      <c r="Q118" s="64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abSelected="1" zoomScale="70" zoomScaleNormal="70" workbookViewId="0">
      <selection activeCell="B1" sqref="B1:B1048576"/>
    </sheetView>
  </sheetViews>
  <sheetFormatPr defaultColWidth="9.109375" defaultRowHeight="15" x14ac:dyDescent="0.25"/>
  <cols>
    <col min="1" max="1" width="9.109375" style="6"/>
    <col min="2" max="2" width="34.88671875" style="6" customWidth="1"/>
    <col min="3" max="4" width="16.77734375" style="6" customWidth="1"/>
    <col min="5" max="5" width="16.6640625" style="6" customWidth="1"/>
    <col min="6" max="6" width="17.77734375" style="6" customWidth="1"/>
    <col min="7" max="7" width="16.88671875" style="6" customWidth="1"/>
    <col min="8" max="8" width="15.88671875" style="6" customWidth="1"/>
    <col min="9" max="9" width="13.21875" style="6" customWidth="1"/>
    <col min="10" max="10" width="14.44140625" style="6" customWidth="1"/>
    <col min="11" max="11" width="13.88671875" style="6" customWidth="1"/>
    <col min="12" max="12" width="14.21875" style="6" customWidth="1"/>
    <col min="13" max="13" width="57.33203125" style="6" customWidth="1"/>
    <col min="14" max="16384" width="9.109375" style="6"/>
  </cols>
  <sheetData>
    <row r="1" spans="1:13" ht="16.2" thickBot="1" x14ac:dyDescent="0.3">
      <c r="B1" s="91" t="s">
        <v>14</v>
      </c>
    </row>
    <row r="2" spans="1:13" ht="53.4" thickBot="1" x14ac:dyDescent="0.3">
      <c r="A2" s="84" t="s">
        <v>5</v>
      </c>
      <c r="B2" s="109" t="s">
        <v>149</v>
      </c>
      <c r="C2" s="92" t="s">
        <v>47</v>
      </c>
      <c r="D2" s="92" t="s">
        <v>48</v>
      </c>
      <c r="E2" s="92" t="s">
        <v>49</v>
      </c>
      <c r="F2" s="92" t="s">
        <v>50</v>
      </c>
      <c r="G2" s="92" t="s">
        <v>51</v>
      </c>
      <c r="H2" s="92" t="s">
        <v>52</v>
      </c>
      <c r="I2" s="92" t="s">
        <v>53</v>
      </c>
      <c r="J2" s="92" t="s">
        <v>54</v>
      </c>
      <c r="K2" s="92" t="s">
        <v>55</v>
      </c>
      <c r="L2" s="88" t="s">
        <v>56</v>
      </c>
      <c r="M2" s="27" t="s">
        <v>16</v>
      </c>
    </row>
    <row r="3" spans="1:13" ht="15.6" x14ac:dyDescent="0.3">
      <c r="A3" s="9"/>
      <c r="B3" s="89" t="s">
        <v>60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x14ac:dyDescent="0.25">
      <c r="A4" s="70">
        <f>مرتبات2!A4</f>
        <v>1</v>
      </c>
      <c r="B4" s="14" t="str">
        <f>مرتبات!B4</f>
        <v>د/هانى صلاح الدين محمد سري الدين</v>
      </c>
      <c r="C4" s="49">
        <v>0</v>
      </c>
      <c r="D4" s="49">
        <v>0</v>
      </c>
      <c r="E4" s="49">
        <v>0</v>
      </c>
      <c r="F4" s="49">
        <v>0</v>
      </c>
      <c r="G4" s="49">
        <v>0</v>
      </c>
      <c r="H4" s="49">
        <v>0</v>
      </c>
      <c r="I4" s="49">
        <v>0</v>
      </c>
      <c r="J4" s="49">
        <v>0</v>
      </c>
      <c r="K4" s="49">
        <v>0</v>
      </c>
      <c r="L4" s="49">
        <f t="shared" ref="L4:L67" si="0">SUM(C4:K4)</f>
        <v>0</v>
      </c>
      <c r="M4" s="18"/>
    </row>
    <row r="5" spans="1:13" x14ac:dyDescent="0.25">
      <c r="A5" s="70">
        <f>مرتبات2!A5</f>
        <v>2</v>
      </c>
      <c r="B5" s="14" t="str">
        <f>مرتبات!B5</f>
        <v>أ/أميرة محمد على شريف</v>
      </c>
      <c r="C5" s="49">
        <v>0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f t="shared" si="0"/>
        <v>0</v>
      </c>
      <c r="M5" s="51"/>
    </row>
    <row r="6" spans="1:13" x14ac:dyDescent="0.25">
      <c r="A6" s="70">
        <f>مرتبات2!A6</f>
        <v>3</v>
      </c>
      <c r="B6" s="14" t="str">
        <f>مرتبات!B6</f>
        <v>أ/إيهاب حمدى ابراهيم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f t="shared" si="0"/>
        <v>0</v>
      </c>
      <c r="M6" s="43"/>
    </row>
    <row r="7" spans="1:13" hidden="1" x14ac:dyDescent="0.25">
      <c r="A7" s="70">
        <f>مرتبات2!A7</f>
        <v>0</v>
      </c>
      <c r="B7" s="14" t="str">
        <f>مرتبات!B7</f>
        <v>Spare</v>
      </c>
      <c r="C7" s="49">
        <v>0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f t="shared" si="0"/>
        <v>0</v>
      </c>
      <c r="M7" s="18"/>
    </row>
    <row r="8" spans="1:13" hidden="1" x14ac:dyDescent="0.25">
      <c r="A8" s="70">
        <f>مرتبات2!A8</f>
        <v>0</v>
      </c>
      <c r="B8" s="14" t="str">
        <f>مرتبات!B8</f>
        <v>Spare</v>
      </c>
      <c r="C8" s="49">
        <v>0</v>
      </c>
      <c r="D8" s="49">
        <v>0</v>
      </c>
      <c r="E8" s="49">
        <v>0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f t="shared" si="0"/>
        <v>0</v>
      </c>
      <c r="M8" s="18"/>
    </row>
    <row r="9" spans="1:13" hidden="1" x14ac:dyDescent="0.25">
      <c r="A9" s="70">
        <f>مرتبات2!A9</f>
        <v>0</v>
      </c>
      <c r="B9" s="14" t="str">
        <f>مرتبات!B9</f>
        <v>Spare</v>
      </c>
      <c r="C9" s="49">
        <v>0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f t="shared" si="0"/>
        <v>0</v>
      </c>
      <c r="M9" s="20"/>
    </row>
    <row r="10" spans="1:13" hidden="1" x14ac:dyDescent="0.25">
      <c r="A10" s="70">
        <f>مرتبات2!A10</f>
        <v>0</v>
      </c>
      <c r="B10" s="14" t="str">
        <f>مرتبات!B10</f>
        <v>Spare</v>
      </c>
      <c r="C10" s="49">
        <v>0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f t="shared" si="0"/>
        <v>0</v>
      </c>
      <c r="M10" s="18"/>
    </row>
    <row r="11" spans="1:13" hidden="1" x14ac:dyDescent="0.25">
      <c r="A11" s="70">
        <f>مرتبات2!A11</f>
        <v>0</v>
      </c>
      <c r="B11" s="14" t="str">
        <f>مرتبات!B11</f>
        <v>Spare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f t="shared" si="0"/>
        <v>0</v>
      </c>
      <c r="M11" s="19"/>
    </row>
    <row r="12" spans="1:13" hidden="1" x14ac:dyDescent="0.25">
      <c r="A12" s="70">
        <f>مرتبات2!A12</f>
        <v>0</v>
      </c>
      <c r="B12" s="14" t="str">
        <f>مرتبات!B12</f>
        <v>Spare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f t="shared" si="0"/>
        <v>0</v>
      </c>
      <c r="M12" s="54"/>
    </row>
    <row r="13" spans="1:13" hidden="1" x14ac:dyDescent="0.25">
      <c r="A13" s="70">
        <f>مرتبات2!A13</f>
        <v>0</v>
      </c>
      <c r="B13" s="14" t="str">
        <f>مرتبات!B13</f>
        <v>Spare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f t="shared" si="0"/>
        <v>0</v>
      </c>
      <c r="M13" s="18"/>
    </row>
    <row r="14" spans="1:13" hidden="1" x14ac:dyDescent="0.25">
      <c r="A14" s="70">
        <f>مرتبات2!A14</f>
        <v>0</v>
      </c>
      <c r="B14" s="14" t="str">
        <f>مرتبات!B14</f>
        <v>Spare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f t="shared" si="0"/>
        <v>0</v>
      </c>
      <c r="M14" s="18"/>
    </row>
    <row r="15" spans="1:13" hidden="1" x14ac:dyDescent="0.25">
      <c r="A15" s="70">
        <f>مرتبات2!A15</f>
        <v>0</v>
      </c>
      <c r="B15" s="14" t="str">
        <f>مرتبات!B15</f>
        <v>Spare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f t="shared" si="0"/>
        <v>0</v>
      </c>
      <c r="M15" s="18"/>
    </row>
    <row r="16" spans="1:13" hidden="1" x14ac:dyDescent="0.25">
      <c r="A16" s="70">
        <f>مرتبات2!A16</f>
        <v>0</v>
      </c>
      <c r="B16" s="14" t="str">
        <f>مرتبات!B16</f>
        <v>Spare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f t="shared" si="0"/>
        <v>0</v>
      </c>
      <c r="M16" s="18"/>
    </row>
    <row r="17" spans="1:13" hidden="1" x14ac:dyDescent="0.25">
      <c r="A17" s="70">
        <f>مرتبات2!A17</f>
        <v>0</v>
      </c>
      <c r="B17" s="14" t="str">
        <f>مرتبات!B17</f>
        <v>Spare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f t="shared" si="0"/>
        <v>0</v>
      </c>
      <c r="M17" s="18"/>
    </row>
    <row r="18" spans="1:13" ht="15.6" x14ac:dyDescent="0.3">
      <c r="A18" s="70">
        <f>مرتبات2!A18</f>
        <v>3</v>
      </c>
      <c r="B18" s="89" t="s">
        <v>61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</row>
    <row r="19" spans="1:13" x14ac:dyDescent="0.25">
      <c r="A19" s="70">
        <f>مرتبات2!A19</f>
        <v>1</v>
      </c>
      <c r="B19" s="14" t="str">
        <f>مرتبات!B19</f>
        <v>أ/ناجى رمضان أمين محمد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f t="shared" si="0"/>
        <v>0</v>
      </c>
      <c r="M19" s="100"/>
    </row>
    <row r="20" spans="1:13" x14ac:dyDescent="0.25">
      <c r="A20" s="70">
        <f>مرتبات2!A20</f>
        <v>2</v>
      </c>
      <c r="B20" s="14" t="str">
        <f>مرتبات!B20</f>
        <v>أ/محمد عبد العزيز عبدالحافظ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f t="shared" si="0"/>
        <v>0</v>
      </c>
      <c r="M20" s="54"/>
    </row>
    <row r="21" spans="1:13" x14ac:dyDescent="0.25">
      <c r="A21" s="70">
        <f>مرتبات2!A21</f>
        <v>3</v>
      </c>
      <c r="B21" s="14" t="str">
        <f>مرتبات!B21</f>
        <v>أ/ أحمد سعيد أحمد محمد علي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f t="shared" si="0"/>
        <v>0</v>
      </c>
      <c r="M21" s="18"/>
    </row>
    <row r="22" spans="1:13" x14ac:dyDescent="0.25">
      <c r="A22" s="70">
        <f>مرتبات2!A22</f>
        <v>4</v>
      </c>
      <c r="B22" s="14" t="str">
        <f>مرتبات!B22</f>
        <v>أ/منة الله البلتاجى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67">
        <v>0</v>
      </c>
      <c r="I22" s="67">
        <v>0</v>
      </c>
      <c r="J22" s="117">
        <v>0</v>
      </c>
      <c r="K22" s="49">
        <v>0</v>
      </c>
      <c r="L22" s="67">
        <f t="shared" si="0"/>
        <v>0</v>
      </c>
      <c r="M22" s="115"/>
    </row>
    <row r="23" spans="1:13" x14ac:dyDescent="0.25">
      <c r="A23" s="70">
        <f>مرتبات2!A23</f>
        <v>5</v>
      </c>
      <c r="B23" s="14" t="str">
        <f>مرتبات!B23</f>
        <v>أ/نهى عمرو محمد رضوان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f t="shared" si="0"/>
        <v>0</v>
      </c>
      <c r="M23" s="18"/>
    </row>
    <row r="24" spans="1:13" x14ac:dyDescent="0.25">
      <c r="A24" s="70">
        <f>مرتبات2!A24</f>
        <v>6</v>
      </c>
      <c r="B24" s="14" t="str">
        <f>مرتبات!B24</f>
        <v>أ/عبد الله عمرو حافظ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f t="shared" si="0"/>
        <v>0</v>
      </c>
      <c r="M24" s="55"/>
    </row>
    <row r="25" spans="1:13" x14ac:dyDescent="0.25">
      <c r="A25" s="70">
        <f>مرتبات2!A25</f>
        <v>7</v>
      </c>
      <c r="B25" s="14" t="str">
        <f>مرتبات!B25</f>
        <v>أ/محمد حمدى كامل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f t="shared" si="0"/>
        <v>0</v>
      </c>
      <c r="M25" s="18"/>
    </row>
    <row r="26" spans="1:13" hidden="1" x14ac:dyDescent="0.25">
      <c r="A26" s="70">
        <f>مرتبات2!A26</f>
        <v>0</v>
      </c>
      <c r="B26" s="14" t="str">
        <f>مرتبات!B26</f>
        <v>Spare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f t="shared" si="0"/>
        <v>0</v>
      </c>
      <c r="M26" s="18"/>
    </row>
    <row r="27" spans="1:13" hidden="1" x14ac:dyDescent="0.25">
      <c r="A27" s="70">
        <f>مرتبات2!A27</f>
        <v>0</v>
      </c>
      <c r="B27" s="14" t="str">
        <f>مرتبات!B27</f>
        <v>Spare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f t="shared" si="0"/>
        <v>0</v>
      </c>
      <c r="M27" s="18"/>
    </row>
    <row r="28" spans="1:13" hidden="1" x14ac:dyDescent="0.25">
      <c r="A28" s="70">
        <f>مرتبات2!A28</f>
        <v>0</v>
      </c>
      <c r="B28" s="14" t="str">
        <f>مرتبات!B28</f>
        <v>Spare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f t="shared" si="0"/>
        <v>0</v>
      </c>
      <c r="M28" s="18"/>
    </row>
    <row r="29" spans="1:13" hidden="1" x14ac:dyDescent="0.25">
      <c r="A29" s="70">
        <f>مرتبات2!A29</f>
        <v>0</v>
      </c>
      <c r="B29" s="14" t="str">
        <f>مرتبات!B29</f>
        <v>Spare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f t="shared" si="0"/>
        <v>0</v>
      </c>
      <c r="M29" s="18"/>
    </row>
    <row r="30" spans="1:13" hidden="1" x14ac:dyDescent="0.25">
      <c r="A30" s="70">
        <f>مرتبات2!A30</f>
        <v>0</v>
      </c>
      <c r="B30" s="14" t="str">
        <f>مرتبات!B30</f>
        <v>Spare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f t="shared" si="0"/>
        <v>0</v>
      </c>
      <c r="M30" s="18"/>
    </row>
    <row r="31" spans="1:13" hidden="1" x14ac:dyDescent="0.25">
      <c r="A31" s="70">
        <f>مرتبات2!A31</f>
        <v>0</v>
      </c>
      <c r="B31" s="14" t="str">
        <f>مرتبات!B31</f>
        <v>Spare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f t="shared" si="0"/>
        <v>0</v>
      </c>
      <c r="M31" s="18"/>
    </row>
    <row r="32" spans="1:13" hidden="1" x14ac:dyDescent="0.25">
      <c r="A32" s="70">
        <f>مرتبات2!A32</f>
        <v>0</v>
      </c>
      <c r="B32" s="14" t="str">
        <f>مرتبات!B32</f>
        <v>Spare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f t="shared" si="0"/>
        <v>0</v>
      </c>
      <c r="M32" s="18"/>
    </row>
    <row r="33" spans="1:13" x14ac:dyDescent="0.25">
      <c r="A33" s="70">
        <f>مرتبات2!A33</f>
        <v>8</v>
      </c>
      <c r="B33" s="14" t="str">
        <f>مرتبات!B33</f>
        <v>أ/أحمد سيف الدين أبو بكر سري الدين</v>
      </c>
      <c r="C33" s="49">
        <v>0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f t="shared" si="0"/>
        <v>0</v>
      </c>
      <c r="M33" s="54"/>
    </row>
    <row r="34" spans="1:13" x14ac:dyDescent="0.25">
      <c r="A34" s="70">
        <f>مرتبات2!A34</f>
        <v>9</v>
      </c>
      <c r="B34" s="14" t="str">
        <f>مرتبات!B34</f>
        <v>أ/هاني أحمد الدالي</v>
      </c>
      <c r="C34" s="49">
        <v>0</v>
      </c>
      <c r="D34" s="49">
        <v>0</v>
      </c>
      <c r="E34" s="49">
        <v>0</v>
      </c>
      <c r="F34" s="49">
        <v>0</v>
      </c>
      <c r="G34" s="49">
        <v>0</v>
      </c>
      <c r="H34" s="49">
        <v>0</v>
      </c>
      <c r="I34" s="49">
        <v>0</v>
      </c>
      <c r="J34" s="49">
        <v>0</v>
      </c>
      <c r="K34" s="49">
        <v>0</v>
      </c>
      <c r="L34" s="49">
        <f t="shared" si="0"/>
        <v>0</v>
      </c>
      <c r="M34" s="18"/>
    </row>
    <row r="35" spans="1:13" x14ac:dyDescent="0.25">
      <c r="A35" s="70">
        <f>مرتبات2!A35</f>
        <v>10</v>
      </c>
      <c r="B35" s="14" t="str">
        <f>مرتبات!B35</f>
        <v>أ/عبدالرحمن أحمد عبدالعزيز حسن</v>
      </c>
      <c r="C35" s="49">
        <v>0</v>
      </c>
      <c r="D35" s="49">
        <v>0</v>
      </c>
      <c r="E35" s="49">
        <v>0</v>
      </c>
      <c r="F35" s="49">
        <v>0</v>
      </c>
      <c r="G35" s="49">
        <v>0</v>
      </c>
      <c r="H35" s="49">
        <v>0</v>
      </c>
      <c r="I35" s="49">
        <v>0</v>
      </c>
      <c r="J35" s="49">
        <v>0</v>
      </c>
      <c r="K35" s="49">
        <v>0</v>
      </c>
      <c r="L35" s="49">
        <f t="shared" si="0"/>
        <v>0</v>
      </c>
      <c r="M35" s="18"/>
    </row>
    <row r="36" spans="1:13" hidden="1" x14ac:dyDescent="0.25">
      <c r="A36" s="70">
        <f>مرتبات2!A36</f>
        <v>0</v>
      </c>
      <c r="B36" s="14" t="str">
        <f>مرتبات!B36</f>
        <v>Spare</v>
      </c>
      <c r="C36" s="49">
        <v>0</v>
      </c>
      <c r="D36" s="49">
        <v>0</v>
      </c>
      <c r="E36" s="49">
        <v>0</v>
      </c>
      <c r="F36" s="49">
        <v>0</v>
      </c>
      <c r="G36" s="49">
        <v>0</v>
      </c>
      <c r="H36" s="49">
        <v>0</v>
      </c>
      <c r="I36" s="49">
        <v>0</v>
      </c>
      <c r="J36" s="49">
        <v>0</v>
      </c>
      <c r="K36" s="49">
        <v>0</v>
      </c>
      <c r="L36" s="49">
        <f t="shared" si="0"/>
        <v>0</v>
      </c>
      <c r="M36" s="18"/>
    </row>
    <row r="37" spans="1:13" hidden="1" x14ac:dyDescent="0.25">
      <c r="A37" s="70">
        <f>مرتبات2!A37</f>
        <v>0</v>
      </c>
      <c r="B37" s="14" t="str">
        <f>مرتبات!B37</f>
        <v>Spare</v>
      </c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f t="shared" si="0"/>
        <v>0</v>
      </c>
      <c r="M37" s="18"/>
    </row>
    <row r="38" spans="1:13" hidden="1" x14ac:dyDescent="0.25">
      <c r="A38" s="70">
        <f>مرتبات2!A38</f>
        <v>0</v>
      </c>
      <c r="B38" s="14" t="str">
        <f>مرتبات!B38</f>
        <v>Spare</v>
      </c>
      <c r="C38" s="49">
        <v>0</v>
      </c>
      <c r="D38" s="49">
        <v>0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f t="shared" si="0"/>
        <v>0</v>
      </c>
      <c r="M38" s="18"/>
    </row>
    <row r="39" spans="1:13" ht="15.6" hidden="1" x14ac:dyDescent="0.25">
      <c r="A39" s="70">
        <f>مرتبات2!A39</f>
        <v>0</v>
      </c>
      <c r="B39" s="14" t="str">
        <f>مرتبات!B39</f>
        <v>Spare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f t="shared" si="0"/>
        <v>0</v>
      </c>
      <c r="M39" s="44"/>
    </row>
    <row r="40" spans="1:13" hidden="1" x14ac:dyDescent="0.25">
      <c r="A40" s="70">
        <f>مرتبات2!A40</f>
        <v>0</v>
      </c>
      <c r="B40" s="14" t="str">
        <f>مرتبات!B40</f>
        <v>Spare</v>
      </c>
      <c r="C40" s="49">
        <v>0</v>
      </c>
      <c r="D40" s="49">
        <v>0</v>
      </c>
      <c r="E40" s="49">
        <v>0</v>
      </c>
      <c r="F40" s="49">
        <v>0</v>
      </c>
      <c r="G40" s="49">
        <v>0</v>
      </c>
      <c r="H40" s="49">
        <v>0</v>
      </c>
      <c r="I40" s="49">
        <v>0</v>
      </c>
      <c r="J40" s="49">
        <v>0</v>
      </c>
      <c r="K40" s="49">
        <v>0</v>
      </c>
      <c r="L40" s="49">
        <f t="shared" si="0"/>
        <v>0</v>
      </c>
      <c r="M40" s="55"/>
    </row>
    <row r="41" spans="1:13" hidden="1" x14ac:dyDescent="0.25">
      <c r="A41" s="70">
        <f>مرتبات2!A41</f>
        <v>0</v>
      </c>
      <c r="B41" s="14" t="str">
        <f>مرتبات!B41</f>
        <v>Spare</v>
      </c>
      <c r="C41" s="49">
        <v>0</v>
      </c>
      <c r="D41" s="49">
        <v>0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f t="shared" si="0"/>
        <v>0</v>
      </c>
      <c r="M41" s="52"/>
    </row>
    <row r="42" spans="1:13" hidden="1" x14ac:dyDescent="0.25">
      <c r="A42" s="70">
        <f>مرتبات2!A42</f>
        <v>0</v>
      </c>
      <c r="B42" s="14" t="str">
        <f>مرتبات!B42</f>
        <v>Spare</v>
      </c>
      <c r="C42" s="49">
        <v>0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f t="shared" si="0"/>
        <v>0</v>
      </c>
      <c r="M42" s="18"/>
    </row>
    <row r="43" spans="1:13" ht="15.6" hidden="1" x14ac:dyDescent="0.25">
      <c r="A43" s="70">
        <f>مرتبات2!A43</f>
        <v>0</v>
      </c>
      <c r="B43" s="14" t="str">
        <f>مرتبات!B43</f>
        <v>Spare</v>
      </c>
      <c r="C43" s="49">
        <v>0</v>
      </c>
      <c r="D43" s="49">
        <v>0</v>
      </c>
      <c r="E43" s="49">
        <v>0</v>
      </c>
      <c r="F43" s="49">
        <v>0</v>
      </c>
      <c r="G43" s="49">
        <v>0</v>
      </c>
      <c r="H43" s="49">
        <v>0</v>
      </c>
      <c r="I43" s="49">
        <v>0</v>
      </c>
      <c r="J43" s="49">
        <v>0</v>
      </c>
      <c r="K43" s="49">
        <v>0</v>
      </c>
      <c r="L43" s="49">
        <f t="shared" si="0"/>
        <v>0</v>
      </c>
      <c r="M43" s="44"/>
    </row>
    <row r="44" spans="1:13" hidden="1" x14ac:dyDescent="0.25">
      <c r="A44" s="70">
        <f>مرتبات2!A44</f>
        <v>0</v>
      </c>
      <c r="B44" s="14" t="str">
        <f>مرتبات!B44</f>
        <v>Spare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f t="shared" si="0"/>
        <v>0</v>
      </c>
      <c r="M44" s="18"/>
    </row>
    <row r="45" spans="1:13" x14ac:dyDescent="0.25">
      <c r="A45" s="70">
        <f>مرتبات2!A45</f>
        <v>11</v>
      </c>
      <c r="B45" s="14" t="str">
        <f>مرتبات!B45</f>
        <v>أ/حبيبة محمود سمير محمود عيسى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67">
        <v>0</v>
      </c>
      <c r="I45" s="67">
        <v>0</v>
      </c>
      <c r="J45" s="49">
        <v>0</v>
      </c>
      <c r="K45" s="49">
        <v>0</v>
      </c>
      <c r="L45" s="67">
        <f t="shared" si="0"/>
        <v>0</v>
      </c>
      <c r="M45" s="115"/>
    </row>
    <row r="46" spans="1:13" x14ac:dyDescent="0.25">
      <c r="A46" s="70">
        <f>مرتبات2!A46</f>
        <v>12</v>
      </c>
      <c r="B46" s="14" t="str">
        <f>مرتبات!B46</f>
        <v>أ/احمد ابو العباس محمد الاتربي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f t="shared" si="0"/>
        <v>0</v>
      </c>
      <c r="M46" s="54"/>
    </row>
    <row r="47" spans="1:13" x14ac:dyDescent="0.25">
      <c r="A47" s="70">
        <f>مرتبات2!A47</f>
        <v>13</v>
      </c>
      <c r="B47" s="14" t="str">
        <f>مرتبات!B47</f>
        <v>أ/ليلي امين محمد امين طموم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f t="shared" si="0"/>
        <v>0</v>
      </c>
      <c r="M47" s="61"/>
    </row>
    <row r="48" spans="1:13" x14ac:dyDescent="0.25">
      <c r="A48" s="70">
        <f>مرتبات2!A48</f>
        <v>14</v>
      </c>
      <c r="B48" s="14" t="str">
        <f>مرتبات!B48</f>
        <v>أ/كريم ايمن محمد عادل</v>
      </c>
      <c r="C48" s="49">
        <v>0</v>
      </c>
      <c r="D48" s="49">
        <v>0</v>
      </c>
      <c r="E48" s="49">
        <v>0</v>
      </c>
      <c r="F48" s="49">
        <v>0</v>
      </c>
      <c r="G48" s="49">
        <v>0</v>
      </c>
      <c r="H48" s="49">
        <v>0</v>
      </c>
      <c r="I48" s="49">
        <v>0</v>
      </c>
      <c r="J48" s="49">
        <v>0</v>
      </c>
      <c r="K48" s="49">
        <v>0</v>
      </c>
      <c r="L48" s="49">
        <f t="shared" si="0"/>
        <v>0</v>
      </c>
      <c r="M48" s="101"/>
    </row>
    <row r="49" spans="1:13" x14ac:dyDescent="0.25">
      <c r="A49" s="70">
        <f>مرتبات2!A49</f>
        <v>15</v>
      </c>
      <c r="B49" s="14" t="str">
        <f>مرتبات!B49</f>
        <v>عمرو محمد عبدالحليم أبو سليم</v>
      </c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f t="shared" si="0"/>
        <v>0</v>
      </c>
      <c r="M49" s="101"/>
    </row>
    <row r="50" spans="1:13" hidden="1" x14ac:dyDescent="0.25">
      <c r="A50" s="70">
        <f>مرتبات2!A50</f>
        <v>0</v>
      </c>
      <c r="B50" s="14" t="str">
        <f>مرتبات!B50</f>
        <v>Spare</v>
      </c>
      <c r="C50" s="49">
        <v>0</v>
      </c>
      <c r="D50" s="49">
        <v>0</v>
      </c>
      <c r="E50" s="49">
        <v>0</v>
      </c>
      <c r="F50" s="49">
        <v>0</v>
      </c>
      <c r="G50" s="49">
        <v>0</v>
      </c>
      <c r="H50" s="49">
        <v>0</v>
      </c>
      <c r="I50" s="49">
        <v>0</v>
      </c>
      <c r="J50" s="49">
        <v>0</v>
      </c>
      <c r="K50" s="49">
        <v>0</v>
      </c>
      <c r="L50" s="49">
        <f t="shared" si="0"/>
        <v>0</v>
      </c>
      <c r="M50" s="21"/>
    </row>
    <row r="51" spans="1:13" hidden="1" x14ac:dyDescent="0.25">
      <c r="A51" s="70">
        <f>مرتبات2!A51</f>
        <v>0</v>
      </c>
      <c r="B51" s="14" t="str">
        <f>مرتبات!B51</f>
        <v>Spare</v>
      </c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f t="shared" si="0"/>
        <v>0</v>
      </c>
      <c r="M51" s="21"/>
    </row>
    <row r="52" spans="1:13" hidden="1" x14ac:dyDescent="0.25">
      <c r="A52" s="70">
        <f>مرتبات2!A52</f>
        <v>0</v>
      </c>
      <c r="B52" s="14" t="str">
        <f>مرتبات!B52</f>
        <v>Spare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f t="shared" si="0"/>
        <v>0</v>
      </c>
      <c r="M52" s="45"/>
    </row>
    <row r="53" spans="1:13" hidden="1" x14ac:dyDescent="0.25">
      <c r="A53" s="70">
        <f>مرتبات2!A53</f>
        <v>0</v>
      </c>
      <c r="B53" s="14" t="str">
        <f>مرتبات!B53</f>
        <v>Spare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f t="shared" si="0"/>
        <v>0</v>
      </c>
      <c r="M53" s="61"/>
    </row>
    <row r="54" spans="1:13" hidden="1" x14ac:dyDescent="0.25">
      <c r="A54" s="70">
        <f>مرتبات2!A54</f>
        <v>0</v>
      </c>
      <c r="B54" s="14" t="str">
        <f>مرتبات!B54</f>
        <v>Spare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f t="shared" si="0"/>
        <v>0</v>
      </c>
      <c r="M54" s="61"/>
    </row>
    <row r="55" spans="1:13" hidden="1" x14ac:dyDescent="0.25">
      <c r="A55" s="70">
        <f>مرتبات2!A55</f>
        <v>0</v>
      </c>
      <c r="B55" s="14" t="str">
        <f>مرتبات!B55</f>
        <v>Spare</v>
      </c>
      <c r="C55" s="49">
        <v>0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f t="shared" si="0"/>
        <v>0</v>
      </c>
      <c r="M55" s="61"/>
    </row>
    <row r="56" spans="1:13" ht="15.6" x14ac:dyDescent="0.3">
      <c r="A56" s="108">
        <f>مرتبات2!A56</f>
        <v>15</v>
      </c>
      <c r="B56" s="89" t="s">
        <v>89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</row>
    <row r="57" spans="1:13" x14ac:dyDescent="0.25">
      <c r="A57" s="70">
        <f>مرتبات2!A57</f>
        <v>1</v>
      </c>
      <c r="B57" s="14" t="str">
        <f>مرتبات!B57</f>
        <v>أ/دعاء عبد الدايم إبراهيم نصار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f t="shared" si="0"/>
        <v>0</v>
      </c>
      <c r="M57" s="102"/>
    </row>
    <row r="58" spans="1:13" x14ac:dyDescent="0.25">
      <c r="A58" s="70">
        <f>مرتبات2!A58</f>
        <v>2</v>
      </c>
      <c r="B58" s="14" t="str">
        <f>مرتبات!B58</f>
        <v>أ/أحمد محمد رزق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f t="shared" si="0"/>
        <v>0</v>
      </c>
      <c r="M58" s="55"/>
    </row>
    <row r="59" spans="1:13" hidden="1" x14ac:dyDescent="0.25">
      <c r="A59" s="70">
        <f>مرتبات2!A59</f>
        <v>0</v>
      </c>
      <c r="B59" s="14" t="str">
        <f>مرتبات!B59</f>
        <v>Manager Spare</v>
      </c>
      <c r="C59" s="49">
        <v>0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0</v>
      </c>
      <c r="L59" s="49">
        <f t="shared" si="0"/>
        <v>0</v>
      </c>
      <c r="M59" s="61"/>
    </row>
    <row r="60" spans="1:13" hidden="1" x14ac:dyDescent="0.25">
      <c r="A60" s="70">
        <f>مرتبات2!A60</f>
        <v>0</v>
      </c>
      <c r="B60" s="14" t="str">
        <f>مرتبات!B60</f>
        <v>Manager Spare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49">
        <v>0</v>
      </c>
      <c r="J60" s="49">
        <v>0</v>
      </c>
      <c r="K60" s="49">
        <v>0</v>
      </c>
      <c r="L60" s="49">
        <f t="shared" si="0"/>
        <v>0</v>
      </c>
      <c r="M60" s="61"/>
    </row>
    <row r="61" spans="1:13" hidden="1" x14ac:dyDescent="0.25">
      <c r="A61" s="70">
        <f>مرتبات2!A61</f>
        <v>0</v>
      </c>
      <c r="B61" s="14" t="str">
        <f>مرتبات!B61</f>
        <v>Manager Spare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f t="shared" si="0"/>
        <v>0</v>
      </c>
      <c r="M61" s="61"/>
    </row>
    <row r="62" spans="1:13" x14ac:dyDescent="0.25">
      <c r="A62" s="70">
        <f>مرتبات2!A62</f>
        <v>3</v>
      </c>
      <c r="B62" s="14" t="str">
        <f>مرتبات!B62</f>
        <v>أ/خالد محمد حلمى</v>
      </c>
      <c r="C62" s="49">
        <v>0</v>
      </c>
      <c r="D62" s="49">
        <v>0</v>
      </c>
      <c r="E62" s="49">
        <v>0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f t="shared" si="0"/>
        <v>0</v>
      </c>
      <c r="M62" s="100"/>
    </row>
    <row r="63" spans="1:13" x14ac:dyDescent="0.25">
      <c r="A63" s="70">
        <f>مرتبات2!A63</f>
        <v>4</v>
      </c>
      <c r="B63" s="14" t="str">
        <f>مرتبات!B63</f>
        <v>أ/ نيرمين عصمت محمد حجازي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f t="shared" si="0"/>
        <v>0</v>
      </c>
      <c r="M63" s="61"/>
    </row>
    <row r="64" spans="1:13" hidden="1" x14ac:dyDescent="0.25">
      <c r="A64" s="70">
        <f>مرتبات2!A64</f>
        <v>0</v>
      </c>
      <c r="B64" s="14" t="str">
        <f>مرتبات!B64</f>
        <v>Senior Spare</v>
      </c>
      <c r="C64" s="49">
        <v>0</v>
      </c>
      <c r="D64" s="49">
        <v>0</v>
      </c>
      <c r="E64" s="49">
        <v>0</v>
      </c>
      <c r="F64" s="49">
        <v>0</v>
      </c>
      <c r="G64" s="49">
        <v>0</v>
      </c>
      <c r="H64" s="49">
        <v>0</v>
      </c>
      <c r="I64" s="49">
        <v>0</v>
      </c>
      <c r="J64" s="49">
        <v>0</v>
      </c>
      <c r="K64" s="49">
        <v>0</v>
      </c>
      <c r="L64" s="49">
        <f t="shared" si="0"/>
        <v>0</v>
      </c>
      <c r="M64" s="61"/>
    </row>
    <row r="65" spans="1:13" hidden="1" x14ac:dyDescent="0.25">
      <c r="A65" s="70">
        <f>مرتبات2!A65</f>
        <v>0</v>
      </c>
      <c r="B65" s="14" t="str">
        <f>مرتبات!B65</f>
        <v>Senior Spare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f t="shared" si="0"/>
        <v>0</v>
      </c>
      <c r="M65" s="61"/>
    </row>
    <row r="66" spans="1:13" hidden="1" x14ac:dyDescent="0.25">
      <c r="A66" s="70">
        <f>مرتبات2!A66</f>
        <v>0</v>
      </c>
      <c r="B66" s="14" t="str">
        <f>مرتبات!B66</f>
        <v>Senior Spare</v>
      </c>
      <c r="C66" s="49">
        <v>0</v>
      </c>
      <c r="D66" s="49">
        <v>0</v>
      </c>
      <c r="E66" s="49">
        <v>0</v>
      </c>
      <c r="F66" s="49">
        <v>0</v>
      </c>
      <c r="G66" s="49">
        <v>0</v>
      </c>
      <c r="H66" s="49">
        <v>0</v>
      </c>
      <c r="I66" s="49">
        <v>0</v>
      </c>
      <c r="J66" s="49">
        <v>0</v>
      </c>
      <c r="K66" s="49">
        <v>0</v>
      </c>
      <c r="L66" s="49">
        <f t="shared" si="0"/>
        <v>0</v>
      </c>
      <c r="M66" s="61"/>
    </row>
    <row r="67" spans="1:13" hidden="1" x14ac:dyDescent="0.25">
      <c r="A67" s="70">
        <f>مرتبات2!A67</f>
        <v>0</v>
      </c>
      <c r="B67" s="14" t="str">
        <f>مرتبات!B67</f>
        <v>Senior Spare</v>
      </c>
      <c r="C67" s="49">
        <v>0</v>
      </c>
      <c r="D67" s="49">
        <v>0</v>
      </c>
      <c r="E67" s="49">
        <v>0</v>
      </c>
      <c r="F67" s="49">
        <v>0</v>
      </c>
      <c r="G67" s="49">
        <v>0</v>
      </c>
      <c r="H67" s="49">
        <v>0</v>
      </c>
      <c r="I67" s="49">
        <v>0</v>
      </c>
      <c r="J67" s="49">
        <v>0</v>
      </c>
      <c r="K67" s="49">
        <v>0</v>
      </c>
      <c r="L67" s="49">
        <f t="shared" si="0"/>
        <v>0</v>
      </c>
      <c r="M67" s="61"/>
    </row>
    <row r="68" spans="1:13" x14ac:dyDescent="0.25">
      <c r="A68" s="70">
        <f>مرتبات2!A68</f>
        <v>5</v>
      </c>
      <c r="B68" s="14" t="str">
        <f>مرتبات!B68</f>
        <v>أ/مروة شريف عبدالحميد سلامة</v>
      </c>
      <c r="C68" s="49">
        <v>0</v>
      </c>
      <c r="D68" s="49">
        <v>0</v>
      </c>
      <c r="E68" s="49">
        <v>0</v>
      </c>
      <c r="F68" s="49">
        <v>0</v>
      </c>
      <c r="G68" s="49">
        <v>0</v>
      </c>
      <c r="H68" s="49">
        <v>0</v>
      </c>
      <c r="I68" s="49">
        <v>0</v>
      </c>
      <c r="J68" s="49">
        <v>0</v>
      </c>
      <c r="K68" s="49">
        <v>0</v>
      </c>
      <c r="L68" s="49">
        <f t="shared" ref="L68:L117" si="1">SUM(C68:K68)</f>
        <v>0</v>
      </c>
      <c r="M68" s="61"/>
    </row>
    <row r="69" spans="1:13" x14ac:dyDescent="0.25">
      <c r="A69" s="70">
        <f>مرتبات2!A69</f>
        <v>6</v>
      </c>
      <c r="B69" s="14" t="str">
        <f>مرتبات!B69</f>
        <v>أ/حازم ابراهيم عبد الحميد محمد فتاتة</v>
      </c>
      <c r="C69" s="49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>
        <v>0</v>
      </c>
      <c r="K69" s="49">
        <v>0</v>
      </c>
      <c r="L69" s="49">
        <f t="shared" si="1"/>
        <v>0</v>
      </c>
      <c r="M69" s="61"/>
    </row>
    <row r="70" spans="1:13" x14ac:dyDescent="0.25">
      <c r="A70" s="70">
        <v>0</v>
      </c>
      <c r="B70" s="14" t="str">
        <f>مرتبات!B70</f>
        <v xml:space="preserve">أ/أحمد سمير حسن السيد </v>
      </c>
      <c r="C70" s="49">
        <v>0</v>
      </c>
      <c r="D70" s="49">
        <v>0</v>
      </c>
      <c r="E70" s="49">
        <v>0</v>
      </c>
      <c r="F70" s="49">
        <v>0</v>
      </c>
      <c r="G70" s="49">
        <v>0</v>
      </c>
      <c r="H70" s="49">
        <v>0</v>
      </c>
      <c r="I70" s="49">
        <v>0</v>
      </c>
      <c r="J70" s="49">
        <v>0</v>
      </c>
      <c r="K70" s="49">
        <v>0</v>
      </c>
      <c r="L70" s="49">
        <f t="shared" si="1"/>
        <v>0</v>
      </c>
      <c r="M70" s="61"/>
    </row>
    <row r="71" spans="1:13" x14ac:dyDescent="0.25">
      <c r="A71" s="70">
        <v>7</v>
      </c>
      <c r="B71" s="14" t="str">
        <f>مرتبات!B71</f>
        <v>أ/إيمان صبحى شكرى</v>
      </c>
      <c r="C71" s="49">
        <v>0</v>
      </c>
      <c r="D71" s="49">
        <v>0</v>
      </c>
      <c r="E71" s="49">
        <v>0</v>
      </c>
      <c r="F71" s="49">
        <v>0</v>
      </c>
      <c r="G71" s="49">
        <v>0</v>
      </c>
      <c r="H71" s="49">
        <v>0</v>
      </c>
      <c r="I71" s="49">
        <v>0</v>
      </c>
      <c r="J71" s="49">
        <v>0</v>
      </c>
      <c r="K71" s="49">
        <v>0</v>
      </c>
      <c r="L71" s="49">
        <f t="shared" si="1"/>
        <v>0</v>
      </c>
      <c r="M71" s="61"/>
    </row>
    <row r="72" spans="1:13" x14ac:dyDescent="0.25">
      <c r="A72" s="70">
        <v>8</v>
      </c>
      <c r="B72" s="14" t="str">
        <f>مرتبات!B72</f>
        <v>أ/شريف شكرى محمد</v>
      </c>
      <c r="C72" s="49">
        <v>0</v>
      </c>
      <c r="D72" s="49">
        <v>0</v>
      </c>
      <c r="E72" s="49">
        <v>0</v>
      </c>
      <c r="F72" s="49">
        <v>0</v>
      </c>
      <c r="G72" s="49">
        <v>0</v>
      </c>
      <c r="H72" s="49">
        <v>0</v>
      </c>
      <c r="I72" s="49">
        <v>0</v>
      </c>
      <c r="J72" s="49">
        <v>0</v>
      </c>
      <c r="K72" s="49">
        <v>0</v>
      </c>
      <c r="L72" s="49">
        <f t="shared" si="1"/>
        <v>0</v>
      </c>
      <c r="M72" s="100"/>
    </row>
    <row r="73" spans="1:13" x14ac:dyDescent="0.25">
      <c r="A73" s="70">
        <v>9</v>
      </c>
      <c r="B73" s="14" t="str">
        <f>مرتبات!B73</f>
        <v>أ/محمد حسن محمد كامل</v>
      </c>
      <c r="C73" s="49">
        <v>0</v>
      </c>
      <c r="D73" s="49">
        <v>0</v>
      </c>
      <c r="E73" s="49">
        <v>0</v>
      </c>
      <c r="F73" s="49">
        <v>0</v>
      </c>
      <c r="G73" s="49">
        <v>0</v>
      </c>
      <c r="H73" s="49">
        <v>0</v>
      </c>
      <c r="I73" s="49">
        <v>0</v>
      </c>
      <c r="J73" s="49">
        <v>0</v>
      </c>
      <c r="K73" s="49">
        <v>0</v>
      </c>
      <c r="L73" s="49">
        <f t="shared" si="1"/>
        <v>0</v>
      </c>
      <c r="M73" s="101"/>
    </row>
    <row r="74" spans="1:13" x14ac:dyDescent="0.25">
      <c r="A74" s="70">
        <v>10</v>
      </c>
      <c r="B74" s="14" t="str">
        <f>مرتبات!B74</f>
        <v>أ/سامي ابراهيم محمد</v>
      </c>
      <c r="C74" s="49">
        <v>0</v>
      </c>
      <c r="D74" s="49">
        <v>0</v>
      </c>
      <c r="E74" s="49">
        <v>0</v>
      </c>
      <c r="F74" s="49">
        <v>0</v>
      </c>
      <c r="G74" s="49">
        <v>0</v>
      </c>
      <c r="H74" s="49">
        <v>0</v>
      </c>
      <c r="I74" s="49">
        <v>0</v>
      </c>
      <c r="J74" s="49">
        <v>0</v>
      </c>
      <c r="K74" s="49">
        <v>0</v>
      </c>
      <c r="L74" s="49">
        <f t="shared" si="1"/>
        <v>0</v>
      </c>
      <c r="M74" s="61"/>
    </row>
    <row r="75" spans="1:13" x14ac:dyDescent="0.25">
      <c r="A75" s="70">
        <v>11</v>
      </c>
      <c r="B75" s="14" t="str">
        <f>مرتبات!B75</f>
        <v>أ/محمود على محمود حسين</v>
      </c>
      <c r="C75" s="49">
        <v>0</v>
      </c>
      <c r="D75" s="49">
        <v>0</v>
      </c>
      <c r="E75" s="49">
        <v>0</v>
      </c>
      <c r="F75" s="49">
        <v>0</v>
      </c>
      <c r="G75" s="49">
        <v>0</v>
      </c>
      <c r="H75" s="49">
        <v>0</v>
      </c>
      <c r="I75" s="49">
        <v>0</v>
      </c>
      <c r="J75" s="49">
        <v>0</v>
      </c>
      <c r="K75" s="49">
        <v>0</v>
      </c>
      <c r="L75" s="49">
        <f t="shared" si="1"/>
        <v>0</v>
      </c>
      <c r="M75" s="61"/>
    </row>
    <row r="76" spans="1:13" x14ac:dyDescent="0.25">
      <c r="A76" s="70">
        <v>12</v>
      </c>
      <c r="B76" s="14" t="str">
        <f>مرتبات!B76</f>
        <v>أ/عمرو عبد الكريم صقر</v>
      </c>
      <c r="C76" s="49">
        <v>0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f t="shared" si="1"/>
        <v>0</v>
      </c>
      <c r="M76" s="61"/>
    </row>
    <row r="77" spans="1:13" x14ac:dyDescent="0.25">
      <c r="A77" s="70">
        <v>13</v>
      </c>
      <c r="B77" s="14" t="str">
        <f>مرتبات!B77</f>
        <v>أ/مختار احمد المجدلي</v>
      </c>
      <c r="C77" s="49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f t="shared" si="1"/>
        <v>0</v>
      </c>
      <c r="M77" s="104"/>
    </row>
    <row r="78" spans="1:13" x14ac:dyDescent="0.25">
      <c r="A78" s="70">
        <v>14</v>
      </c>
      <c r="B78" s="14" t="str">
        <f>مرتبات!B78</f>
        <v>أ/طارق محمد جمعه</v>
      </c>
      <c r="C78" s="49">
        <v>0</v>
      </c>
      <c r="D78" s="49">
        <v>0</v>
      </c>
      <c r="E78" s="49">
        <v>0</v>
      </c>
      <c r="F78" s="49">
        <v>0</v>
      </c>
      <c r="G78" s="49">
        <v>0</v>
      </c>
      <c r="H78" s="49">
        <v>0</v>
      </c>
      <c r="I78" s="49">
        <v>0</v>
      </c>
      <c r="J78" s="49">
        <v>0</v>
      </c>
      <c r="K78" s="49">
        <v>0</v>
      </c>
      <c r="L78" s="49">
        <f t="shared" si="1"/>
        <v>0</v>
      </c>
      <c r="M78" s="61"/>
    </row>
    <row r="79" spans="1:13" x14ac:dyDescent="0.25">
      <c r="A79" s="70">
        <v>15</v>
      </c>
      <c r="B79" s="14" t="str">
        <f>مرتبات!B79</f>
        <v>أ/ أحمد محمد عبدالسلام</v>
      </c>
      <c r="C79" s="49">
        <v>0</v>
      </c>
      <c r="D79" s="49">
        <v>0</v>
      </c>
      <c r="E79" s="49">
        <v>0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67">
        <f t="shared" si="1"/>
        <v>0</v>
      </c>
      <c r="M79" s="105"/>
    </row>
    <row r="80" spans="1:13" hidden="1" x14ac:dyDescent="0.25">
      <c r="A80" s="70">
        <f>مرتبات2!A80</f>
        <v>0</v>
      </c>
      <c r="B80" s="14">
        <f>مرتبات!B80</f>
        <v>0</v>
      </c>
      <c r="C80" s="49">
        <v>0</v>
      </c>
      <c r="D80" s="49">
        <v>0</v>
      </c>
      <c r="E80" s="49">
        <v>0</v>
      </c>
      <c r="F80" s="49">
        <v>0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f t="shared" si="1"/>
        <v>0</v>
      </c>
      <c r="M80" s="103"/>
    </row>
    <row r="81" spans="1:13" x14ac:dyDescent="0.25">
      <c r="A81" s="70">
        <v>16</v>
      </c>
      <c r="B81" s="14" t="str">
        <f>مرتبات!B81</f>
        <v>أ/محمد عبدالجواد محمد</v>
      </c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f t="shared" si="1"/>
        <v>0</v>
      </c>
      <c r="M81" s="61"/>
    </row>
    <row r="82" spans="1:13" x14ac:dyDescent="0.25">
      <c r="A82" s="70">
        <v>17</v>
      </c>
      <c r="B82" s="14" t="str">
        <f>مرتبات!B82</f>
        <v>أ/ منة الله محب عبدالغفار السيد</v>
      </c>
      <c r="C82" s="49">
        <v>0</v>
      </c>
      <c r="D82" s="49">
        <v>0</v>
      </c>
      <c r="E82" s="49">
        <v>0</v>
      </c>
      <c r="F82" s="49">
        <v>0</v>
      </c>
      <c r="G82" s="49">
        <v>0</v>
      </c>
      <c r="H82" s="49">
        <v>0</v>
      </c>
      <c r="I82" s="49">
        <v>0</v>
      </c>
      <c r="J82" s="49">
        <v>0</v>
      </c>
      <c r="K82" s="49">
        <v>0</v>
      </c>
      <c r="L82" s="49">
        <f t="shared" si="1"/>
        <v>0</v>
      </c>
      <c r="M82" s="61"/>
    </row>
    <row r="83" spans="1:13" x14ac:dyDescent="0.25">
      <c r="A83" s="70">
        <v>18</v>
      </c>
      <c r="B83" s="14" t="str">
        <f>مرتبات!B83</f>
        <v>أ/عاصم محمد سعيد عبده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f t="shared" si="1"/>
        <v>0</v>
      </c>
      <c r="M83" s="103"/>
    </row>
    <row r="84" spans="1:13" x14ac:dyDescent="0.25">
      <c r="A84" s="70">
        <v>19</v>
      </c>
      <c r="B84" s="14" t="str">
        <f>مرتبات!B84</f>
        <v>أ/ نجوى إبراهيم محمود غنيم</v>
      </c>
      <c r="C84" s="49">
        <v>0</v>
      </c>
      <c r="D84" s="49">
        <v>0</v>
      </c>
      <c r="E84" s="49">
        <v>0</v>
      </c>
      <c r="F84" s="49">
        <v>0</v>
      </c>
      <c r="G84" s="49">
        <v>0</v>
      </c>
      <c r="H84" s="49">
        <v>0</v>
      </c>
      <c r="I84" s="49">
        <v>0</v>
      </c>
      <c r="J84" s="49">
        <v>0</v>
      </c>
      <c r="K84" s="49">
        <v>0</v>
      </c>
      <c r="L84" s="49">
        <f t="shared" si="1"/>
        <v>0</v>
      </c>
      <c r="M84" s="61"/>
    </row>
    <row r="85" spans="1:13" x14ac:dyDescent="0.25">
      <c r="A85" s="70">
        <v>20</v>
      </c>
      <c r="B85" s="14" t="s">
        <v>154</v>
      </c>
      <c r="C85" s="49">
        <v>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0</v>
      </c>
      <c r="K85" s="49">
        <v>0</v>
      </c>
      <c r="L85" s="49">
        <f t="shared" si="1"/>
        <v>0</v>
      </c>
      <c r="M85" s="55"/>
    </row>
    <row r="86" spans="1:13" hidden="1" x14ac:dyDescent="0.25">
      <c r="A86" s="70">
        <f>مرتبات2!A86</f>
        <v>0</v>
      </c>
      <c r="B86" s="14" t="str">
        <f>مرتبات!B86</f>
        <v>Spare</v>
      </c>
      <c r="C86" s="49">
        <v>0</v>
      </c>
      <c r="D86" s="49">
        <v>0</v>
      </c>
      <c r="E86" s="49">
        <v>0</v>
      </c>
      <c r="F86" s="49">
        <v>0</v>
      </c>
      <c r="G86" s="49">
        <v>0</v>
      </c>
      <c r="H86" s="49">
        <v>0</v>
      </c>
      <c r="I86" s="49">
        <v>0</v>
      </c>
      <c r="J86" s="49">
        <v>0</v>
      </c>
      <c r="K86" s="49">
        <v>0</v>
      </c>
      <c r="L86" s="49">
        <f t="shared" si="1"/>
        <v>0</v>
      </c>
      <c r="M86" s="61"/>
    </row>
    <row r="87" spans="1:13" hidden="1" x14ac:dyDescent="0.25">
      <c r="A87" s="70">
        <f>مرتبات2!A87</f>
        <v>0</v>
      </c>
      <c r="B87" s="14" t="str">
        <f>مرتبات!B87</f>
        <v>Spare</v>
      </c>
      <c r="C87" s="49">
        <v>0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f t="shared" si="1"/>
        <v>0</v>
      </c>
      <c r="M87" s="61"/>
    </row>
    <row r="88" spans="1:13" hidden="1" x14ac:dyDescent="0.25">
      <c r="A88" s="70">
        <f>مرتبات2!A88</f>
        <v>0</v>
      </c>
      <c r="B88" s="14" t="str">
        <f>مرتبات!B88</f>
        <v>Spare</v>
      </c>
      <c r="C88" s="49">
        <v>0</v>
      </c>
      <c r="D88" s="49">
        <v>0</v>
      </c>
      <c r="E88" s="49">
        <v>0</v>
      </c>
      <c r="F88" s="49">
        <v>0</v>
      </c>
      <c r="G88" s="49">
        <v>0</v>
      </c>
      <c r="H88" s="49">
        <v>0</v>
      </c>
      <c r="I88" s="49">
        <v>0</v>
      </c>
      <c r="J88" s="49">
        <v>0</v>
      </c>
      <c r="K88" s="49">
        <v>0</v>
      </c>
      <c r="L88" s="49">
        <f t="shared" si="1"/>
        <v>0</v>
      </c>
      <c r="M88" s="61"/>
    </row>
    <row r="89" spans="1:13" hidden="1" x14ac:dyDescent="0.25">
      <c r="A89" s="70">
        <f>مرتبات2!A89</f>
        <v>0</v>
      </c>
      <c r="B89" s="14" t="str">
        <f>مرتبات!B89</f>
        <v>Spare</v>
      </c>
      <c r="C89" s="49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f t="shared" si="1"/>
        <v>0</v>
      </c>
      <c r="M89" s="61"/>
    </row>
    <row r="90" spans="1:13" hidden="1" x14ac:dyDescent="0.25">
      <c r="A90" s="70">
        <f>مرتبات2!A90</f>
        <v>0</v>
      </c>
      <c r="B90" s="14" t="str">
        <f>مرتبات!B90</f>
        <v>Spare</v>
      </c>
      <c r="C90" s="49">
        <v>0</v>
      </c>
      <c r="D90" s="49">
        <v>0</v>
      </c>
      <c r="E90" s="49">
        <v>0</v>
      </c>
      <c r="F90" s="49">
        <v>0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f t="shared" si="1"/>
        <v>0</v>
      </c>
      <c r="M90" s="61"/>
    </row>
    <row r="91" spans="1:13" hidden="1" x14ac:dyDescent="0.25">
      <c r="A91" s="70">
        <f>مرتبات2!A91</f>
        <v>0</v>
      </c>
      <c r="B91" s="14" t="str">
        <f>مرتبات!B91</f>
        <v>Spare</v>
      </c>
      <c r="C91" s="49">
        <v>0</v>
      </c>
      <c r="D91" s="49">
        <v>0</v>
      </c>
      <c r="E91" s="49">
        <v>0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f t="shared" si="1"/>
        <v>0</v>
      </c>
      <c r="M91" s="61"/>
    </row>
    <row r="92" spans="1:13" hidden="1" x14ac:dyDescent="0.25">
      <c r="A92" s="70">
        <f>مرتبات2!A92</f>
        <v>0</v>
      </c>
      <c r="B92" s="14" t="str">
        <f>مرتبات!B92</f>
        <v>Spare</v>
      </c>
      <c r="C92" s="49">
        <v>0</v>
      </c>
      <c r="D92" s="49">
        <v>0</v>
      </c>
      <c r="E92" s="49">
        <v>0</v>
      </c>
      <c r="F92" s="49">
        <v>0</v>
      </c>
      <c r="G92" s="49">
        <v>0</v>
      </c>
      <c r="H92" s="49">
        <v>0</v>
      </c>
      <c r="I92" s="49">
        <v>0</v>
      </c>
      <c r="J92" s="49">
        <v>0</v>
      </c>
      <c r="K92" s="49">
        <v>0</v>
      </c>
      <c r="L92" s="49">
        <f t="shared" si="1"/>
        <v>0</v>
      </c>
      <c r="M92" s="61"/>
    </row>
    <row r="93" spans="1:13" hidden="1" x14ac:dyDescent="0.25">
      <c r="A93" s="70">
        <f>مرتبات2!A93</f>
        <v>0</v>
      </c>
      <c r="B93" s="14" t="str">
        <f>مرتبات!B93</f>
        <v>Spare</v>
      </c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f t="shared" si="1"/>
        <v>0</v>
      </c>
      <c r="M93" s="61"/>
    </row>
    <row r="94" spans="1:13" hidden="1" x14ac:dyDescent="0.25">
      <c r="A94" s="70">
        <f>مرتبات2!A94</f>
        <v>0</v>
      </c>
      <c r="B94" s="14" t="str">
        <f>مرتبات!B94</f>
        <v>Spare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f t="shared" si="1"/>
        <v>0</v>
      </c>
      <c r="M94" s="61"/>
    </row>
    <row r="95" spans="1:13" hidden="1" x14ac:dyDescent="0.25">
      <c r="A95" s="70">
        <f>مرتبات2!A95</f>
        <v>0</v>
      </c>
      <c r="B95" s="14" t="str">
        <f>مرتبات!B95</f>
        <v>Spare</v>
      </c>
      <c r="C95" s="49">
        <v>0</v>
      </c>
      <c r="D95" s="49">
        <v>0</v>
      </c>
      <c r="E95" s="49">
        <v>0</v>
      </c>
      <c r="F95" s="49">
        <v>0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f t="shared" si="1"/>
        <v>0</v>
      </c>
      <c r="M95" s="61"/>
    </row>
    <row r="96" spans="1:13" hidden="1" x14ac:dyDescent="0.25">
      <c r="A96" s="70">
        <f>مرتبات2!A96</f>
        <v>0</v>
      </c>
      <c r="B96" s="14" t="str">
        <f>مرتبات!B96</f>
        <v>Spare</v>
      </c>
      <c r="C96" s="49">
        <v>0</v>
      </c>
      <c r="D96" s="49">
        <v>0</v>
      </c>
      <c r="E96" s="49">
        <v>0</v>
      </c>
      <c r="F96" s="49">
        <v>0</v>
      </c>
      <c r="G96" s="49">
        <v>0</v>
      </c>
      <c r="H96" s="49">
        <v>0</v>
      </c>
      <c r="I96" s="49">
        <v>0</v>
      </c>
      <c r="J96" s="49">
        <v>0</v>
      </c>
      <c r="K96" s="49">
        <v>0</v>
      </c>
      <c r="L96" s="49">
        <f t="shared" si="1"/>
        <v>0</v>
      </c>
      <c r="M96" s="61"/>
    </row>
    <row r="97" spans="1:13" hidden="1" x14ac:dyDescent="0.25">
      <c r="A97" s="70">
        <f>مرتبات2!A97</f>
        <v>0</v>
      </c>
      <c r="B97" s="14" t="str">
        <f>مرتبات!B97</f>
        <v>Spare</v>
      </c>
      <c r="C97" s="49">
        <v>0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f t="shared" si="1"/>
        <v>0</v>
      </c>
      <c r="M97" s="61"/>
    </row>
    <row r="98" spans="1:13" hidden="1" x14ac:dyDescent="0.25">
      <c r="A98" s="70">
        <f>مرتبات2!A98</f>
        <v>0</v>
      </c>
      <c r="B98" s="14" t="str">
        <f>مرتبات!B98</f>
        <v>Spare</v>
      </c>
      <c r="C98" s="49">
        <v>0</v>
      </c>
      <c r="D98" s="49">
        <v>0</v>
      </c>
      <c r="E98" s="49">
        <v>0</v>
      </c>
      <c r="F98" s="49">
        <v>0</v>
      </c>
      <c r="G98" s="49">
        <v>0</v>
      </c>
      <c r="H98" s="49">
        <v>0</v>
      </c>
      <c r="I98" s="49">
        <v>0</v>
      </c>
      <c r="J98" s="49">
        <v>0</v>
      </c>
      <c r="K98" s="49">
        <v>0</v>
      </c>
      <c r="L98" s="49">
        <f t="shared" si="1"/>
        <v>0</v>
      </c>
      <c r="M98" s="61"/>
    </row>
    <row r="99" spans="1:13" hidden="1" x14ac:dyDescent="0.25">
      <c r="A99" s="70">
        <f>مرتبات2!A99</f>
        <v>0</v>
      </c>
      <c r="B99" s="14" t="str">
        <f>مرتبات!B99</f>
        <v>Spare</v>
      </c>
      <c r="C99" s="49">
        <v>0</v>
      </c>
      <c r="D99" s="49">
        <v>0</v>
      </c>
      <c r="E99" s="49">
        <v>0</v>
      </c>
      <c r="F99" s="49">
        <v>0</v>
      </c>
      <c r="G99" s="49">
        <v>0</v>
      </c>
      <c r="H99" s="49">
        <v>0</v>
      </c>
      <c r="I99" s="49">
        <v>0</v>
      </c>
      <c r="J99" s="49">
        <v>0</v>
      </c>
      <c r="K99" s="49">
        <v>0</v>
      </c>
      <c r="L99" s="49">
        <f t="shared" si="1"/>
        <v>0</v>
      </c>
      <c r="M99" s="61"/>
    </row>
    <row r="100" spans="1:13" hidden="1" x14ac:dyDescent="0.25">
      <c r="A100" s="70">
        <f>مرتبات2!A100</f>
        <v>0</v>
      </c>
      <c r="B100" s="14" t="str">
        <f>مرتبات!B100</f>
        <v>Spare</v>
      </c>
      <c r="C100" s="49">
        <v>0</v>
      </c>
      <c r="D100" s="49">
        <v>0</v>
      </c>
      <c r="E100" s="49">
        <v>0</v>
      </c>
      <c r="F100" s="49">
        <v>0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f t="shared" si="1"/>
        <v>0</v>
      </c>
      <c r="M100" s="61"/>
    </row>
    <row r="101" spans="1:13" ht="15.6" x14ac:dyDescent="0.3">
      <c r="A101" s="70">
        <v>20</v>
      </c>
      <c r="B101" s="89" t="s">
        <v>90</v>
      </c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</row>
    <row r="102" spans="1:13" x14ac:dyDescent="0.25">
      <c r="A102" s="70">
        <f>مرتبات2!A102</f>
        <v>1</v>
      </c>
      <c r="B102" s="14" t="str">
        <f>مرتبات!B102</f>
        <v>أ/هالة فوزي</v>
      </c>
      <c r="C102" s="49">
        <v>0</v>
      </c>
      <c r="D102" s="49">
        <v>0</v>
      </c>
      <c r="E102" s="49">
        <v>0</v>
      </c>
      <c r="F102" s="49">
        <v>0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f t="shared" si="1"/>
        <v>0</v>
      </c>
      <c r="M102" s="61"/>
    </row>
    <row r="103" spans="1:13" x14ac:dyDescent="0.25">
      <c r="A103" s="70">
        <f>مرتبات2!A103</f>
        <v>2</v>
      </c>
      <c r="B103" s="14" t="str">
        <f>مرتبات!B103</f>
        <v>د/أمجد سعيد</v>
      </c>
      <c r="C103" s="49">
        <v>0</v>
      </c>
      <c r="D103" s="49">
        <v>0</v>
      </c>
      <c r="E103" s="49">
        <v>0</v>
      </c>
      <c r="F103" s="49">
        <v>0</v>
      </c>
      <c r="G103" s="49">
        <v>0</v>
      </c>
      <c r="H103" s="49">
        <v>0</v>
      </c>
      <c r="I103" s="49">
        <v>0</v>
      </c>
      <c r="J103" s="49">
        <v>0</v>
      </c>
      <c r="K103" s="49">
        <v>0</v>
      </c>
      <c r="L103" s="49">
        <f t="shared" si="1"/>
        <v>0</v>
      </c>
      <c r="M103" s="61"/>
    </row>
    <row r="104" spans="1:13" x14ac:dyDescent="0.25">
      <c r="A104" s="70">
        <f>مرتبات2!A104</f>
        <v>3</v>
      </c>
      <c r="B104" s="14" t="str">
        <f>مرتبات!B104</f>
        <v>د/وليد رزق</v>
      </c>
      <c r="C104" s="49">
        <v>0</v>
      </c>
      <c r="D104" s="49">
        <v>0</v>
      </c>
      <c r="E104" s="49">
        <v>0</v>
      </c>
      <c r="F104" s="49">
        <v>0</v>
      </c>
      <c r="G104" s="49">
        <v>0</v>
      </c>
      <c r="H104" s="49">
        <v>0</v>
      </c>
      <c r="I104" s="49">
        <v>0</v>
      </c>
      <c r="J104" s="49">
        <v>0</v>
      </c>
      <c r="K104" s="49">
        <v>0</v>
      </c>
      <c r="L104" s="49">
        <f t="shared" si="1"/>
        <v>0</v>
      </c>
      <c r="M104" s="61"/>
    </row>
    <row r="105" spans="1:13" x14ac:dyDescent="0.25">
      <c r="A105" s="70">
        <f>مرتبات2!A105</f>
        <v>4</v>
      </c>
      <c r="B105" s="14" t="str">
        <f>مرتبات!B105</f>
        <v>د/أمينة العطيفي</v>
      </c>
      <c r="C105" s="49">
        <v>0</v>
      </c>
      <c r="D105" s="49">
        <v>0</v>
      </c>
      <c r="E105" s="49">
        <v>0</v>
      </c>
      <c r="F105" s="49">
        <v>0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49">
        <f t="shared" si="1"/>
        <v>0</v>
      </c>
      <c r="M105" s="61"/>
    </row>
    <row r="106" spans="1:13" x14ac:dyDescent="0.25">
      <c r="A106" s="70">
        <f>مرتبات2!A106</f>
        <v>5</v>
      </c>
      <c r="B106" s="14" t="str">
        <f>مرتبات!B106</f>
        <v>أ/ محمد فاروق عبد الحليم</v>
      </c>
      <c r="C106" s="49">
        <v>0</v>
      </c>
      <c r="D106" s="49">
        <v>0</v>
      </c>
      <c r="E106" s="49">
        <v>0</v>
      </c>
      <c r="F106" s="49">
        <v>0</v>
      </c>
      <c r="G106" s="49">
        <v>0</v>
      </c>
      <c r="H106" s="49">
        <v>0</v>
      </c>
      <c r="I106" s="49">
        <v>0</v>
      </c>
      <c r="J106" s="49">
        <v>0</v>
      </c>
      <c r="K106" s="49">
        <v>0</v>
      </c>
      <c r="L106" s="49">
        <f t="shared" si="1"/>
        <v>0</v>
      </c>
      <c r="M106" s="61"/>
    </row>
    <row r="107" spans="1:13" x14ac:dyDescent="0.25">
      <c r="A107" s="70">
        <f>مرتبات2!A107</f>
        <v>6</v>
      </c>
      <c r="B107" s="14" t="str">
        <f>مرتبات!B107</f>
        <v>د/ أحمد بغدادي رشدي محمد</v>
      </c>
      <c r="C107" s="49">
        <v>0</v>
      </c>
      <c r="D107" s="49">
        <v>0</v>
      </c>
      <c r="E107" s="49">
        <v>0</v>
      </c>
      <c r="F107" s="49">
        <v>0</v>
      </c>
      <c r="G107" s="49">
        <v>0</v>
      </c>
      <c r="H107" s="49">
        <v>0</v>
      </c>
      <c r="I107" s="49">
        <v>0</v>
      </c>
      <c r="J107" s="49">
        <v>0</v>
      </c>
      <c r="K107" s="49">
        <v>0</v>
      </c>
      <c r="L107" s="49">
        <f t="shared" si="1"/>
        <v>0</v>
      </c>
      <c r="M107" s="61"/>
    </row>
    <row r="108" spans="1:13" ht="15.6" thickBot="1" x14ac:dyDescent="0.3">
      <c r="A108" s="70">
        <v>7</v>
      </c>
      <c r="B108" s="14" t="str">
        <f>مرتبات!B108</f>
        <v>المستشار محمد ماهر عبدالواحد</v>
      </c>
      <c r="C108" s="49">
        <v>0</v>
      </c>
      <c r="D108" s="49">
        <v>0</v>
      </c>
      <c r="E108" s="49">
        <v>0</v>
      </c>
      <c r="F108" s="49">
        <v>0</v>
      </c>
      <c r="G108" s="49">
        <v>0</v>
      </c>
      <c r="H108" s="49">
        <v>0</v>
      </c>
      <c r="I108" s="49">
        <v>0</v>
      </c>
      <c r="J108" s="49">
        <v>0</v>
      </c>
      <c r="K108" s="49">
        <v>0</v>
      </c>
      <c r="L108" s="49">
        <f t="shared" si="1"/>
        <v>0</v>
      </c>
      <c r="M108" s="61"/>
    </row>
    <row r="109" spans="1:13" hidden="1" x14ac:dyDescent="0.25">
      <c r="A109" s="70">
        <f>مرتبات2!A109</f>
        <v>0</v>
      </c>
      <c r="B109" s="14" t="str">
        <f>مرتبات!B109</f>
        <v>Spare</v>
      </c>
      <c r="C109" s="49">
        <v>0</v>
      </c>
      <c r="D109" s="49">
        <v>0</v>
      </c>
      <c r="E109" s="49">
        <v>0</v>
      </c>
      <c r="F109" s="49">
        <v>0</v>
      </c>
      <c r="G109" s="49">
        <v>0</v>
      </c>
      <c r="H109" s="49">
        <v>0</v>
      </c>
      <c r="I109" s="49">
        <v>0</v>
      </c>
      <c r="J109" s="49">
        <v>0</v>
      </c>
      <c r="K109" s="49">
        <v>0</v>
      </c>
      <c r="L109" s="49">
        <f t="shared" si="1"/>
        <v>0</v>
      </c>
      <c r="M109" s="61"/>
    </row>
    <row r="110" spans="1:13" hidden="1" x14ac:dyDescent="0.25">
      <c r="A110" s="70">
        <f>مرتبات2!A110</f>
        <v>0</v>
      </c>
      <c r="B110" s="14" t="str">
        <f>مرتبات!B110</f>
        <v>Spare</v>
      </c>
      <c r="C110" s="49">
        <v>0</v>
      </c>
      <c r="D110" s="49">
        <v>0</v>
      </c>
      <c r="E110" s="49">
        <v>0</v>
      </c>
      <c r="F110" s="49">
        <v>0</v>
      </c>
      <c r="G110" s="49">
        <v>0</v>
      </c>
      <c r="H110" s="49">
        <v>0</v>
      </c>
      <c r="I110" s="49">
        <v>0</v>
      </c>
      <c r="J110" s="49">
        <v>0</v>
      </c>
      <c r="K110" s="49">
        <v>0</v>
      </c>
      <c r="L110" s="49">
        <f t="shared" si="1"/>
        <v>0</v>
      </c>
      <c r="M110" s="61"/>
    </row>
    <row r="111" spans="1:13" hidden="1" x14ac:dyDescent="0.25">
      <c r="A111" s="70">
        <f>مرتبات2!A111</f>
        <v>0</v>
      </c>
      <c r="B111" s="14" t="str">
        <f>مرتبات!B111</f>
        <v>Spare</v>
      </c>
      <c r="C111" s="49">
        <v>0</v>
      </c>
      <c r="D111" s="49">
        <v>0</v>
      </c>
      <c r="E111" s="49">
        <v>0</v>
      </c>
      <c r="F111" s="49">
        <v>0</v>
      </c>
      <c r="G111" s="49">
        <v>0</v>
      </c>
      <c r="H111" s="49">
        <v>0</v>
      </c>
      <c r="I111" s="49">
        <v>0</v>
      </c>
      <c r="J111" s="49">
        <v>0</v>
      </c>
      <c r="K111" s="49">
        <v>0</v>
      </c>
      <c r="L111" s="49">
        <f t="shared" si="1"/>
        <v>0</v>
      </c>
      <c r="M111" s="61"/>
    </row>
    <row r="112" spans="1:13" hidden="1" x14ac:dyDescent="0.25">
      <c r="A112" s="70">
        <f>مرتبات2!A112</f>
        <v>0</v>
      </c>
      <c r="B112" s="14" t="str">
        <f>مرتبات!B112</f>
        <v>Spare</v>
      </c>
      <c r="C112" s="49">
        <v>0</v>
      </c>
      <c r="D112" s="49">
        <v>0</v>
      </c>
      <c r="E112" s="49">
        <v>0</v>
      </c>
      <c r="F112" s="49">
        <v>0</v>
      </c>
      <c r="G112" s="49">
        <v>0</v>
      </c>
      <c r="H112" s="49">
        <v>0</v>
      </c>
      <c r="I112" s="49">
        <v>0</v>
      </c>
      <c r="J112" s="49">
        <v>0</v>
      </c>
      <c r="K112" s="49">
        <v>0</v>
      </c>
      <c r="L112" s="49">
        <f t="shared" si="1"/>
        <v>0</v>
      </c>
      <c r="M112" s="61"/>
    </row>
    <row r="113" spans="1:13" hidden="1" x14ac:dyDescent="0.25">
      <c r="A113" s="70">
        <f>مرتبات2!A113</f>
        <v>0</v>
      </c>
      <c r="B113" s="14" t="str">
        <f>مرتبات!B113</f>
        <v>Spare</v>
      </c>
      <c r="C113" s="49">
        <v>0</v>
      </c>
      <c r="D113" s="49">
        <v>0</v>
      </c>
      <c r="E113" s="49">
        <v>0</v>
      </c>
      <c r="F113" s="49">
        <v>0</v>
      </c>
      <c r="G113" s="49">
        <v>0</v>
      </c>
      <c r="H113" s="49">
        <v>0</v>
      </c>
      <c r="I113" s="49">
        <v>0</v>
      </c>
      <c r="J113" s="49">
        <v>0</v>
      </c>
      <c r="K113" s="49">
        <v>0</v>
      </c>
      <c r="L113" s="49">
        <f t="shared" si="1"/>
        <v>0</v>
      </c>
      <c r="M113" s="61"/>
    </row>
    <row r="114" spans="1:13" hidden="1" x14ac:dyDescent="0.25">
      <c r="A114" s="70">
        <f>مرتبات2!A114</f>
        <v>0</v>
      </c>
      <c r="B114" s="14" t="str">
        <f>مرتبات!B114</f>
        <v>Spare</v>
      </c>
      <c r="C114" s="49">
        <v>0</v>
      </c>
      <c r="D114" s="49">
        <v>0</v>
      </c>
      <c r="E114" s="49">
        <v>0</v>
      </c>
      <c r="F114" s="49">
        <v>0</v>
      </c>
      <c r="G114" s="49">
        <v>0</v>
      </c>
      <c r="H114" s="49">
        <v>0</v>
      </c>
      <c r="I114" s="49">
        <v>0</v>
      </c>
      <c r="J114" s="49">
        <v>0</v>
      </c>
      <c r="K114" s="49">
        <v>0</v>
      </c>
      <c r="L114" s="49">
        <f t="shared" si="1"/>
        <v>0</v>
      </c>
      <c r="M114" s="61"/>
    </row>
    <row r="115" spans="1:13" hidden="1" x14ac:dyDescent="0.25">
      <c r="A115" s="70">
        <f>مرتبات2!A115</f>
        <v>0</v>
      </c>
      <c r="B115" s="14" t="str">
        <f>مرتبات!B115</f>
        <v>Spare</v>
      </c>
      <c r="C115" s="49">
        <v>0</v>
      </c>
      <c r="D115" s="49">
        <v>0</v>
      </c>
      <c r="E115" s="49">
        <v>0</v>
      </c>
      <c r="F115" s="49">
        <v>0</v>
      </c>
      <c r="G115" s="49">
        <v>0</v>
      </c>
      <c r="H115" s="49">
        <v>0</v>
      </c>
      <c r="I115" s="49">
        <v>0</v>
      </c>
      <c r="J115" s="49">
        <v>0</v>
      </c>
      <c r="K115" s="49">
        <v>0</v>
      </c>
      <c r="L115" s="49">
        <f t="shared" si="1"/>
        <v>0</v>
      </c>
      <c r="M115" s="61"/>
    </row>
    <row r="116" spans="1:13" hidden="1" x14ac:dyDescent="0.25">
      <c r="A116" s="70">
        <f>مرتبات2!A116</f>
        <v>0</v>
      </c>
      <c r="B116" s="14" t="str">
        <f>مرتبات!B116</f>
        <v>Spare</v>
      </c>
      <c r="C116" s="49">
        <v>0</v>
      </c>
      <c r="D116" s="49">
        <v>0</v>
      </c>
      <c r="E116" s="49">
        <v>0</v>
      </c>
      <c r="F116" s="49">
        <v>0</v>
      </c>
      <c r="G116" s="49">
        <v>0</v>
      </c>
      <c r="H116" s="49">
        <v>0</v>
      </c>
      <c r="I116" s="49">
        <v>0</v>
      </c>
      <c r="J116" s="49">
        <v>0</v>
      </c>
      <c r="K116" s="49">
        <v>0</v>
      </c>
      <c r="L116" s="49">
        <f t="shared" si="1"/>
        <v>0</v>
      </c>
      <c r="M116" s="61"/>
    </row>
    <row r="117" spans="1:13" ht="15.6" hidden="1" thickBot="1" x14ac:dyDescent="0.3">
      <c r="A117" s="70">
        <f>مرتبات2!A117</f>
        <v>0</v>
      </c>
      <c r="B117" s="14" t="str">
        <f>مرتبات!B117</f>
        <v>Spare</v>
      </c>
      <c r="C117" s="49">
        <v>0</v>
      </c>
      <c r="D117" s="49">
        <v>0</v>
      </c>
      <c r="E117" s="49">
        <v>0</v>
      </c>
      <c r="F117" s="49">
        <v>0</v>
      </c>
      <c r="G117" s="49">
        <v>0</v>
      </c>
      <c r="H117" s="49">
        <v>0</v>
      </c>
      <c r="I117" s="49">
        <v>0</v>
      </c>
      <c r="J117" s="49">
        <v>0</v>
      </c>
      <c r="K117" s="49">
        <v>0</v>
      </c>
      <c r="L117" s="49">
        <f t="shared" si="1"/>
        <v>0</v>
      </c>
      <c r="M117" s="61"/>
    </row>
    <row r="118" spans="1:13" s="12" customFormat="1" ht="16.2" thickBot="1" x14ac:dyDescent="0.3">
      <c r="A118" s="70">
        <v>7</v>
      </c>
      <c r="B118" s="93" t="s">
        <v>62</v>
      </c>
      <c r="C118" s="66">
        <f>SUM(C4:C17)+SUM(C19:C55)+SUM(C57:C100)+SUM(C102:C117)</f>
        <v>0</v>
      </c>
      <c r="D118" s="66">
        <f t="shared" ref="D118:K118" si="2">SUM(D4:D17)+SUM(D19:D55)+SUM(D57:D100)+SUM(D102:D117)</f>
        <v>0</v>
      </c>
      <c r="E118" s="66">
        <f t="shared" si="2"/>
        <v>0</v>
      </c>
      <c r="F118" s="66">
        <f t="shared" si="2"/>
        <v>0</v>
      </c>
      <c r="G118" s="66">
        <f t="shared" si="2"/>
        <v>0</v>
      </c>
      <c r="H118" s="66">
        <f>SUM(H4:H17)+SUM(H19:H55)+SUM(H57:H100)+SUM(H102:H117)</f>
        <v>0</v>
      </c>
      <c r="I118" s="66">
        <f t="shared" si="2"/>
        <v>0</v>
      </c>
      <c r="J118" s="66">
        <f t="shared" si="2"/>
        <v>0</v>
      </c>
      <c r="K118" s="66">
        <f t="shared" si="2"/>
        <v>0</v>
      </c>
      <c r="L118" s="66">
        <f>SUM(C118:K118)</f>
        <v>0</v>
      </c>
      <c r="M118" s="65"/>
    </row>
    <row r="119" spans="1:13" ht="15.6" x14ac:dyDescent="0.25">
      <c r="B119" s="47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</row>
    <row r="120" spans="1:13" x14ac:dyDescent="0.25">
      <c r="H120" s="17"/>
    </row>
    <row r="122" spans="1:13" x14ac:dyDescent="0.25">
      <c r="A122" s="17"/>
    </row>
    <row r="188" spans="2:13" ht="15.6" x14ac:dyDescent="0.25">
      <c r="B188" s="46" t="s">
        <v>62</v>
      </c>
      <c r="C188" s="50">
        <f>SUM(C140:C142)+SUM(C146:C159)+SUM(C165:C186)</f>
        <v>0</v>
      </c>
      <c r="D188" s="48">
        <f t="shared" ref="D188:K188" si="3">SUM(D140:D142)+SUM(D146:D159)+SUM(D165:D186)</f>
        <v>0</v>
      </c>
      <c r="E188" s="48">
        <f t="shared" si="3"/>
        <v>0</v>
      </c>
      <c r="F188" s="50">
        <f t="shared" si="3"/>
        <v>0</v>
      </c>
      <c r="G188" s="18">
        <f>SUM(G147:G162)+SUM(G166:G187)</f>
        <v>0</v>
      </c>
      <c r="H188" s="56">
        <f t="shared" si="3"/>
        <v>0</v>
      </c>
      <c r="I188" s="48">
        <f t="shared" si="3"/>
        <v>0</v>
      </c>
      <c r="J188" s="48">
        <f t="shared" si="3"/>
        <v>0</v>
      </c>
      <c r="K188" s="48">
        <f t="shared" si="3"/>
        <v>0</v>
      </c>
      <c r="L188" s="50">
        <f>SUM(C188:K188)</f>
        <v>0</v>
      </c>
      <c r="M188" s="45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3"/>
    </row>
    <row r="2" spans="2:8" x14ac:dyDescent="0.25">
      <c r="B2" s="22"/>
      <c r="C2" s="23"/>
      <c r="D2" s="23"/>
      <c r="E2" s="23"/>
      <c r="F2" s="80"/>
      <c r="G2" s="24"/>
      <c r="H2" s="3"/>
    </row>
    <row r="3" spans="2:8" ht="29.25" customHeight="1" thickBot="1" x14ac:dyDescent="0.3">
      <c r="B3" s="25"/>
      <c r="C3" s="126"/>
      <c r="D3" s="127"/>
      <c r="E3" s="127"/>
      <c r="F3" s="128"/>
      <c r="G3" s="26"/>
      <c r="H3" s="27" t="s">
        <v>27</v>
      </c>
    </row>
    <row r="4" spans="2:8" ht="18.600000000000001" thickTop="1" thickBot="1" x14ac:dyDescent="0.3">
      <c r="B4" s="25"/>
      <c r="C4" s="53" t="s">
        <v>119</v>
      </c>
      <c r="D4" s="81" t="str">
        <f>INDEX(مرتبات2!B1:B1066,H4,1)</f>
        <v>أ/محمد عبدالجواد محمد</v>
      </c>
      <c r="E4" s="53" t="s">
        <v>6</v>
      </c>
      <c r="F4" s="82">
        <f>مرتبات2!D2</f>
        <v>45870</v>
      </c>
      <c r="G4" s="26"/>
      <c r="H4" s="3">
        <v>81</v>
      </c>
    </row>
    <row r="5" spans="2:8" ht="14.4" thickTop="1" thickBot="1" x14ac:dyDescent="0.3">
      <c r="B5" s="25"/>
      <c r="C5" s="28" t="s">
        <v>69</v>
      </c>
      <c r="D5" s="129">
        <f>SUM((INDEX(مرتبات2!D1:D1066,H4,1)),VALUE((INDEX(مرتبات2!G1:G1066,H4,1))))</f>
        <v>0</v>
      </c>
      <c r="E5" s="130"/>
      <c r="F5" s="131"/>
      <c r="G5" s="26"/>
      <c r="H5" s="3"/>
    </row>
    <row r="6" spans="2:8" ht="13.8" thickTop="1" x14ac:dyDescent="0.25">
      <c r="B6" s="25"/>
      <c r="C6" s="132" t="s">
        <v>93</v>
      </c>
      <c r="D6" s="133"/>
      <c r="E6" s="132" t="s">
        <v>8</v>
      </c>
      <c r="F6" s="133"/>
      <c r="G6" s="26"/>
      <c r="H6" s="3"/>
    </row>
    <row r="7" spans="2:8" x14ac:dyDescent="0.25">
      <c r="B7" s="25"/>
      <c r="C7" s="28" t="s">
        <v>20</v>
      </c>
      <c r="D7" s="29">
        <f>INDEX(اضافات!C1:C1069,H4,1)</f>
        <v>0</v>
      </c>
      <c r="E7" s="28" t="s">
        <v>7</v>
      </c>
      <c r="F7" s="30">
        <f>INDEX(خصومات!C1:C1069,H4,1)</f>
        <v>0</v>
      </c>
      <c r="G7" s="26"/>
      <c r="H7" s="3"/>
    </row>
    <row r="8" spans="2:8" x14ac:dyDescent="0.25">
      <c r="B8" s="25"/>
      <c r="C8" s="31" t="s">
        <v>21</v>
      </c>
      <c r="D8" s="29">
        <f>INDEX(اضافات!D1:D1069,H4,1)</f>
        <v>0</v>
      </c>
      <c r="E8" s="31" t="s">
        <v>4</v>
      </c>
      <c r="F8" s="30">
        <f>INDEX(خصومات!E1:E1070,H4,1)</f>
        <v>0</v>
      </c>
      <c r="G8" s="26"/>
      <c r="H8" s="3"/>
    </row>
    <row r="9" spans="2:8" x14ac:dyDescent="0.25">
      <c r="B9" s="25"/>
      <c r="C9" s="32" t="s">
        <v>29</v>
      </c>
      <c r="D9" s="29">
        <f>INDEX(اضافات!E1:E1069,H4,1)</f>
        <v>0</v>
      </c>
      <c r="E9" s="32" t="s">
        <v>3</v>
      </c>
      <c r="F9" s="30">
        <f>INDEX(خصومات!F1:F1071,H4,1)</f>
        <v>0</v>
      </c>
      <c r="G9" s="26"/>
      <c r="H9" s="3"/>
    </row>
    <row r="10" spans="2:8" x14ac:dyDescent="0.25">
      <c r="B10" s="25"/>
      <c r="C10" s="32" t="s">
        <v>22</v>
      </c>
      <c r="D10" s="29">
        <f>INDEX(اضافات!L1:L1069,H4,1)</f>
        <v>0</v>
      </c>
      <c r="E10" s="32" t="s">
        <v>23</v>
      </c>
      <c r="F10" s="30">
        <f>INDEX(خصومات!I1:I1072,H4,1)</f>
        <v>0</v>
      </c>
      <c r="G10" s="26"/>
      <c r="H10" s="3"/>
    </row>
    <row r="11" spans="2:8" x14ac:dyDescent="0.25">
      <c r="B11" s="25"/>
      <c r="C11" s="32" t="s">
        <v>148</v>
      </c>
      <c r="D11" s="29">
        <f>INDEX(اضافات!J1:J1069,H4,1)</f>
        <v>0</v>
      </c>
      <c r="E11" s="32" t="s">
        <v>24</v>
      </c>
      <c r="F11" s="30">
        <f>INDEX(خصومات!H1:H1073,H4,1)</f>
        <v>0</v>
      </c>
      <c r="G11" s="26"/>
      <c r="H11" s="3"/>
    </row>
    <row r="12" spans="2:8" x14ac:dyDescent="0.25">
      <c r="B12" s="25"/>
      <c r="C12" s="32" t="s">
        <v>11</v>
      </c>
      <c r="D12" s="29">
        <f>INDEX(اضافات!I1:I1069,H4,1)</f>
        <v>0</v>
      </c>
      <c r="E12" s="32" t="s">
        <v>10</v>
      </c>
      <c r="F12" s="30">
        <f>INDEX(خصومات!D1:D1074,H4,1)</f>
        <v>0</v>
      </c>
      <c r="G12" s="26"/>
      <c r="H12" s="3"/>
    </row>
    <row r="13" spans="2:8" x14ac:dyDescent="0.25">
      <c r="B13" s="25"/>
      <c r="C13" s="32" t="s">
        <v>9</v>
      </c>
      <c r="D13" s="29">
        <f>INDEX(اضافات!K1:K1069,H4,1)</f>
        <v>0</v>
      </c>
      <c r="E13" s="32" t="s">
        <v>15</v>
      </c>
      <c r="F13" s="30">
        <f>INDEX(خصومات!G1:G1075,H4,1)</f>
        <v>0</v>
      </c>
      <c r="G13" s="26"/>
      <c r="H13" s="3"/>
    </row>
    <row r="14" spans="2:8" x14ac:dyDescent="0.25">
      <c r="B14" s="25"/>
      <c r="C14" s="32"/>
      <c r="D14" s="32"/>
      <c r="E14" s="32" t="s">
        <v>25</v>
      </c>
      <c r="F14" s="30">
        <f>INDEX(خصومات!J1:J1076,H4,1)</f>
        <v>0</v>
      </c>
      <c r="G14" s="26"/>
      <c r="H14" s="3"/>
    </row>
    <row r="15" spans="2:8" ht="13.8" thickBot="1" x14ac:dyDescent="0.3">
      <c r="B15" s="25"/>
      <c r="C15" s="32"/>
      <c r="D15" s="32"/>
      <c r="E15" s="32" t="s">
        <v>26</v>
      </c>
      <c r="F15" s="30">
        <f>INDEX(خصومات!K1:K1077,H4,1)</f>
        <v>0</v>
      </c>
      <c r="G15" s="26"/>
      <c r="H15" s="3"/>
    </row>
    <row r="16" spans="2:8" ht="14.4" thickTop="1" thickBot="1" x14ac:dyDescent="0.3">
      <c r="B16" s="25"/>
      <c r="C16" s="34" t="s">
        <v>122</v>
      </c>
      <c r="D16" s="129">
        <f>D5+D7+D8+D9+D10+D11+D12+D13</f>
        <v>0</v>
      </c>
      <c r="E16" s="130"/>
      <c r="F16" s="131"/>
      <c r="G16" s="26"/>
      <c r="H16" s="3"/>
    </row>
    <row r="17" spans="2:8" ht="14.4" thickTop="1" thickBot="1" x14ac:dyDescent="0.3">
      <c r="B17" s="25"/>
      <c r="C17" s="33" t="s">
        <v>28</v>
      </c>
      <c r="D17" s="129">
        <f>SUM(D7:D15)</f>
        <v>0</v>
      </c>
      <c r="E17" s="130"/>
      <c r="F17" s="131"/>
      <c r="G17" s="26"/>
      <c r="H17" s="3"/>
    </row>
    <row r="18" spans="2:8" ht="14.4" thickTop="1" thickBot="1" x14ac:dyDescent="0.3">
      <c r="B18" s="25"/>
      <c r="C18" s="34" t="s">
        <v>80</v>
      </c>
      <c r="D18" s="120">
        <f>(SUM(F7:F15))</f>
        <v>0</v>
      </c>
      <c r="E18" s="121"/>
      <c r="F18" s="122"/>
      <c r="G18" s="26"/>
      <c r="H18" s="3"/>
    </row>
    <row r="19" spans="2:8" ht="15" thickTop="1" thickBot="1" x14ac:dyDescent="0.3">
      <c r="B19" s="25"/>
      <c r="C19" s="34" t="s">
        <v>92</v>
      </c>
      <c r="D19" s="123">
        <f>D16-D17-D18</f>
        <v>0</v>
      </c>
      <c r="E19" s="124"/>
      <c r="F19" s="125"/>
      <c r="G19" s="26"/>
      <c r="H19" s="3"/>
    </row>
    <row r="20" spans="2:8" ht="14.4" thickTop="1" thickBot="1" x14ac:dyDescent="0.3">
      <c r="B20" s="35"/>
      <c r="C20" s="5"/>
      <c r="D20" s="5"/>
      <c r="E20" s="5"/>
      <c r="F20" s="5"/>
      <c r="G20" s="36"/>
      <c r="H20" s="3"/>
    </row>
    <row r="21" spans="2:8" x14ac:dyDescent="0.25">
      <c r="H21" s="3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3"/>
    </row>
    <row r="2" spans="2:8" x14ac:dyDescent="0.25">
      <c r="B2" s="22"/>
      <c r="C2" s="23"/>
      <c r="D2" s="23"/>
      <c r="E2" s="23"/>
      <c r="F2" s="23"/>
      <c r="G2" s="24"/>
      <c r="H2" s="3"/>
    </row>
    <row r="3" spans="2:8" ht="29.25" customHeight="1" thickBot="1" x14ac:dyDescent="0.3">
      <c r="B3" s="25"/>
      <c r="C3" s="126"/>
      <c r="D3" s="127"/>
      <c r="E3" s="127"/>
      <c r="F3" s="128"/>
      <c r="G3" s="26"/>
      <c r="H3" s="27" t="s">
        <v>27</v>
      </c>
    </row>
    <row r="4" spans="2:8" ht="16.8" thickTop="1" thickBot="1" x14ac:dyDescent="0.3">
      <c r="B4" s="25"/>
      <c r="C4" s="83" t="s">
        <v>98</v>
      </c>
      <c r="D4" s="71" t="str">
        <f>INDEX(مرتبات2!B1:B1066,H4,1)</f>
        <v>أ/ناجى رمضان أمين محمد</v>
      </c>
      <c r="E4" s="83" t="s">
        <v>97</v>
      </c>
      <c r="F4" s="71">
        <f>مرتبات2!D2</f>
        <v>45870</v>
      </c>
      <c r="G4" s="26"/>
      <c r="H4" s="3">
        <v>19</v>
      </c>
    </row>
    <row r="5" spans="2:8" ht="14.4" thickTop="1" thickBot="1" x14ac:dyDescent="0.3">
      <c r="B5" s="25"/>
      <c r="C5" s="75" t="s">
        <v>99</v>
      </c>
      <c r="D5" s="129">
        <f>SUM((INDEX(مرتبات2!D1:D1066,H4,1)),VALUE((INDEX(مرتبات2!G1:G1066,H4,1))))</f>
        <v>0</v>
      </c>
      <c r="E5" s="130"/>
      <c r="F5" s="131"/>
      <c r="G5" s="26"/>
      <c r="H5" s="3"/>
    </row>
    <row r="6" spans="2:8" ht="13.8" thickTop="1" x14ac:dyDescent="0.25">
      <c r="B6" s="25"/>
      <c r="C6" s="134" t="s">
        <v>117</v>
      </c>
      <c r="D6" s="135"/>
      <c r="E6" s="132" t="s">
        <v>100</v>
      </c>
      <c r="F6" s="133"/>
      <c r="G6" s="26"/>
      <c r="H6" s="3"/>
    </row>
    <row r="7" spans="2:8" x14ac:dyDescent="0.25">
      <c r="B7" s="25"/>
      <c r="C7" s="77" t="s">
        <v>102</v>
      </c>
      <c r="D7" s="29">
        <f>INDEX(اضافات!C1:C1069,H4,1)</f>
        <v>0</v>
      </c>
      <c r="E7" s="77" t="s">
        <v>110</v>
      </c>
      <c r="F7" s="76">
        <f>INDEX(خصومات!C1:C1069,H4,1)</f>
        <v>0</v>
      </c>
      <c r="G7" s="26"/>
      <c r="H7" s="3"/>
    </row>
    <row r="8" spans="2:8" x14ac:dyDescent="0.25">
      <c r="B8" s="25"/>
      <c r="C8" s="78" t="s">
        <v>103</v>
      </c>
      <c r="D8" s="29">
        <f>INDEX(اضافات!D1:D1069,H4,1)</f>
        <v>0</v>
      </c>
      <c r="E8" s="78" t="s">
        <v>111</v>
      </c>
      <c r="F8" s="76">
        <f>INDEX(خصومات!E1:E1070,H4,1)</f>
        <v>0</v>
      </c>
      <c r="G8" s="26"/>
      <c r="H8" s="3"/>
    </row>
    <row r="9" spans="2:8" x14ac:dyDescent="0.25">
      <c r="B9" s="25"/>
      <c r="C9" s="79" t="s">
        <v>104</v>
      </c>
      <c r="D9" s="29">
        <f>INDEX(اضافات!E1:E1069,H4,1)</f>
        <v>0</v>
      </c>
      <c r="E9" s="79" t="s">
        <v>112</v>
      </c>
      <c r="F9" s="76">
        <f>INDEX(خصومات!F1:F1071,H4,1)</f>
        <v>0</v>
      </c>
      <c r="G9" s="26"/>
      <c r="H9" s="3"/>
    </row>
    <row r="10" spans="2:8" x14ac:dyDescent="0.25">
      <c r="B10" s="25"/>
      <c r="C10" s="79" t="s">
        <v>105</v>
      </c>
      <c r="D10" s="29">
        <f>INDEX(اضافات!L1:L1069,H4,1)</f>
        <v>0</v>
      </c>
      <c r="E10" s="79" t="s">
        <v>115</v>
      </c>
      <c r="F10" s="76">
        <f>INDEX(خصومات!I1:I1072,H4,1)</f>
        <v>0</v>
      </c>
      <c r="G10" s="26"/>
      <c r="H10" s="3"/>
    </row>
    <row r="11" spans="2:8" x14ac:dyDescent="0.25">
      <c r="B11" s="25"/>
      <c r="C11" s="79" t="s">
        <v>107</v>
      </c>
      <c r="D11" s="29">
        <f>INDEX(اضافات!J1:J1069,H4,1)</f>
        <v>0</v>
      </c>
      <c r="E11" s="79" t="s">
        <v>114</v>
      </c>
      <c r="F11" s="76">
        <f>INDEX(خصومات!H1:H1073,H4,1)</f>
        <v>0</v>
      </c>
      <c r="G11" s="26"/>
      <c r="H11" s="3"/>
    </row>
    <row r="12" spans="2:8" x14ac:dyDescent="0.25">
      <c r="B12" s="25"/>
      <c r="C12" s="79" t="s">
        <v>108</v>
      </c>
      <c r="D12" s="29">
        <f>INDEX(اضافات!I1:I1069,H4,1)</f>
        <v>0</v>
      </c>
      <c r="E12" s="79" t="s">
        <v>109</v>
      </c>
      <c r="F12" s="76">
        <f>INDEX(خصومات!D1:D1074,H4,1)</f>
        <v>0</v>
      </c>
      <c r="G12" s="26"/>
      <c r="H12" s="3"/>
    </row>
    <row r="13" spans="2:8" x14ac:dyDescent="0.25">
      <c r="B13" s="25"/>
      <c r="C13" s="79" t="s">
        <v>106</v>
      </c>
      <c r="D13" s="29">
        <f>INDEX(اضافات!K1:K1069,H4,1)</f>
        <v>0</v>
      </c>
      <c r="E13" s="79" t="s">
        <v>113</v>
      </c>
      <c r="F13" s="76">
        <f>INDEX(خصومات!G1:G1075,H4,1)</f>
        <v>0</v>
      </c>
      <c r="G13" s="26"/>
      <c r="H13" s="3"/>
    </row>
    <row r="14" spans="2:8" x14ac:dyDescent="0.25">
      <c r="B14" s="25"/>
      <c r="C14" s="32"/>
      <c r="D14" s="32"/>
      <c r="E14" s="79" t="s">
        <v>118</v>
      </c>
      <c r="F14" s="76">
        <f>INDEX(خصومات!J1:J1076,H4,1)</f>
        <v>0</v>
      </c>
      <c r="G14" s="26"/>
      <c r="H14" s="3"/>
    </row>
    <row r="15" spans="2:8" ht="13.8" thickBot="1" x14ac:dyDescent="0.3">
      <c r="B15" s="25"/>
      <c r="C15" s="32"/>
      <c r="D15" s="32"/>
      <c r="E15" s="79" t="s">
        <v>116</v>
      </c>
      <c r="F15" s="76">
        <f>INDEX(خصومات!K1:K1077,H4,1)</f>
        <v>0</v>
      </c>
      <c r="G15" s="26"/>
      <c r="H15" s="3"/>
    </row>
    <row r="16" spans="2:8" ht="14.4" thickTop="1" thickBot="1" x14ac:dyDescent="0.3">
      <c r="B16" s="25"/>
      <c r="C16" s="72" t="s">
        <v>121</v>
      </c>
      <c r="D16" s="129">
        <f>D5+D7+D8+D9+D10+D11+D12+D13</f>
        <v>0</v>
      </c>
      <c r="E16" s="130"/>
      <c r="F16" s="131"/>
      <c r="G16" s="26"/>
      <c r="H16" s="3"/>
    </row>
    <row r="17" spans="2:8" ht="14.4" thickTop="1" thickBot="1" x14ac:dyDescent="0.3">
      <c r="B17" s="25"/>
      <c r="C17" s="73" t="s">
        <v>123</v>
      </c>
      <c r="D17" s="120">
        <f>SUM(D7:D15)</f>
        <v>0</v>
      </c>
      <c r="E17" s="121"/>
      <c r="F17" s="122"/>
      <c r="G17" s="26"/>
      <c r="H17" s="3"/>
    </row>
    <row r="18" spans="2:8" ht="14.4" thickTop="1" thickBot="1" x14ac:dyDescent="0.3">
      <c r="B18" s="25"/>
      <c r="C18" s="74" t="s">
        <v>100</v>
      </c>
      <c r="D18" s="120">
        <f>(SUM(F7:F15))</f>
        <v>0</v>
      </c>
      <c r="E18" s="121"/>
      <c r="F18" s="122"/>
      <c r="G18" s="26"/>
      <c r="H18" s="3"/>
    </row>
    <row r="19" spans="2:8" ht="15" thickTop="1" thickBot="1" x14ac:dyDescent="0.3">
      <c r="B19" s="25"/>
      <c r="C19" s="74" t="s">
        <v>101</v>
      </c>
      <c r="D19" s="123">
        <f>D16-D17-D18</f>
        <v>0</v>
      </c>
      <c r="E19" s="124"/>
      <c r="F19" s="125"/>
      <c r="G19" s="26"/>
      <c r="H19" s="3"/>
    </row>
    <row r="20" spans="2:8" ht="14.4" thickTop="1" thickBot="1" x14ac:dyDescent="0.3">
      <c r="B20" s="35"/>
      <c r="C20" s="5"/>
      <c r="D20" s="5"/>
      <c r="E20" s="5"/>
      <c r="F20" s="5"/>
      <c r="G20" s="36"/>
      <c r="H20" s="3"/>
    </row>
    <row r="21" spans="2:8" x14ac:dyDescent="0.25">
      <c r="H21" s="3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مرتبات2</vt:lpstr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مرتبات2!Print_Area</vt:lpstr>
      <vt:lpstr>مرتبات2!Print_Titles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2025-12-25T09:50:16Z</cp:lastPrinted>
  <dcterms:created xsi:type="dcterms:W3CDTF">2012-09-26T15:27:24Z</dcterms:created>
  <dcterms:modified xsi:type="dcterms:W3CDTF">2025-12-29T10:13:44Z</dcterms:modified>
</cp:coreProperties>
</file>