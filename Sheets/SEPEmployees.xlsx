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00E40B0A-6B2C-4DBE-B9A2-D2C5E6739C9F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AllOffice" sheetId="1" r:id="rId1"/>
    <sheet name="Contracts" sheetId="3" r:id="rId2"/>
    <sheet name="Personnel" sheetId="2" r:id="rId3"/>
    <sheet name="Resigned" sheetId="4" r:id="rId4"/>
    <sheet name="Employee Card" sheetId="6" r:id="rId5"/>
  </sheets>
  <definedNames>
    <definedName name="_xlnm._FilterDatabase" localSheetId="0" hidden="1">AllOffice!$A$1:$AD$51</definedName>
    <definedName name="_xlnm._FilterDatabase" localSheetId="2" hidden="1">Personnel!$A$1:$P$50</definedName>
    <definedName name="_xlnm._FilterDatabase" localSheetId="3" hidden="1">Resigned!$A$1:$L$57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51" i="1" l="1"/>
  <c r="AA51" i="1"/>
  <c r="AA26" i="1"/>
  <c r="Z26" i="1"/>
  <c r="Z25" i="1"/>
  <c r="AA25" i="1"/>
  <c r="AA5" i="1" l="1"/>
  <c r="Z5" i="1"/>
  <c r="AA24" i="1" l="1"/>
  <c r="Z24" i="1"/>
  <c r="Y50" i="1" l="1"/>
  <c r="Z50" i="1"/>
  <c r="AA50" i="1"/>
  <c r="Y49" i="1" l="1"/>
  <c r="Z49" i="1" l="1"/>
  <c r="AA49" i="1"/>
  <c r="Y48" i="1" l="1"/>
  <c r="Z48" i="1" l="1"/>
  <c r="AA48" i="1"/>
  <c r="Z23" i="1" l="1"/>
  <c r="AA23" i="1"/>
  <c r="Z22" i="1" l="1"/>
  <c r="AA22" i="1"/>
  <c r="Y46" i="1" l="1"/>
  <c r="Y45" i="1"/>
  <c r="Y42" i="1"/>
  <c r="Y44" i="1"/>
  <c r="Y41" i="1"/>
  <c r="Y40" i="1"/>
  <c r="Y39" i="1"/>
  <c r="Y38" i="1"/>
  <c r="Y37" i="1"/>
  <c r="Y36" i="1"/>
  <c r="Y35" i="1"/>
  <c r="Y34" i="1"/>
  <c r="Y33" i="1"/>
  <c r="Y32" i="1"/>
  <c r="Y31" i="1"/>
  <c r="Y29" i="1"/>
  <c r="Y28" i="1"/>
  <c r="Y27" i="1"/>
  <c r="Y12" i="1"/>
  <c r="AA21" i="1" l="1"/>
  <c r="Z21" i="1"/>
  <c r="C32" i="6" l="1"/>
  <c r="C31" i="6"/>
  <c r="C28" i="6" l="1"/>
  <c r="C27" i="6"/>
  <c r="C26" i="6"/>
  <c r="C23" i="6"/>
  <c r="C22" i="6"/>
  <c r="C21" i="6"/>
  <c r="C20" i="6"/>
  <c r="C19" i="6"/>
  <c r="C16" i="6"/>
  <c r="C15" i="6"/>
  <c r="C14" i="6"/>
  <c r="C13" i="6"/>
  <c r="C10" i="6"/>
  <c r="C9" i="6"/>
  <c r="C8" i="6"/>
  <c r="C7" i="6"/>
  <c r="C5" i="6"/>
  <c r="C6" i="6"/>
  <c r="I2" i="6"/>
  <c r="Z46" i="1" l="1"/>
  <c r="Z4" i="1" l="1"/>
  <c r="AA4" i="1"/>
  <c r="Z8" i="1"/>
  <c r="AA8" i="1"/>
  <c r="Z9" i="1"/>
  <c r="AA9" i="1"/>
  <c r="Z10" i="1"/>
  <c r="AA10" i="1"/>
  <c r="Z6" i="1"/>
  <c r="AA6" i="1"/>
  <c r="Z13" i="1"/>
  <c r="AA13" i="1"/>
  <c r="Z11" i="1"/>
  <c r="AA11" i="1"/>
  <c r="Z14" i="1"/>
  <c r="AA14" i="1"/>
  <c r="Z20" i="1"/>
  <c r="AA20" i="1"/>
  <c r="Z7" i="1"/>
  <c r="AA7" i="1"/>
  <c r="Z12" i="1"/>
  <c r="AA12" i="1"/>
  <c r="Z16" i="1"/>
  <c r="AA16" i="1"/>
  <c r="Z15" i="1"/>
  <c r="AA15" i="1"/>
  <c r="Z17" i="1"/>
  <c r="AA17" i="1"/>
  <c r="Z18" i="1"/>
  <c r="AA18" i="1"/>
  <c r="Z19" i="1"/>
  <c r="AA19" i="1"/>
  <c r="Z27" i="1"/>
  <c r="AA27" i="1"/>
  <c r="Z28" i="1"/>
  <c r="AA28" i="1"/>
  <c r="Z29" i="1"/>
  <c r="AA29" i="1"/>
  <c r="Z30" i="1"/>
  <c r="AA30" i="1"/>
  <c r="Z31" i="1"/>
  <c r="AA31" i="1"/>
  <c r="Z32" i="1"/>
  <c r="AA32" i="1"/>
  <c r="Z33" i="1"/>
  <c r="AA33" i="1"/>
  <c r="Z34" i="1"/>
  <c r="AA34" i="1"/>
  <c r="Z35" i="1"/>
  <c r="AA35" i="1"/>
  <c r="Z36" i="1"/>
  <c r="AA36" i="1"/>
  <c r="Z37" i="1"/>
  <c r="AA37" i="1"/>
  <c r="Z38" i="1"/>
  <c r="AA38" i="1"/>
  <c r="Z39" i="1"/>
  <c r="AA39" i="1"/>
  <c r="Z40" i="1"/>
  <c r="AA40" i="1"/>
  <c r="Z41" i="1"/>
  <c r="AA41" i="1"/>
  <c r="Z42" i="1"/>
  <c r="AA42" i="1"/>
  <c r="Z43" i="1"/>
  <c r="AA43" i="1"/>
  <c r="Z44" i="1"/>
  <c r="AA44" i="1"/>
  <c r="Z45" i="1"/>
  <c r="AA45" i="1"/>
  <c r="AA46" i="1"/>
  <c r="AA3" i="1"/>
  <c r="Z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S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Villa 17 Mina Garden City - October - Giza</t>
        </r>
      </text>
    </comment>
    <comment ref="R12" authorId="0" shapeId="0" xr:uid="{4C08E73C-65AD-47D1-8882-52C18F1DAB61}">
      <text>
        <r>
          <rPr>
            <b/>
            <sz val="9"/>
            <color indexed="81"/>
            <rFont val="Tahoma"/>
            <family val="2"/>
          </rPr>
          <t xml:space="preserve">Internal Hiring: </t>
        </r>
        <r>
          <rPr>
            <sz val="9"/>
            <color indexed="81"/>
            <rFont val="Tahoma"/>
            <family val="2"/>
          </rPr>
          <t>02 Sep 2018</t>
        </r>
      </text>
    </comment>
    <comment ref="R36" authorId="0" shapeId="0" xr:uid="{B47C052E-849D-4055-B143-7235B6F0EA70}">
      <text>
        <r>
          <rPr>
            <b/>
            <sz val="9"/>
            <color indexed="81"/>
            <rFont val="Tahoma"/>
            <family val="2"/>
          </rPr>
          <t xml:space="preserve">Internal Hiring: </t>
        </r>
        <r>
          <rPr>
            <sz val="9"/>
            <color indexed="81"/>
            <rFont val="Tahoma"/>
            <family val="2"/>
          </rPr>
          <t>16 Jun 2023</t>
        </r>
      </text>
    </comment>
    <comment ref="R44" authorId="0" shapeId="0" xr:uid="{C6CADE6F-5CBF-4E88-8DA6-4D1DABE9E30A}">
      <text>
        <r>
          <rPr>
            <b/>
            <sz val="9"/>
            <color indexed="81"/>
            <rFont val="Tahoma"/>
            <family val="2"/>
          </rPr>
          <t>Officially:
22-Jun-18</t>
        </r>
      </text>
    </comment>
    <comment ref="S4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Second Address:
</t>
        </r>
        <r>
          <rPr>
            <sz val="9"/>
            <color indexed="81"/>
            <rFont val="Tahoma"/>
            <family val="2"/>
          </rPr>
          <t>27 Sidi Gaber St - Al Monieeb - Giza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3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جنسية فلسطينية</t>
        </r>
      </text>
    </comment>
  </commentList>
</comments>
</file>

<file path=xl/sharedStrings.xml><?xml version="1.0" encoding="utf-8"?>
<sst xmlns="http://schemas.openxmlformats.org/spreadsheetml/2006/main" count="2428" uniqueCount="630">
  <si>
    <t xml:space="preserve">Khaled Mohamed Helmy Mohamed Yousry Abd Rabo </t>
  </si>
  <si>
    <t>Ahmed Mohamed Rezk Mohamed</t>
  </si>
  <si>
    <t>Irene Zaghloul Nazier Mohareb</t>
  </si>
  <si>
    <t>Nermine Essmat Mohamed Hegazy</t>
  </si>
  <si>
    <t>Marwa Sherif Abd El Hamid Salama</t>
  </si>
  <si>
    <t>Ahmed Samir Hassan EL Said</t>
  </si>
  <si>
    <t xml:space="preserve">Sherif Shokry Mohamed Abd El Hafez </t>
  </si>
  <si>
    <t>Mohamed Hassan Mohamed Kamel</t>
  </si>
  <si>
    <t xml:space="preserve">Samy Ibrahim Mohamed Youssef </t>
  </si>
  <si>
    <t xml:space="preserve">Mohmoud Ali Mohmoud Hussein El Sayed </t>
  </si>
  <si>
    <t xml:space="preserve">Mokhtar Ahmed Mohamed El Magdaly </t>
  </si>
  <si>
    <t xml:space="preserve">Tarek Mohamed Gomaa Abdallah </t>
  </si>
  <si>
    <t>Ahmed Mohamed Abdel Salam Mohamed</t>
  </si>
  <si>
    <t xml:space="preserve">Mohamed Farouk Mohamed Abd El Halim </t>
  </si>
  <si>
    <t>Mohamed Abdel Gawad Mohamed Abdel Gawad</t>
  </si>
  <si>
    <t>Mennatullah Moheb Abdelghaffar El Sayed</t>
  </si>
  <si>
    <t xml:space="preserve">Dr. Hani Salah Mohamed Sarie Eldin </t>
  </si>
  <si>
    <t xml:space="preserve">Menna Allah Nabil Mohamed El Beltagy </t>
  </si>
  <si>
    <t xml:space="preserve">Nagy Ramdan Amin Mohamed  </t>
  </si>
  <si>
    <t xml:space="preserve">Mohamed Abd El Aziz Abd El Hafez Mohamed </t>
  </si>
  <si>
    <t xml:space="preserve">Ihab Hamdy Ibrahim Imam </t>
  </si>
  <si>
    <t>Ahmed Said Ahmed Mohamed Ali</t>
  </si>
  <si>
    <t xml:space="preserve">Mohamed Hamdy Kamel Mostafa </t>
  </si>
  <si>
    <t xml:space="preserve">Noha Amr Mohamed Radwan </t>
  </si>
  <si>
    <t>Ahmed Seif Eldin Abo Bakr Sarie Eldin</t>
  </si>
  <si>
    <t>Hany Ahmed Abd El Meged Mourad El Daly</t>
  </si>
  <si>
    <t>Mahmoud Shabaan Mahmoud Hassan</t>
  </si>
  <si>
    <t>Omar Essam Hanafy Mahmoud</t>
  </si>
  <si>
    <t>Mohamed Wally Abd El Hady Mohamed</t>
  </si>
  <si>
    <t>Yasmine Safwat Salah Eldin Ibrahim</t>
  </si>
  <si>
    <t>Habiba Mahmoud Samir Mahmoud Issa</t>
  </si>
  <si>
    <t>Farah Abd Allah Mahmoud Al Nahas</t>
  </si>
  <si>
    <t>Abdel Rahman Ahmed Abdel Aziz Hassan</t>
  </si>
  <si>
    <t xml:space="preserve">Eman Sobhy Shokry Khalil </t>
  </si>
  <si>
    <t>Name</t>
  </si>
  <si>
    <t>Classification</t>
  </si>
  <si>
    <t>Lawyer</t>
  </si>
  <si>
    <t>Admin</t>
  </si>
  <si>
    <t xml:space="preserve">Managing Partner </t>
  </si>
  <si>
    <t xml:space="preserve">Senior Partner </t>
  </si>
  <si>
    <t>Admin &amp; HR Manager</t>
  </si>
  <si>
    <t>Accounting Manager</t>
  </si>
  <si>
    <t xml:space="preserve">Senior Systems Engineer </t>
  </si>
  <si>
    <t>Executive Assistant</t>
  </si>
  <si>
    <t xml:space="preserve">Senior Admin Assistant </t>
  </si>
  <si>
    <t xml:space="preserve">Admin Assistant </t>
  </si>
  <si>
    <t xml:space="preserve">Librarian </t>
  </si>
  <si>
    <t>HR Generalist</t>
  </si>
  <si>
    <t>Supervisor of Paralegal Group</t>
  </si>
  <si>
    <t xml:space="preserve">Paralegal </t>
  </si>
  <si>
    <t xml:space="preserve">Typist </t>
  </si>
  <si>
    <t xml:space="preserve">Messenger </t>
  </si>
  <si>
    <t xml:space="preserve">Office Boy </t>
  </si>
  <si>
    <t xml:space="preserve">Dr. Hani's Driver </t>
  </si>
  <si>
    <t xml:space="preserve">Receptionist &amp; Office Secretary </t>
  </si>
  <si>
    <t xml:space="preserve">Amr Abd El Kerem Sakr Bayomy Sakr </t>
  </si>
  <si>
    <t xml:space="preserve">Follow-Up Coordinator </t>
  </si>
  <si>
    <t xml:space="preserve">Senior Associate </t>
  </si>
  <si>
    <t xml:space="preserve">Litigation Senior Associate </t>
  </si>
  <si>
    <t xml:space="preserve">Senior Associate Corporate Procedures </t>
  </si>
  <si>
    <t xml:space="preserve">Associate </t>
  </si>
  <si>
    <t>Associate</t>
  </si>
  <si>
    <t>Junior  Associate</t>
  </si>
  <si>
    <t>Senior Associate</t>
  </si>
  <si>
    <t>Job Title</t>
  </si>
  <si>
    <t>Joining Date</t>
  </si>
  <si>
    <t>Valid Till</t>
  </si>
  <si>
    <t>ID</t>
  </si>
  <si>
    <t>Bar Association</t>
  </si>
  <si>
    <t>-</t>
  </si>
  <si>
    <t>Number</t>
  </si>
  <si>
    <t>Date of Birth</t>
  </si>
  <si>
    <t>Department</t>
  </si>
  <si>
    <t>IT</t>
  </si>
  <si>
    <t>Accounting</t>
  </si>
  <si>
    <t>HR</t>
  </si>
  <si>
    <t>Banking &amp; Procedures</t>
  </si>
  <si>
    <t>Litigation</t>
  </si>
  <si>
    <t>Facilities</t>
  </si>
  <si>
    <t>Arbitration</t>
  </si>
  <si>
    <t>Address</t>
  </si>
  <si>
    <t>Capital Market</t>
  </si>
  <si>
    <t>Extenstion</t>
  </si>
  <si>
    <t>Mobile Number</t>
  </si>
  <si>
    <t>012-20800319</t>
  </si>
  <si>
    <t>012-21596311</t>
  </si>
  <si>
    <t>012-06000600</t>
  </si>
  <si>
    <t>011-14574400 - 012-80000647</t>
  </si>
  <si>
    <t>010-12827362 - 011-20121343</t>
  </si>
  <si>
    <t>010-15337745</t>
  </si>
  <si>
    <t>012-71702020</t>
  </si>
  <si>
    <t>012-22269214</t>
  </si>
  <si>
    <t>010-23131881</t>
  </si>
  <si>
    <t>012-82349895</t>
  </si>
  <si>
    <t>012-06001011- 011-24455178</t>
  </si>
  <si>
    <t>012-20800314</t>
  </si>
  <si>
    <t>012-81110096</t>
  </si>
  <si>
    <t>012-24222313</t>
  </si>
  <si>
    <t>012-20800351</t>
  </si>
  <si>
    <t>011-51015555 - 012-87111142</t>
  </si>
  <si>
    <t>010-01080373</t>
  </si>
  <si>
    <t>010-01760945</t>
  </si>
  <si>
    <t>010-05697822</t>
  </si>
  <si>
    <t>011-11066255</t>
  </si>
  <si>
    <t>012-20800325</t>
  </si>
  <si>
    <t>010-67572777</t>
  </si>
  <si>
    <t>012-20046660</t>
  </si>
  <si>
    <t>010-66533934</t>
  </si>
  <si>
    <t>011-00702019</t>
  </si>
  <si>
    <t>010-07261601</t>
  </si>
  <si>
    <t>012-85923979</t>
  </si>
  <si>
    <t>012-70172555</t>
  </si>
  <si>
    <t>010-07847333</t>
  </si>
  <si>
    <t>012-25874918</t>
  </si>
  <si>
    <t>012-21732578</t>
  </si>
  <si>
    <t>010-00118805</t>
  </si>
  <si>
    <t>010-12669539</t>
  </si>
  <si>
    <t>011-19895595</t>
  </si>
  <si>
    <t>010-09135242</t>
  </si>
  <si>
    <t>Directors</t>
  </si>
  <si>
    <t>Governorate</t>
  </si>
  <si>
    <t>Address Details</t>
  </si>
  <si>
    <t>درجة القيد</t>
  </si>
  <si>
    <t>نقض</t>
  </si>
  <si>
    <t>ابتدائي</t>
  </si>
  <si>
    <t xml:space="preserve">استئناف </t>
  </si>
  <si>
    <t>استئناف</t>
  </si>
  <si>
    <t>غير مقيد</t>
  </si>
  <si>
    <t>جدول عام</t>
  </si>
  <si>
    <t>N/A</t>
  </si>
  <si>
    <t>Service Agreement</t>
  </si>
  <si>
    <t>Giza</t>
  </si>
  <si>
    <t>Cairo</t>
  </si>
  <si>
    <t>Region / City</t>
  </si>
  <si>
    <t>Sheikh Zayed</t>
  </si>
  <si>
    <t>Al Sharqeya</t>
  </si>
  <si>
    <t>Al Qalubyea</t>
  </si>
  <si>
    <t>Zaqaziq</t>
  </si>
  <si>
    <t>Mosalamy St. - El Nahaal</t>
  </si>
  <si>
    <t>Al Doqi</t>
  </si>
  <si>
    <t>4 Guhayna St.</t>
  </si>
  <si>
    <t>4 Bayoumi Moqbel</t>
  </si>
  <si>
    <t>Imbaba</t>
  </si>
  <si>
    <t>56 Hay 13 - Megawra 3</t>
  </si>
  <si>
    <t>Block 88 Masaken Sakyet Mekki</t>
  </si>
  <si>
    <t>76 Hay 8 - Megawra 3</t>
  </si>
  <si>
    <t>6 of October</t>
  </si>
  <si>
    <t>26 Dagdag - Zaqaziq Road</t>
  </si>
  <si>
    <t>Banha</t>
  </si>
  <si>
    <t>9 Hay 11 - Megawra 2</t>
  </si>
  <si>
    <t>Section</t>
  </si>
  <si>
    <t>Year</t>
  </si>
  <si>
    <t>Graduation</t>
  </si>
  <si>
    <t>Haram</t>
  </si>
  <si>
    <t>Heliopolis</t>
  </si>
  <si>
    <t>Maadi</t>
  </si>
  <si>
    <t>Zahraa Al Maadi</t>
  </si>
  <si>
    <t>Sakyet Mekki</t>
  </si>
  <si>
    <t>Al Agouza</t>
  </si>
  <si>
    <t>Abdeen</t>
  </si>
  <si>
    <t>10-A Al Houd St.</t>
  </si>
  <si>
    <t>311 Hay 2 - Megawra 5</t>
  </si>
  <si>
    <t>6 Abbas Al Sherif - Helmyet Al Zaitoun</t>
  </si>
  <si>
    <t>Ain Shams</t>
  </si>
  <si>
    <t>Nagwa Ibrahim Mahmoud Ghonem</t>
  </si>
  <si>
    <t>11 Ayad Wasef - Ahmed Esmat</t>
  </si>
  <si>
    <t>012-06001022</t>
  </si>
  <si>
    <t xml:space="preserve">Ms. Amira Mohamed Ali Sherif </t>
  </si>
  <si>
    <t>Ms. Doaa Abd El Dayem Ibrahim Nassar</t>
  </si>
  <si>
    <t>Division</t>
  </si>
  <si>
    <t>Bachelor of Laws</t>
  </si>
  <si>
    <t>English</t>
  </si>
  <si>
    <t>Arabic</t>
  </si>
  <si>
    <t>French</t>
  </si>
  <si>
    <t>Tax Card</t>
  </si>
  <si>
    <t>411-839-799</t>
  </si>
  <si>
    <t>672-816-644</t>
  </si>
  <si>
    <t>407-451-579</t>
  </si>
  <si>
    <t>220-218-188</t>
  </si>
  <si>
    <t>232-512-620</t>
  </si>
  <si>
    <t>323-946-933</t>
  </si>
  <si>
    <t>352-188-693</t>
  </si>
  <si>
    <t>274-097-028</t>
  </si>
  <si>
    <t>728-681-390</t>
  </si>
  <si>
    <t>652-844-383</t>
  </si>
  <si>
    <t>628-842-058</t>
  </si>
  <si>
    <t>518-620-220</t>
  </si>
  <si>
    <t>518-839-346</t>
  </si>
  <si>
    <t>477-199-348</t>
  </si>
  <si>
    <t>Admin/Secertary</t>
  </si>
  <si>
    <t>Villa 84 - Belle Ville Compound</t>
  </si>
  <si>
    <t>12 Monshat El Bakari Village</t>
  </si>
  <si>
    <t>4 El Saloly St.</t>
  </si>
  <si>
    <t>12 Bahr El Ghazal St.</t>
  </si>
  <si>
    <t>Villa 177 Tawasoat Al Shamalya</t>
  </si>
  <si>
    <t>33 Babel St.</t>
  </si>
  <si>
    <t>Baghous Village</t>
  </si>
  <si>
    <t>Al Fayoum</t>
  </si>
  <si>
    <t>261-915-487</t>
  </si>
  <si>
    <t>Om Denar Village</t>
  </si>
  <si>
    <t>Monshaat Al Qanater</t>
  </si>
  <si>
    <t>Bachlor of Arts</t>
  </si>
  <si>
    <t>Language and Translation</t>
  </si>
  <si>
    <t>191 Hay 1 Megawra 8</t>
  </si>
  <si>
    <t>9 Megawra 27 - Al Rehab</t>
  </si>
  <si>
    <t>New Cairo</t>
  </si>
  <si>
    <t>Electrical Engineering</t>
  </si>
  <si>
    <t>High Technology Institution</t>
  </si>
  <si>
    <t>Contract Type</t>
  </si>
  <si>
    <t>2010</t>
  </si>
  <si>
    <t>Bachelor of Engineering</t>
  </si>
  <si>
    <t>Bachlor of Commerce</t>
  </si>
  <si>
    <t>2011</t>
  </si>
  <si>
    <t>2014</t>
  </si>
  <si>
    <t>1999</t>
  </si>
  <si>
    <t>Bachelor of Alsun</t>
  </si>
  <si>
    <t>2006</t>
  </si>
  <si>
    <t>7 Degla Al Estismary Buildings</t>
  </si>
  <si>
    <t>Bachelor of Social Work</t>
  </si>
  <si>
    <t>Helwan</t>
  </si>
  <si>
    <t>1986</t>
  </si>
  <si>
    <t>10 El Salam from Nasr Al Thawra St.</t>
  </si>
  <si>
    <t>48 El Shatr Al Sades - Alico Buildings</t>
  </si>
  <si>
    <t>Kafr Ghataty</t>
  </si>
  <si>
    <t>Sociology</t>
  </si>
  <si>
    <t>High School</t>
  </si>
  <si>
    <t>Commercial</t>
  </si>
  <si>
    <t>1996</t>
  </si>
  <si>
    <t>University / School</t>
  </si>
  <si>
    <t>Certificate</t>
  </si>
  <si>
    <t>Bachelor of Arts</t>
  </si>
  <si>
    <t>Geography</t>
  </si>
  <si>
    <t>Benha</t>
  </si>
  <si>
    <t>2002</t>
  </si>
  <si>
    <t>1990</t>
  </si>
  <si>
    <t>Al Nozha</t>
  </si>
  <si>
    <t>2001</t>
  </si>
  <si>
    <t>Preparatory School</t>
  </si>
  <si>
    <t>2013</t>
  </si>
  <si>
    <t>356 Hay 13 Megawra 3</t>
  </si>
  <si>
    <t>774 Hay 4 Megawra 4</t>
  </si>
  <si>
    <t>Masters of Laws</t>
  </si>
  <si>
    <t>Private Law</t>
  </si>
  <si>
    <t>321 A Megawra 2 - New Giza</t>
  </si>
  <si>
    <t>Sorbonne</t>
  </si>
  <si>
    <t>Doaa Abd El Dayem Ibrahim Nassar</t>
  </si>
  <si>
    <t>3 Makka St. - Marioteya - Faisal</t>
  </si>
  <si>
    <t>English Literature</t>
  </si>
  <si>
    <t>2022</t>
  </si>
  <si>
    <t>2020</t>
  </si>
  <si>
    <t>382 El Seyaheya Al Rabaa</t>
  </si>
  <si>
    <t>Ph.D.</t>
  </si>
  <si>
    <t>International Business Law</t>
  </si>
  <si>
    <t>1995</t>
  </si>
  <si>
    <t>Primary School</t>
  </si>
  <si>
    <t>From</t>
  </si>
  <si>
    <t>To</t>
  </si>
  <si>
    <t>Hiring Contract</t>
  </si>
  <si>
    <t>Renewal for One Year</t>
  </si>
  <si>
    <t>Renewal for Two Year</t>
  </si>
  <si>
    <t>Comments</t>
  </si>
  <si>
    <t>Criminal Record</t>
  </si>
  <si>
    <t>Birth Certificate</t>
  </si>
  <si>
    <t>Renewal for Six Month</t>
  </si>
  <si>
    <t>Six Month Contract</t>
  </si>
  <si>
    <t>Social Insurance</t>
  </si>
  <si>
    <t>الرقم التأميني</t>
  </si>
  <si>
    <t>تاريخ بداية التأمين</t>
  </si>
  <si>
    <t>20 Saray Al Guizera</t>
  </si>
  <si>
    <t>Zamalek</t>
  </si>
  <si>
    <t>London / Cairo</t>
  </si>
  <si>
    <t>Partners</t>
  </si>
  <si>
    <t>2012</t>
  </si>
  <si>
    <t>9 Nehad Sabry - Roxy</t>
  </si>
  <si>
    <t>2004</t>
  </si>
  <si>
    <t>Contract Duration</t>
  </si>
  <si>
    <t>Renewal for Eighteen Month</t>
  </si>
  <si>
    <t>1-1</t>
  </si>
  <si>
    <t>1-2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</si>
  <si>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</si>
  <si>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</si>
  <si>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</si>
  <si>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</si>
  <si>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</si>
  <si>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</si>
  <si>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</si>
  <si>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</si>
  <si>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</si>
  <si>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</si>
  <si>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</si>
  <si>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</si>
  <si>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2-13</t>
  </si>
  <si>
    <t>2-14</t>
  </si>
  <si>
    <t>2-15</t>
  </si>
  <si>
    <t>2-16</t>
  </si>
  <si>
    <t>3-1</t>
  </si>
  <si>
    <t>3-2</t>
  </si>
  <si>
    <t>3-3</t>
  </si>
  <si>
    <t>3-4</t>
  </si>
  <si>
    <t>3-5</t>
  </si>
  <si>
    <t>3-6</t>
  </si>
  <si>
    <t>3-7</t>
  </si>
  <si>
    <t>3-8</t>
  </si>
  <si>
    <t>3-9</t>
  </si>
  <si>
    <t>3-10</t>
  </si>
  <si>
    <t>3-11</t>
  </si>
  <si>
    <t>3-12</t>
  </si>
  <si>
    <t>3-13</t>
  </si>
  <si>
    <t>3-14</t>
  </si>
  <si>
    <t>3-15</t>
  </si>
  <si>
    <t>3-16</t>
  </si>
  <si>
    <t>3-17</t>
  </si>
  <si>
    <t>3-18</t>
  </si>
  <si>
    <t>3-19</t>
  </si>
  <si>
    <t>3-20</t>
  </si>
  <si>
    <t>Military Certificate</t>
  </si>
  <si>
    <t>ID Copy</t>
  </si>
  <si>
    <t>Personal Photos</t>
  </si>
  <si>
    <t>Form 6</t>
  </si>
  <si>
    <t>Recommendation Letter</t>
  </si>
  <si>
    <t>√</t>
  </si>
  <si>
    <t>X</t>
  </si>
  <si>
    <t>Laptop</t>
  </si>
  <si>
    <t>Copy</t>
  </si>
  <si>
    <t>Original</t>
  </si>
  <si>
    <t xml:space="preserve">Association ID </t>
  </si>
  <si>
    <t>PC</t>
  </si>
  <si>
    <t>كعب العمل</t>
  </si>
  <si>
    <t>Education Certificate</t>
  </si>
  <si>
    <t>معاش مبكر</t>
  </si>
  <si>
    <t>Experience In</t>
  </si>
  <si>
    <t>Experience Out</t>
  </si>
  <si>
    <t>Years</t>
  </si>
  <si>
    <t>Month</t>
  </si>
  <si>
    <t>1991</t>
  </si>
  <si>
    <t>Tanta</t>
  </si>
  <si>
    <t>2008</t>
  </si>
  <si>
    <t>Alexandria</t>
  </si>
  <si>
    <t>44 Al Manial Museum - Manial</t>
  </si>
  <si>
    <t>Masr Al Adeema</t>
  </si>
  <si>
    <t>Hassan Nafea St. Beside Metro - Faisal</t>
  </si>
  <si>
    <t>Beni Suef</t>
  </si>
  <si>
    <t>Police Academy</t>
  </si>
  <si>
    <t>2000</t>
  </si>
  <si>
    <t>1 Helal Ebn Omaya St. from Amaar Ebn Yasser St.</t>
  </si>
  <si>
    <t>El Nozha</t>
  </si>
  <si>
    <t>3049507</t>
  </si>
  <si>
    <t>7813578</t>
  </si>
  <si>
    <t>9834222</t>
  </si>
  <si>
    <t>24767787</t>
  </si>
  <si>
    <t>24849461</t>
  </si>
  <si>
    <t>26801623</t>
  </si>
  <si>
    <t>49774060</t>
  </si>
  <si>
    <t>55306579</t>
  </si>
  <si>
    <t>66494942</t>
  </si>
  <si>
    <t>55930451</t>
  </si>
  <si>
    <t>57292502</t>
  </si>
  <si>
    <t>61710995</t>
  </si>
  <si>
    <t>20924633</t>
  </si>
  <si>
    <t>60446683</t>
  </si>
  <si>
    <t>63299236</t>
  </si>
  <si>
    <t>73502725</t>
  </si>
  <si>
    <t>48490128</t>
  </si>
  <si>
    <t>3</t>
  </si>
  <si>
    <t>9</t>
  </si>
  <si>
    <t>10</t>
  </si>
  <si>
    <t>0</t>
  </si>
  <si>
    <t>13</t>
  </si>
  <si>
    <t>2015</t>
  </si>
  <si>
    <t>Journalism</t>
  </si>
  <si>
    <t>1998</t>
  </si>
  <si>
    <t>Secondary Education</t>
  </si>
  <si>
    <t>Patterning</t>
  </si>
  <si>
    <t>Employee Card</t>
  </si>
  <si>
    <t>ID No.</t>
  </si>
  <si>
    <t>Selehdar School</t>
  </si>
  <si>
    <t>National ID</t>
  </si>
  <si>
    <t>معاش</t>
  </si>
  <si>
    <t>مؤمن عليه خارجياً</t>
  </si>
  <si>
    <t>Khaled Mohamed Helmy Mohamed Yousry</t>
  </si>
  <si>
    <t>Date of Resignation</t>
  </si>
  <si>
    <t xml:space="preserve">Christina George Nessim Mina </t>
  </si>
  <si>
    <t>HR Specialist</t>
  </si>
  <si>
    <t>Status</t>
  </si>
  <si>
    <t>Active</t>
  </si>
  <si>
    <t>Resigned</t>
  </si>
  <si>
    <t>Pance Bahgat Abdallah El Rakayby</t>
  </si>
  <si>
    <t xml:space="preserve">Emad Mostafa Youssef Fahmy </t>
  </si>
  <si>
    <t xml:space="preserve">Financial Manager </t>
  </si>
  <si>
    <t>Receptionist &amp; Office Secretary</t>
  </si>
  <si>
    <t>Date of Renewal</t>
  </si>
  <si>
    <t>Revewal for Six Month</t>
  </si>
  <si>
    <t>Rezk Fathy Rowished Mohamed</t>
  </si>
  <si>
    <t xml:space="preserve">Khaled Kamal Fawzy Amer El Sisi </t>
  </si>
  <si>
    <t>Eslam Khaled Mostafa Mohamed Abdallah</t>
  </si>
  <si>
    <t>Receptionist</t>
  </si>
  <si>
    <t xml:space="preserve">Heidi Magdy Maher Wahba felobus </t>
  </si>
  <si>
    <t>Layla Mohamed Ihab Mostafa Abd El Latef</t>
  </si>
  <si>
    <t>Zeina Ahmed Abd El Monem Ahmed Attia</t>
  </si>
  <si>
    <t>Gihan Kamal Nassif Salib</t>
  </si>
  <si>
    <t>Senior Executive assistant</t>
  </si>
  <si>
    <t xml:space="preserve">Sherine Samir Fayek Naguib </t>
  </si>
  <si>
    <t xml:space="preserve">Nourane Ahmed Fahmy Hussein Fahmy Ahmed </t>
  </si>
  <si>
    <t>Ahmed El Sayed Faheem Ali</t>
  </si>
  <si>
    <t xml:space="preserve">Aliaa Mohamed Kassem Maamoun </t>
  </si>
  <si>
    <t xml:space="preserve">Khaled Samy Sayed Mostafa </t>
  </si>
  <si>
    <t>PR and Marketing Coordinator</t>
  </si>
  <si>
    <t>Marketing</t>
  </si>
  <si>
    <t>Mary Magdy Thabet Said</t>
  </si>
  <si>
    <t xml:space="preserve">Safaa Ahmed Mohamed Atallah </t>
  </si>
  <si>
    <t xml:space="preserve">Dalia Ahmed Mourad Gamal El Din </t>
  </si>
  <si>
    <t xml:space="preserve">Abd El Nasser Osman Hassan Ibrahim </t>
  </si>
  <si>
    <t>Accountant</t>
  </si>
  <si>
    <t xml:space="preserve">Financial Advisor </t>
  </si>
  <si>
    <t>Alyaa Ibrahim Taha Ismail Nagd</t>
  </si>
  <si>
    <t xml:space="preserve">Nermine El-Sisi </t>
  </si>
  <si>
    <t>Administrative &amp; HR Assistant</t>
  </si>
  <si>
    <t>Admin Assistant</t>
  </si>
  <si>
    <t>Haytham Mohamed Abd El Hamid Shaaban</t>
  </si>
  <si>
    <t>Lojine Mohamed Abdel Baky Abdel Latif</t>
  </si>
  <si>
    <t>Nada Mohamed Ahmed Ali</t>
  </si>
  <si>
    <t xml:space="preserve">  Associate</t>
  </si>
  <si>
    <t xml:space="preserve">Ahmed Nabil Mohamed Gamal El Din Farahat </t>
  </si>
  <si>
    <t xml:space="preserve">Partner </t>
  </si>
  <si>
    <t>Ahmed Ismail Mohamed Ismail Salama</t>
  </si>
  <si>
    <t xml:space="preserve"> Associate </t>
  </si>
  <si>
    <t>Mennatallah Sabry Mohamed AlSenoussi Mohamed</t>
  </si>
  <si>
    <t>Mohamed Essam Ahmed Fouad Abo El Naga</t>
  </si>
  <si>
    <t>Abdallah Amr Abd El Aziz Mohamed Hafez</t>
  </si>
  <si>
    <t xml:space="preserve">Junior Associate </t>
  </si>
  <si>
    <t>Nermine Hani Mahmoud Abd El Aal</t>
  </si>
  <si>
    <t>Dr. Ahmed Abdallah Mohamed Ali</t>
  </si>
  <si>
    <t>Mohamed Tarek Mohamed Ahmed ElKhateb</t>
  </si>
  <si>
    <t>Omar Ahmed Mohamed Fouad Shady</t>
  </si>
  <si>
    <t>ابتدائى</t>
  </si>
  <si>
    <t xml:space="preserve">نقض  </t>
  </si>
  <si>
    <t xml:space="preserve">Executive Assistant / Managing Partner </t>
  </si>
  <si>
    <t>Mountasser Hesham Mohamed Abdullah Ibrahim El Masry</t>
  </si>
  <si>
    <t>Momen Abdallah Mohamed Ahmed Selim</t>
  </si>
  <si>
    <t>Mostafa Khaled Mohamed Khair Eldin Nassar</t>
  </si>
  <si>
    <t xml:space="preserve">Mohamed Magdy Sayed Ahmed Ramdan El Gharably </t>
  </si>
  <si>
    <t xml:space="preserve">Wessam Ahmed Saleh Ali El Sayed </t>
  </si>
  <si>
    <t>Hania Badr Eldin Abo ElOyoun Ahmed Fouad</t>
  </si>
  <si>
    <t>Aly Mostafa Aly Hassan Salem</t>
  </si>
  <si>
    <t>Litigation Senior Associate</t>
  </si>
  <si>
    <t>Amr Abd El Rehim</t>
  </si>
  <si>
    <t xml:space="preserve">Sherif Abo El Makarem Saleh Soliman </t>
  </si>
  <si>
    <t xml:space="preserve">Associate Corporate Procedures </t>
  </si>
  <si>
    <t xml:space="preserve">Lina Mahmoud  Radwan  Kenawy </t>
  </si>
  <si>
    <t xml:space="preserve">Dr. Khaled Attia </t>
  </si>
  <si>
    <t>23/8/2023</t>
  </si>
  <si>
    <t>13/4/2022</t>
  </si>
  <si>
    <t>Amir Adel Aziz Gerges Matar</t>
  </si>
  <si>
    <t>756-421-918</t>
  </si>
  <si>
    <t>Education</t>
  </si>
  <si>
    <t>Certificate Type</t>
  </si>
  <si>
    <t>University</t>
  </si>
  <si>
    <t>Bar Association No.</t>
  </si>
  <si>
    <t>Tax Card No.</t>
  </si>
  <si>
    <t>Region | City</t>
  </si>
  <si>
    <t>Salary</t>
  </si>
  <si>
    <t>Basic Info</t>
  </si>
  <si>
    <t>IDs</t>
  </si>
  <si>
    <t>Graduation Year</t>
  </si>
  <si>
    <t>Contract</t>
  </si>
  <si>
    <t>Duration</t>
  </si>
  <si>
    <t>Renewal Date</t>
  </si>
  <si>
    <t>Modifing Salary in Social Insurance</t>
  </si>
  <si>
    <t>Laptop / 
PC / Tablet</t>
  </si>
  <si>
    <t>One Month/17 Days</t>
  </si>
  <si>
    <t>Technical Institute</t>
  </si>
  <si>
    <t>3-21</t>
  </si>
  <si>
    <t>Hend Alaa Eldin Abdel Salam El Nashar</t>
  </si>
  <si>
    <t>6 Labib El Batanouni - Manial Al Rawda</t>
  </si>
  <si>
    <t>010-00420081</t>
  </si>
  <si>
    <t>Admin Officer</t>
  </si>
  <si>
    <t>Library &amp; Technical Information</t>
  </si>
  <si>
    <t>63400180</t>
  </si>
  <si>
    <t>2-17</t>
  </si>
  <si>
    <t>Ahmed Abu El Abbas Mohamed Ahmed El Etreby</t>
  </si>
  <si>
    <t>2019</t>
  </si>
  <si>
    <t>759-791-767</t>
  </si>
  <si>
    <t>10 Abu El Mawaheb St. Agouza</t>
  </si>
  <si>
    <t>011-11469162</t>
  </si>
  <si>
    <t>77052671</t>
  </si>
  <si>
    <t>Partner</t>
  </si>
  <si>
    <t>Junior Associate</t>
  </si>
  <si>
    <t>Tablet/Laptop</t>
  </si>
  <si>
    <t>17 Ismail Sabry St.</t>
  </si>
  <si>
    <t>2-18</t>
  </si>
  <si>
    <t>Laila Amin Mohamed Amin Tamoum</t>
  </si>
  <si>
    <t>GUC</t>
  </si>
  <si>
    <t>2023</t>
  </si>
  <si>
    <t>012-79697641</t>
  </si>
  <si>
    <t>11 Amin Bek El Rafai St. - El Mesaha Square</t>
  </si>
  <si>
    <t>Laila Amin Mohamed Amin Tomoum</t>
  </si>
  <si>
    <t>2-19</t>
  </si>
  <si>
    <t>Hussien Sherif Mohamed Monier Amer</t>
  </si>
  <si>
    <t>Master of Laws</t>
  </si>
  <si>
    <t>2021</t>
  </si>
  <si>
    <t>Villa 26 Telal Al Guziera</t>
  </si>
  <si>
    <t>010-00969141</t>
  </si>
  <si>
    <t>University of Law</t>
  </si>
  <si>
    <t>Professional Legal Practice</t>
  </si>
  <si>
    <t>3-22</t>
  </si>
  <si>
    <t>Treasury Accountant</t>
  </si>
  <si>
    <t>Accounting - English</t>
  </si>
  <si>
    <t>16 Mohamed Abdel Magued - Faisal</t>
  </si>
  <si>
    <t>011-52881271</t>
  </si>
  <si>
    <t>Khaled Hussien Omar Abdelqader</t>
  </si>
  <si>
    <t>85055608</t>
  </si>
  <si>
    <t xml:space="preserve">Khaled Hussien Omar Abdel Kader </t>
  </si>
  <si>
    <t>Renewal for Six month</t>
  </si>
  <si>
    <t>3-23</t>
  </si>
  <si>
    <t>Mohamed Abdel Gawad Mohamed Abd El Gawad</t>
  </si>
  <si>
    <t>Khaled Hussien Omar Abd El Kader</t>
  </si>
  <si>
    <t>Paralegal / Senior Document Controller</t>
  </si>
  <si>
    <t>1988</t>
  </si>
  <si>
    <t>Al Rawda Commercial Institute</t>
  </si>
  <si>
    <t>Diploma in Commerce</t>
  </si>
  <si>
    <t>48905809</t>
  </si>
  <si>
    <t>127 Al Bashayer</t>
  </si>
  <si>
    <t>010-93736214</t>
  </si>
  <si>
    <t>Hazem Ibrahim Abdel Hameed</t>
  </si>
  <si>
    <t>Hazem Ibrahim Abd El Hameed Mohamed Fatata</t>
  </si>
  <si>
    <t>35</t>
  </si>
  <si>
    <t>3-24</t>
  </si>
  <si>
    <t>Junior Accountant</t>
  </si>
  <si>
    <t>Asem Mohamed Saied Abdo</t>
  </si>
  <si>
    <t>17 Eskan El Madkhal - El Mostathmer El Sagheer</t>
  </si>
  <si>
    <t>011-23875370</t>
  </si>
  <si>
    <t>CIC</t>
  </si>
  <si>
    <t>85703354</t>
  </si>
  <si>
    <t>2-20</t>
  </si>
  <si>
    <t>Kareem Ayman Mohamed Adel</t>
  </si>
  <si>
    <t>41516 Zayed Regency Compound</t>
  </si>
  <si>
    <t>012-01107220</t>
  </si>
  <si>
    <t>762-270-713</t>
  </si>
  <si>
    <t>Assem Mohamed Saied Abdo</t>
  </si>
  <si>
    <t>010-04741523</t>
  </si>
  <si>
    <t>49/8708270/2010/1</t>
  </si>
  <si>
    <t>50147260</t>
  </si>
  <si>
    <t>Litigation Partner</t>
  </si>
  <si>
    <t>2-21</t>
  </si>
  <si>
    <t>Abd Allah Amr Abd El Aziz Mohamed</t>
  </si>
  <si>
    <t>Tilburg / Netherlands</t>
  </si>
  <si>
    <t>2016</t>
  </si>
  <si>
    <t>Global Law</t>
  </si>
  <si>
    <t>010-05171896</t>
  </si>
  <si>
    <t>7</t>
  </si>
  <si>
    <t>Villa A1D Royaa Compound - Waslet Dahshour</t>
  </si>
  <si>
    <t xml:space="preserve">Dr. Hani's Representative </t>
  </si>
  <si>
    <t>Name in English</t>
  </si>
  <si>
    <t>الاسم بالعربية</t>
  </si>
  <si>
    <t>د/ هانى صلاح محمد سرى الدين</t>
  </si>
  <si>
    <t>أ/ أميرة محمد على الشريف</t>
  </si>
  <si>
    <t>ايهاب حمدى ابراهيم امام</t>
  </si>
  <si>
    <t>محمد حمدى كامل مصطفى</t>
  </si>
  <si>
    <t>منه الله نبيل محمد البلتاجى</t>
  </si>
  <si>
    <t>نهى عمرو محمد رضوان</t>
  </si>
  <si>
    <t>ناجى رمضان امين محمد</t>
  </si>
  <si>
    <t>هانى احمد عبد المجيد مراد الدالي</t>
  </si>
  <si>
    <t>احمد سيف الدين ابو بكر سرى الدين</t>
  </si>
  <si>
    <t>احمد سعيد احمد محمد على</t>
  </si>
  <si>
    <t>حبيبه محمود سمير محمود عيسى</t>
  </si>
  <si>
    <t>عبد الرحمن احمد عبد العزيز حسن</t>
  </si>
  <si>
    <t>احمد ابو العباس محمد احمد الاتربى</t>
  </si>
  <si>
    <t>ليلي امين محمد امين طموم</t>
  </si>
  <si>
    <t>كريم ايمن محمد عادل</t>
  </si>
  <si>
    <t>أ/ دعاء عبد الدايم ابراهيم نصار</t>
  </si>
  <si>
    <t>خالد محمد حلمى محمد يسرى عبد ربه</t>
  </si>
  <si>
    <t>احمد محمد رزق محمد</t>
  </si>
  <si>
    <t>نرمين عصمت محمد حجازى</t>
  </si>
  <si>
    <t>احمد سمير حسن السيد</t>
  </si>
  <si>
    <t>ايمان صبحى شكرى خليل</t>
  </si>
  <si>
    <t>شريف شكرى محمد عبد الحافظ</t>
  </si>
  <si>
    <t>محمد حسن محمد كامل</t>
  </si>
  <si>
    <t>سامى ابراهيم محمد يوسف</t>
  </si>
  <si>
    <t>محمود على محمود حسن السيد</t>
  </si>
  <si>
    <t>عمرو عبد الكريم صقر بيومى صقر</t>
  </si>
  <si>
    <t>مختار احمد محمد المجدلى</t>
  </si>
  <si>
    <t>طارق محمد  جمعه عبدالله</t>
  </si>
  <si>
    <t>احمد محمد عبد السلام محمد</t>
  </si>
  <si>
    <t>محمد عبد الجواد محمد عبد الجواد</t>
  </si>
  <si>
    <t>منه الله محب عبد الغفار السيد</t>
  </si>
  <si>
    <t>نجوى ابراهيم محمود غنيم</t>
  </si>
  <si>
    <t>عاصم محمد سعيد عبده</t>
  </si>
  <si>
    <t>768-202-689</t>
  </si>
  <si>
    <t>619-180-439</t>
  </si>
  <si>
    <t>2-22</t>
  </si>
  <si>
    <t>Amr Mohamed Abdel Haleem Abdo Sleem</t>
  </si>
  <si>
    <t>محمد عبد العزيز عبد الحافظ محمد</t>
  </si>
  <si>
    <t>19 Fahmy Street</t>
  </si>
  <si>
    <t>Tahrir Square</t>
  </si>
  <si>
    <t>011-27539043</t>
  </si>
  <si>
    <t>عمرو محمد عبد الحليم عبده سليم</t>
  </si>
  <si>
    <t>012-06001000</t>
  </si>
  <si>
    <t>هند علاء الدين عبد السلام النشار</t>
  </si>
  <si>
    <t>خالد حسين عمر عبد القادر</t>
  </si>
  <si>
    <t>محمد فاروق محمد عبد الحليم</t>
  </si>
  <si>
    <t>ايرين زغلول نظير محارب</t>
  </si>
  <si>
    <t>حسين شريف محمد منير عامر</t>
  </si>
  <si>
    <t>محمود شعبان محمود حسن</t>
  </si>
  <si>
    <t>عمر عصام حنفى محمود</t>
  </si>
  <si>
    <t>محمد والى عبد الهادى محمد</t>
  </si>
  <si>
    <t>ياسمين صفوت صلاح الدين ابراهيم</t>
  </si>
  <si>
    <t>فرح عبدالله محمود النحاس</t>
  </si>
  <si>
    <t>3-25</t>
  </si>
  <si>
    <t>Mohamed Hussien Mohamed Mohamed</t>
  </si>
  <si>
    <t>محمد حسين محمد محمد حسين</t>
  </si>
  <si>
    <t>Mohamed Hussien Mohamed Mohamed Hussien</t>
  </si>
  <si>
    <t>Bachelor of Quality Control</t>
  </si>
  <si>
    <t>Technological Development</t>
  </si>
  <si>
    <t>2018</t>
  </si>
  <si>
    <t>Workers University</t>
  </si>
  <si>
    <t>13 El Sayed El Beblawy - from Hassan Al Akbar</t>
  </si>
  <si>
    <t>010-60283223</t>
  </si>
  <si>
    <t>Category</t>
  </si>
  <si>
    <t>NationalID</t>
  </si>
  <si>
    <t>EmployeeID/Code</t>
  </si>
  <si>
    <t>Mahmoud Ali Mohmoud Hussein El Sayed</t>
  </si>
  <si>
    <t>Department/Division</t>
  </si>
  <si>
    <t>NationalID Number</t>
  </si>
  <si>
    <t>NationalID Valid till</t>
  </si>
  <si>
    <t>Bar Association Number</t>
  </si>
  <si>
    <t>Bar Association Degree (درجة القيد)</t>
  </si>
  <si>
    <t>عبد الله عمرو عبد العزيز محمد حافظ</t>
  </si>
  <si>
    <t>Abd Allah Amr Abd El Aziz Mohamed Hafez</t>
  </si>
  <si>
    <t>مروة شريف عبد الحميد سلامة</t>
  </si>
  <si>
    <t>حازم ابراهيم عبد الحميد محمد فتاتة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</si>
</sst>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;[Red]0"/>
    <numFmt numFmtId="165" formatCode="[$-409]d\-mmm\-yy;@"/>
    <numFmt numFmtId="166" formatCode="[$-409]d\-mmm\-yyyy;@"/>
    <numFmt numFmtId="167" formatCode="[$-409]dd\-mmm\-yy;@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sz val="11"/>
      <color theme="2" tint="-0.89999084444715716"/>
      <name val="Cambria"/>
      <family val="1"/>
      <scheme val="major"/>
    </font>
    <font>
      <sz val="11"/>
      <name val="Cambria"/>
      <family val="1"/>
      <scheme val="major"/>
    </font>
    <font>
      <b/>
      <sz val="11"/>
      <color theme="2"/>
      <name val="Cambria"/>
      <family val="1"/>
      <scheme val="major"/>
    </font>
    <font>
      <b/>
      <sz val="11"/>
      <color theme="2" tint="-0.89999084444715716"/>
      <name val="Cambria"/>
      <family val="1"/>
      <scheme val="major"/>
    </font>
    <font>
      <b/>
      <sz val="11"/>
      <color theme="0"/>
      <name val="Cambria"/>
      <family val="1"/>
      <scheme val="major"/>
    </font>
    <font>
      <b/>
      <sz val="9"/>
      <color indexed="81"/>
      <name val="Tahoma"/>
      <family val="2"/>
    </font>
    <font>
      <sz val="11"/>
      <color theme="1"/>
      <name val="Courier New"/>
      <family val="3"/>
    </font>
    <font>
      <b/>
      <sz val="11"/>
      <color theme="2" tint="-0.89999084444715716"/>
      <name val="Courier New"/>
      <family val="3"/>
    </font>
    <font>
      <sz val="11"/>
      <color theme="2" tint="-0.89999084444715716"/>
      <name val="Courier New"/>
      <family val="3"/>
    </font>
    <font>
      <b/>
      <sz val="11"/>
      <color theme="0" tint="-4.9989318521683403E-2"/>
      <name val="Courier New"/>
      <family val="3"/>
    </font>
    <font>
      <b/>
      <sz val="11"/>
      <color theme="3" tint="-0.499984740745262"/>
      <name val="Courier New"/>
      <family val="3"/>
    </font>
    <font>
      <b/>
      <sz val="10"/>
      <color theme="3" tint="-0.499984740745262"/>
      <name val="Calibri"/>
      <family val="2"/>
    </font>
    <font>
      <b/>
      <sz val="11"/>
      <color theme="1"/>
      <name val="Courier New"/>
      <family val="3"/>
    </font>
    <font>
      <b/>
      <i/>
      <sz val="11"/>
      <color theme="1"/>
      <name val="Courier New"/>
      <family val="3"/>
    </font>
    <font>
      <b/>
      <sz val="11"/>
      <color theme="0"/>
      <name val="Courier New"/>
      <family val="3"/>
    </font>
    <font>
      <b/>
      <sz val="10"/>
      <color theme="1"/>
      <name val="Courier New"/>
      <family val="3"/>
    </font>
    <font>
      <sz val="9"/>
      <color theme="2" tint="-0.89999084444715716"/>
      <name val="Courier New"/>
      <family val="3"/>
    </font>
    <font>
      <b/>
      <sz val="16"/>
      <color theme="2"/>
      <name val="Bookman Old Style"/>
      <family val="1"/>
    </font>
    <font>
      <sz val="11"/>
      <name val="Courier New"/>
      <family val="3"/>
    </font>
    <font>
      <b/>
      <i/>
      <sz val="11"/>
      <name val="Courier New"/>
      <family val="3"/>
    </font>
    <font>
      <b/>
      <sz val="11"/>
      <name val="Courier New"/>
      <family val="3"/>
    </font>
    <font>
      <b/>
      <sz val="11"/>
      <color rgb="FFC00000"/>
      <name val="Courier New"/>
      <family val="3"/>
    </font>
    <font>
      <b/>
      <sz val="11"/>
      <color rgb="FFFF0000"/>
      <name val="Courier New"/>
      <family val="3"/>
    </font>
    <font>
      <sz val="11"/>
      <color rgb="FFFF0000"/>
      <name val="Courier New"/>
      <family val="3"/>
    </font>
    <font>
      <sz val="11"/>
      <color theme="0"/>
      <name val="Cambria"/>
      <family val="1"/>
      <scheme val="major"/>
    </font>
    <font>
      <sz val="11"/>
      <color rgb="FFFF0000"/>
      <name val="Cambria"/>
      <family val="1"/>
      <scheme val="major"/>
    </font>
    <font>
      <sz val="9"/>
      <color rgb="FFFF0000"/>
      <name val="Cambria"/>
      <family val="1"/>
      <scheme val="major"/>
    </font>
    <font>
      <sz val="9.5"/>
      <name val="Cambria"/>
      <family val="1"/>
      <scheme val="major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10"/>
      <color rgb="FFC0000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FE8A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theme="4" tint="0.79998168889431442"/>
      </patternFill>
    </fill>
  </fills>
  <borders count="4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263">
    <xf numFmtId="0" fontId="0" fillId="0" borderId="0" xfId="0"/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65" fontId="4" fillId="6" borderId="2" xfId="0" applyNumberFormat="1" applyFont="1" applyFill="1" applyBorder="1" applyAlignment="1">
      <alignment horizontal="center" vertical="center"/>
    </xf>
    <xf numFmtId="165" fontId="4" fillId="6" borderId="2" xfId="0" applyNumberFormat="1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/>
    </xf>
    <xf numFmtId="16" fontId="2" fillId="6" borderId="2" xfId="0" applyNumberFormat="1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49" fontId="4" fillId="6" borderId="18" xfId="0" applyNumberFormat="1" applyFont="1" applyFill="1" applyBorder="1" applyAlignment="1">
      <alignment horizontal="center" vertical="center"/>
    </xf>
    <xf numFmtId="165" fontId="4" fillId="6" borderId="16" xfId="0" applyNumberFormat="1" applyFont="1" applyFill="1" applyBorder="1" applyAlignment="1">
      <alignment horizontal="center" vertical="center"/>
    </xf>
    <xf numFmtId="49" fontId="4" fillId="6" borderId="17" xfId="0" applyNumberFormat="1" applyFont="1" applyFill="1" applyBorder="1" applyAlignment="1">
      <alignment horizontal="center" vertical="center"/>
    </xf>
    <xf numFmtId="0" fontId="9" fillId="0" borderId="0" xfId="0" applyFont="1"/>
    <xf numFmtId="15" fontId="11" fillId="4" borderId="2" xfId="0" applyNumberFormat="1" applyFont="1" applyFill="1" applyBorder="1" applyAlignment="1">
      <alignment horizontal="center" vertical="center" wrapText="1"/>
    </xf>
    <xf numFmtId="15" fontId="11" fillId="7" borderId="2" xfId="0" applyNumberFormat="1" applyFont="1" applyFill="1" applyBorder="1" applyAlignment="1">
      <alignment horizontal="center" vertical="center" wrapText="1"/>
    </xf>
    <xf numFmtId="15" fontId="10" fillId="8" borderId="2" xfId="0" applyNumberFormat="1" applyFont="1" applyFill="1" applyBorder="1" applyAlignment="1">
      <alignment horizontal="center" vertical="center" wrapText="1"/>
    </xf>
    <xf numFmtId="0" fontId="13" fillId="7" borderId="23" xfId="0" applyFont="1" applyFill="1" applyBorder="1" applyAlignment="1">
      <alignment horizontal="center" vertical="center"/>
    </xf>
    <xf numFmtId="0" fontId="13" fillId="11" borderId="23" xfId="0" applyFont="1" applyFill="1" applyBorder="1" applyAlignment="1">
      <alignment horizontal="center" vertical="center"/>
    </xf>
    <xf numFmtId="0" fontId="13" fillId="9" borderId="23" xfId="0" applyFont="1" applyFill="1" applyBorder="1" applyAlignment="1">
      <alignment horizontal="center" vertical="center"/>
    </xf>
    <xf numFmtId="15" fontId="11" fillId="12" borderId="2" xfId="0" applyNumberFormat="1" applyFont="1" applyFill="1" applyBorder="1" applyAlignment="1">
      <alignment horizontal="center" vertical="center" wrapText="1"/>
    </xf>
    <xf numFmtId="165" fontId="4" fillId="4" borderId="2" xfId="0" applyNumberFormat="1" applyFont="1" applyFill="1" applyBorder="1" applyAlignment="1">
      <alignment horizontal="center" vertical="center"/>
    </xf>
    <xf numFmtId="0" fontId="15" fillId="10" borderId="41" xfId="0" applyFont="1" applyFill="1" applyBorder="1" applyAlignment="1">
      <alignment vertical="center"/>
    </xf>
    <xf numFmtId="15" fontId="19" fillId="4" borderId="2" xfId="0" applyNumberFormat="1" applyFont="1" applyFill="1" applyBorder="1" applyAlignment="1">
      <alignment horizontal="center" vertical="center" wrapText="1"/>
    </xf>
    <xf numFmtId="0" fontId="9" fillId="17" borderId="33" xfId="0" applyFont="1" applyFill="1" applyBorder="1"/>
    <xf numFmtId="0" fontId="9" fillId="17" borderId="0" xfId="0" applyFont="1" applyFill="1"/>
    <xf numFmtId="0" fontId="9" fillId="17" borderId="0" xfId="0" applyFont="1" applyFill="1" applyAlignment="1">
      <alignment horizontal="center"/>
    </xf>
    <xf numFmtId="0" fontId="9" fillId="17" borderId="34" xfId="0" applyFont="1" applyFill="1" applyBorder="1" applyAlignment="1">
      <alignment horizontal="center"/>
    </xf>
    <xf numFmtId="0" fontId="21" fillId="17" borderId="33" xfId="0" applyFont="1" applyFill="1" applyBorder="1"/>
    <xf numFmtId="0" fontId="21" fillId="17" borderId="0" xfId="0" applyFont="1" applyFill="1"/>
    <xf numFmtId="0" fontId="22" fillId="17" borderId="0" xfId="0" applyFont="1" applyFill="1" applyAlignment="1">
      <alignment horizontal="center" vertical="center"/>
    </xf>
    <xf numFmtId="0" fontId="21" fillId="17" borderId="0" xfId="0" applyFont="1" applyFill="1" applyAlignment="1">
      <alignment horizontal="center" vertical="center"/>
    </xf>
    <xf numFmtId="0" fontId="21" fillId="17" borderId="0" xfId="0" applyFont="1" applyFill="1" applyAlignment="1">
      <alignment horizontal="center"/>
    </xf>
    <xf numFmtId="0" fontId="21" fillId="17" borderId="34" xfId="0" applyFont="1" applyFill="1" applyBorder="1"/>
    <xf numFmtId="0" fontId="9" fillId="17" borderId="0" xfId="0" applyFont="1" applyFill="1" applyAlignment="1">
      <alignment horizontal="center" vertical="center"/>
    </xf>
    <xf numFmtId="0" fontId="9" fillId="17" borderId="34" xfId="0" applyFont="1" applyFill="1" applyBorder="1"/>
    <xf numFmtId="165" fontId="11" fillId="4" borderId="3" xfId="0" applyNumberFormat="1" applyFont="1" applyFill="1" applyBorder="1" applyAlignment="1">
      <alignment horizontal="center" vertical="center" wrapText="1"/>
    </xf>
    <xf numFmtId="165" fontId="11" fillId="7" borderId="3" xfId="0" applyNumberFormat="1" applyFont="1" applyFill="1" applyBorder="1" applyAlignment="1">
      <alignment horizontal="center" vertical="center" wrapText="1"/>
    </xf>
    <xf numFmtId="165" fontId="11" fillId="4" borderId="2" xfId="0" applyNumberFormat="1" applyFont="1" applyFill="1" applyBorder="1" applyAlignment="1">
      <alignment horizontal="center" vertical="center" wrapText="1"/>
    </xf>
    <xf numFmtId="165" fontId="10" fillId="8" borderId="2" xfId="0" applyNumberFormat="1" applyFont="1" applyFill="1" applyBorder="1" applyAlignment="1">
      <alignment horizontal="center" vertical="center" wrapText="1"/>
    </xf>
    <xf numFmtId="165" fontId="11" fillId="7" borderId="2" xfId="0" applyNumberFormat="1" applyFont="1" applyFill="1" applyBorder="1" applyAlignment="1">
      <alignment horizontal="center" vertical="center" wrapText="1"/>
    </xf>
    <xf numFmtId="165" fontId="11" fillId="12" borderId="2" xfId="0" applyNumberFormat="1" applyFont="1" applyFill="1" applyBorder="1" applyAlignment="1">
      <alignment horizontal="center" vertical="center" wrapText="1"/>
    </xf>
    <xf numFmtId="165" fontId="12" fillId="5" borderId="9" xfId="0" applyNumberFormat="1" applyFont="1" applyFill="1" applyBorder="1" applyAlignment="1">
      <alignment horizontal="center" vertical="center" wrapText="1"/>
    </xf>
    <xf numFmtId="165" fontId="9" fillId="0" borderId="0" xfId="0" applyNumberFormat="1" applyFont="1"/>
    <xf numFmtId="165" fontId="12" fillId="5" borderId="2" xfId="0" applyNumberFormat="1" applyFont="1" applyFill="1" applyBorder="1" applyAlignment="1">
      <alignment vertical="center" wrapText="1"/>
    </xf>
    <xf numFmtId="165" fontId="2" fillId="0" borderId="0" xfId="0" applyNumberFormat="1" applyFont="1" applyAlignment="1">
      <alignment horizontal="center" vertical="center"/>
    </xf>
    <xf numFmtId="167" fontId="2" fillId="4" borderId="2" xfId="0" applyNumberFormat="1" applyFont="1" applyFill="1" applyBorder="1" applyAlignment="1">
      <alignment horizontal="center" vertical="center"/>
    </xf>
    <xf numFmtId="167" fontId="7" fillId="14" borderId="2" xfId="0" applyNumberFormat="1" applyFont="1" applyFill="1" applyBorder="1" applyAlignment="1">
      <alignment horizontal="center" vertical="center" wrapText="1"/>
    </xf>
    <xf numFmtId="167" fontId="2" fillId="9" borderId="2" xfId="0" applyNumberFormat="1" applyFont="1" applyFill="1" applyBorder="1" applyAlignment="1">
      <alignment horizontal="center" vertical="center"/>
    </xf>
    <xf numFmtId="167" fontId="0" fillId="0" borderId="0" xfId="0" applyNumberFormat="1"/>
    <xf numFmtId="49" fontId="12" fillId="5" borderId="9" xfId="0" applyNumberFormat="1" applyFont="1" applyFill="1" applyBorder="1" applyAlignment="1">
      <alignment horizontal="center" vertical="center" wrapText="1"/>
    </xf>
    <xf numFmtId="165" fontId="23" fillId="20" borderId="2" xfId="0" applyNumberFormat="1" applyFont="1" applyFill="1" applyBorder="1" applyAlignment="1">
      <alignment horizontal="center" vertical="center" wrapText="1"/>
    </xf>
    <xf numFmtId="0" fontId="24" fillId="13" borderId="23" xfId="0" applyFont="1" applyFill="1" applyBorder="1" applyAlignment="1">
      <alignment horizontal="center" vertical="center"/>
    </xf>
    <xf numFmtId="165" fontId="25" fillId="21" borderId="9" xfId="0" applyNumberFormat="1" applyFont="1" applyFill="1" applyBorder="1" applyAlignment="1">
      <alignment horizontal="center" vertical="center" wrapText="1"/>
    </xf>
    <xf numFmtId="165" fontId="25" fillId="21" borderId="2" xfId="0" applyNumberFormat="1" applyFont="1" applyFill="1" applyBorder="1" applyAlignment="1">
      <alignment vertical="center" wrapText="1"/>
    </xf>
    <xf numFmtId="165" fontId="26" fillId="21" borderId="2" xfId="0" applyNumberFormat="1" applyFont="1" applyFill="1" applyBorder="1" applyAlignment="1">
      <alignment horizontal="center" vertical="center" wrapText="1"/>
    </xf>
    <xf numFmtId="15" fontId="26" fillId="21" borderId="2" xfId="0" applyNumberFormat="1" applyFont="1" applyFill="1" applyBorder="1" applyAlignment="1">
      <alignment horizontal="center" vertical="center" wrapText="1"/>
    </xf>
    <xf numFmtId="165" fontId="25" fillId="21" borderId="2" xfId="0" applyNumberFormat="1" applyFont="1" applyFill="1" applyBorder="1" applyAlignment="1">
      <alignment horizontal="center" vertical="center" wrapText="1"/>
    </xf>
    <xf numFmtId="15" fontId="25" fillId="21" borderId="2" xfId="0" applyNumberFormat="1" applyFont="1" applyFill="1" applyBorder="1" applyAlignment="1">
      <alignment horizontal="center" vertical="center" wrapText="1"/>
    </xf>
    <xf numFmtId="49" fontId="5" fillId="22" borderId="5" xfId="0" applyNumberFormat="1" applyFont="1" applyFill="1" applyBorder="1" applyAlignment="1">
      <alignment horizontal="center"/>
    </xf>
    <xf numFmtId="0" fontId="5" fillId="22" borderId="3" xfId="0" applyFont="1" applyFill="1" applyBorder="1" applyAlignment="1">
      <alignment horizontal="center"/>
    </xf>
    <xf numFmtId="0" fontId="5" fillId="22" borderId="12" xfId="0" applyFont="1" applyFill="1" applyBorder="1" applyAlignment="1">
      <alignment horizontal="center"/>
    </xf>
    <xf numFmtId="49" fontId="5" fillId="22" borderId="6" xfId="0" applyNumberFormat="1" applyFont="1" applyFill="1" applyBorder="1" applyAlignment="1">
      <alignment horizontal="center"/>
    </xf>
    <xf numFmtId="0" fontId="5" fillId="22" borderId="4" xfId="0" applyFont="1" applyFill="1" applyBorder="1" applyAlignment="1">
      <alignment horizontal="center"/>
    </xf>
    <xf numFmtId="0" fontId="5" fillId="22" borderId="10" xfId="0" applyFont="1" applyFill="1" applyBorder="1" applyAlignment="1">
      <alignment horizontal="center"/>
    </xf>
    <xf numFmtId="0" fontId="5" fillId="25" borderId="16" xfId="0" applyFont="1" applyFill="1" applyBorder="1" applyAlignment="1">
      <alignment horizontal="center"/>
    </xf>
    <xf numFmtId="0" fontId="5" fillId="25" borderId="2" xfId="0" applyFont="1" applyFill="1" applyBorder="1" applyAlignment="1">
      <alignment horizontal="center"/>
    </xf>
    <xf numFmtId="49" fontId="5" fillId="25" borderId="17" xfId="0" applyNumberFormat="1" applyFont="1" applyFill="1" applyBorder="1" applyAlignment="1">
      <alignment horizontal="center"/>
    </xf>
    <xf numFmtId="0" fontId="5" fillId="25" borderId="17" xfId="0" applyFont="1" applyFill="1" applyBorder="1" applyAlignment="1">
      <alignment horizontal="center"/>
    </xf>
    <xf numFmtId="49" fontId="5" fillId="25" borderId="2" xfId="0" applyNumberFormat="1" applyFont="1" applyFill="1" applyBorder="1" applyAlignment="1">
      <alignment horizontal="center"/>
    </xf>
    <xf numFmtId="0" fontId="5" fillId="22" borderId="3" xfId="0" applyFont="1" applyFill="1" applyBorder="1" applyAlignment="1">
      <alignment horizontal="center" vertical="center"/>
    </xf>
    <xf numFmtId="0" fontId="5" fillId="22" borderId="18" xfId="0" applyFont="1" applyFill="1" applyBorder="1" applyAlignment="1">
      <alignment horizontal="center"/>
    </xf>
    <xf numFmtId="0" fontId="5" fillId="22" borderId="11" xfId="0" applyFont="1" applyFill="1" applyBorder="1" applyAlignment="1">
      <alignment horizontal="center"/>
    </xf>
    <xf numFmtId="165" fontId="5" fillId="22" borderId="12" xfId="0" applyNumberFormat="1" applyFont="1" applyFill="1" applyBorder="1" applyAlignment="1">
      <alignment horizontal="center"/>
    </xf>
    <xf numFmtId="0" fontId="5" fillId="22" borderId="11" xfId="0" applyFont="1" applyFill="1" applyBorder="1"/>
    <xf numFmtId="49" fontId="5" fillId="22" borderId="18" xfId="0" applyNumberFormat="1" applyFont="1" applyFill="1" applyBorder="1" applyAlignment="1">
      <alignment horizontal="center"/>
    </xf>
    <xf numFmtId="0" fontId="5" fillId="22" borderId="16" xfId="0" applyFont="1" applyFill="1" applyBorder="1" applyAlignment="1">
      <alignment horizontal="center"/>
    </xf>
    <xf numFmtId="0" fontId="5" fillId="22" borderId="17" xfId="0" applyFont="1" applyFill="1" applyBorder="1" applyAlignment="1">
      <alignment horizontal="center"/>
    </xf>
    <xf numFmtId="0" fontId="5" fillId="22" borderId="8" xfId="0" applyFont="1" applyFill="1" applyBorder="1" applyAlignment="1">
      <alignment horizontal="center"/>
    </xf>
    <xf numFmtId="0" fontId="5" fillId="22" borderId="2" xfId="0" applyFont="1" applyFill="1" applyBorder="1" applyAlignment="1">
      <alignment horizontal="center"/>
    </xf>
    <xf numFmtId="165" fontId="5" fillId="22" borderId="10" xfId="0" applyNumberFormat="1" applyFont="1" applyFill="1" applyBorder="1" applyAlignment="1">
      <alignment horizontal="center"/>
    </xf>
    <xf numFmtId="0" fontId="5" fillId="22" borderId="5" xfId="0" applyFont="1" applyFill="1" applyBorder="1"/>
    <xf numFmtId="0" fontId="5" fillId="22" borderId="7" xfId="0" applyFont="1" applyFill="1" applyBorder="1"/>
    <xf numFmtId="0" fontId="5" fillId="22" borderId="24" xfId="0" applyFont="1" applyFill="1" applyBorder="1" applyAlignment="1">
      <alignment horizontal="center"/>
    </xf>
    <xf numFmtId="0" fontId="2" fillId="23" borderId="8" xfId="0" applyFont="1" applyFill="1" applyBorder="1" applyAlignment="1">
      <alignment horizontal="center" vertical="center"/>
    </xf>
    <xf numFmtId="49" fontId="2" fillId="23" borderId="2" xfId="0" applyNumberFormat="1" applyFont="1" applyFill="1" applyBorder="1" applyAlignment="1">
      <alignment horizontal="center" vertical="center"/>
    </xf>
    <xf numFmtId="15" fontId="2" fillId="23" borderId="2" xfId="0" applyNumberFormat="1" applyFont="1" applyFill="1" applyBorder="1" applyAlignment="1">
      <alignment horizontal="center" vertical="center"/>
    </xf>
    <xf numFmtId="167" fontId="2" fillId="23" borderId="2" xfId="0" applyNumberFormat="1" applyFont="1" applyFill="1" applyBorder="1" applyAlignment="1">
      <alignment horizontal="center" vertical="center"/>
    </xf>
    <xf numFmtId="0" fontId="4" fillId="23" borderId="2" xfId="0" applyFont="1" applyFill="1" applyBorder="1" applyAlignment="1">
      <alignment horizontal="center" vertical="center"/>
    </xf>
    <xf numFmtId="0" fontId="2" fillId="23" borderId="2" xfId="0" applyFont="1" applyFill="1" applyBorder="1" applyAlignment="1">
      <alignment horizontal="center" vertical="center"/>
    </xf>
    <xf numFmtId="0" fontId="3" fillId="23" borderId="2" xfId="0" applyFont="1" applyFill="1" applyBorder="1" applyAlignment="1">
      <alignment horizontal="center" vertical="center"/>
    </xf>
    <xf numFmtId="165" fontId="4" fillId="23" borderId="9" xfId="0" applyNumberFormat="1" applyFont="1" applyFill="1" applyBorder="1" applyAlignment="1">
      <alignment horizontal="center" vertical="center"/>
    </xf>
    <xf numFmtId="164" fontId="4" fillId="23" borderId="16" xfId="0" applyNumberFormat="1" applyFont="1" applyFill="1" applyBorder="1" applyAlignment="1">
      <alignment horizontal="center"/>
    </xf>
    <xf numFmtId="165" fontId="4" fillId="23" borderId="17" xfId="0" applyNumberFormat="1" applyFont="1" applyFill="1" applyBorder="1" applyAlignment="1">
      <alignment horizontal="center" vertical="center"/>
    </xf>
    <xf numFmtId="164" fontId="4" fillId="23" borderId="8" xfId="0" applyNumberFormat="1" applyFont="1" applyFill="1" applyBorder="1" applyAlignment="1">
      <alignment horizontal="center"/>
    </xf>
    <xf numFmtId="164" fontId="4" fillId="23" borderId="2" xfId="0" applyNumberFormat="1" applyFont="1" applyFill="1" applyBorder="1" applyAlignment="1">
      <alignment horizontal="center"/>
    </xf>
    <xf numFmtId="165" fontId="2" fillId="23" borderId="9" xfId="0" applyNumberFormat="1" applyFont="1" applyFill="1" applyBorder="1" applyAlignment="1">
      <alignment horizontal="center" vertical="center"/>
    </xf>
    <xf numFmtId="1" fontId="2" fillId="23" borderId="16" xfId="0" applyNumberFormat="1" applyFont="1" applyFill="1" applyBorder="1" applyAlignment="1">
      <alignment horizontal="center" vertical="center"/>
    </xf>
    <xf numFmtId="164" fontId="4" fillId="23" borderId="8" xfId="0" applyNumberFormat="1" applyFont="1" applyFill="1" applyBorder="1" applyAlignment="1">
      <alignment horizontal="center" vertical="center"/>
    </xf>
    <xf numFmtId="164" fontId="4" fillId="23" borderId="2" xfId="0" applyNumberFormat="1" applyFont="1" applyFill="1" applyBorder="1" applyAlignment="1">
      <alignment horizontal="center" vertical="center"/>
    </xf>
    <xf numFmtId="0" fontId="13" fillId="23" borderId="23" xfId="0" applyFont="1" applyFill="1" applyBorder="1" applyAlignment="1">
      <alignment horizontal="center" vertical="center"/>
    </xf>
    <xf numFmtId="0" fontId="14" fillId="23" borderId="23" xfId="0" applyFont="1" applyFill="1" applyBorder="1" applyAlignment="1">
      <alignment horizontal="center" vertical="center"/>
    </xf>
    <xf numFmtId="0" fontId="10" fillId="24" borderId="2" xfId="0" applyFont="1" applyFill="1" applyBorder="1" applyAlignment="1">
      <alignment horizontal="center" vertical="center" wrapText="1"/>
    </xf>
    <xf numFmtId="0" fontId="17" fillId="22" borderId="22" xfId="0" applyFont="1" applyFill="1" applyBorder="1" applyAlignment="1">
      <alignment horizontal="center" vertical="center" wrapText="1"/>
    </xf>
    <xf numFmtId="165" fontId="17" fillId="22" borderId="18" xfId="0" applyNumberFormat="1" applyFont="1" applyFill="1" applyBorder="1" applyAlignment="1">
      <alignment horizontal="center" vertical="center" wrapText="1"/>
    </xf>
    <xf numFmtId="165" fontId="13" fillId="23" borderId="18" xfId="0" applyNumberFormat="1" applyFont="1" applyFill="1" applyBorder="1" applyAlignment="1">
      <alignment horizontal="center" vertical="center"/>
    </xf>
    <xf numFmtId="165" fontId="14" fillId="23" borderId="40" xfId="0" applyNumberFormat="1" applyFont="1" applyFill="1" applyBorder="1" applyAlignment="1">
      <alignment horizontal="center" vertical="center"/>
    </xf>
    <xf numFmtId="165" fontId="13" fillId="23" borderId="23" xfId="0" applyNumberFormat="1" applyFont="1" applyFill="1" applyBorder="1" applyAlignment="1">
      <alignment horizontal="center" vertical="center"/>
    </xf>
    <xf numFmtId="165" fontId="24" fillId="13" borderId="18" xfId="0" applyNumberFormat="1" applyFont="1" applyFill="1" applyBorder="1" applyAlignment="1">
      <alignment horizontal="center" vertical="center"/>
    </xf>
    <xf numFmtId="165" fontId="24" fillId="13" borderId="23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49" fontId="15" fillId="24" borderId="23" xfId="0" applyNumberFormat="1" applyFont="1" applyFill="1" applyBorder="1" applyAlignment="1">
      <alignment horizontal="center" vertical="center"/>
    </xf>
    <xf numFmtId="49" fontId="15" fillId="23" borderId="23" xfId="0" applyNumberFormat="1" applyFont="1" applyFill="1" applyBorder="1" applyAlignment="1">
      <alignment horizontal="center" vertical="center"/>
    </xf>
    <xf numFmtId="0" fontId="15" fillId="0" borderId="0" xfId="0" applyFont="1"/>
    <xf numFmtId="0" fontId="13" fillId="23" borderId="18" xfId="0" applyFont="1" applyFill="1" applyBorder="1" applyAlignment="1">
      <alignment horizontal="center" vertical="center"/>
    </xf>
    <xf numFmtId="49" fontId="28" fillId="13" borderId="2" xfId="0" applyNumberFormat="1" applyFont="1" applyFill="1" applyBorder="1" applyAlignment="1">
      <alignment horizontal="center" vertical="center"/>
    </xf>
    <xf numFmtId="0" fontId="28" fillId="13" borderId="2" xfId="0" applyFont="1" applyFill="1" applyBorder="1" applyAlignment="1">
      <alignment horizontal="center" vertical="center"/>
    </xf>
    <xf numFmtId="165" fontId="28" fillId="13" borderId="9" xfId="0" applyNumberFormat="1" applyFont="1" applyFill="1" applyBorder="1" applyAlignment="1">
      <alignment horizontal="center" vertical="center"/>
    </xf>
    <xf numFmtId="165" fontId="28" fillId="13" borderId="16" xfId="0" applyNumberFormat="1" applyFont="1" applyFill="1" applyBorder="1" applyAlignment="1">
      <alignment horizontal="center" vertical="center"/>
    </xf>
    <xf numFmtId="165" fontId="28" fillId="13" borderId="2" xfId="0" applyNumberFormat="1" applyFont="1" applyFill="1" applyBorder="1" applyAlignment="1">
      <alignment horizontal="center" vertical="center"/>
    </xf>
    <xf numFmtId="49" fontId="28" fillId="13" borderId="17" xfId="0" applyNumberFormat="1" applyFont="1" applyFill="1" applyBorder="1" applyAlignment="1">
      <alignment horizontal="center" vertical="center"/>
    </xf>
    <xf numFmtId="49" fontId="28" fillId="13" borderId="18" xfId="0" applyNumberFormat="1" applyFont="1" applyFill="1" applyBorder="1" applyAlignment="1">
      <alignment horizontal="center" vertical="center"/>
    </xf>
    <xf numFmtId="1" fontId="28" fillId="13" borderId="16" xfId="0" applyNumberFormat="1" applyFont="1" applyFill="1" applyBorder="1" applyAlignment="1">
      <alignment horizontal="center" vertical="center"/>
    </xf>
    <xf numFmtId="165" fontId="28" fillId="13" borderId="17" xfId="0" applyNumberFormat="1" applyFont="1" applyFill="1" applyBorder="1" applyAlignment="1">
      <alignment horizontal="center" vertical="center"/>
    </xf>
    <xf numFmtId="0" fontId="28" fillId="13" borderId="16" xfId="0" applyFont="1" applyFill="1" applyBorder="1" applyAlignment="1">
      <alignment horizontal="center" vertical="center"/>
    </xf>
    <xf numFmtId="0" fontId="28" fillId="13" borderId="17" xfId="0" applyFont="1" applyFill="1" applyBorder="1" applyAlignment="1">
      <alignment horizontal="center" vertical="center"/>
    </xf>
    <xf numFmtId="0" fontId="28" fillId="13" borderId="8" xfId="0" applyFont="1" applyFill="1" applyBorder="1" applyAlignment="1">
      <alignment horizontal="center" vertical="center"/>
    </xf>
    <xf numFmtId="15" fontId="28" fillId="13" borderId="2" xfId="0" applyNumberFormat="1" applyFont="1" applyFill="1" applyBorder="1" applyAlignment="1">
      <alignment horizontal="center" vertical="center"/>
    </xf>
    <xf numFmtId="167" fontId="28" fillId="13" borderId="2" xfId="0" applyNumberFormat="1" applyFont="1" applyFill="1" applyBorder="1" applyAlignment="1">
      <alignment horizontal="center" vertical="center"/>
    </xf>
    <xf numFmtId="0" fontId="28" fillId="13" borderId="2" xfId="0" applyFont="1" applyFill="1" applyBorder="1" applyAlignment="1">
      <alignment horizontal="center" vertical="center" wrapText="1"/>
    </xf>
    <xf numFmtId="164" fontId="28" fillId="13" borderId="16" xfId="0" applyNumberFormat="1" applyFont="1" applyFill="1" applyBorder="1" applyAlignment="1">
      <alignment horizontal="center"/>
    </xf>
    <xf numFmtId="164" fontId="28" fillId="13" borderId="8" xfId="0" applyNumberFormat="1" applyFont="1" applyFill="1" applyBorder="1" applyAlignment="1">
      <alignment horizontal="center"/>
    </xf>
    <xf numFmtId="164" fontId="28" fillId="13" borderId="2" xfId="0" applyNumberFormat="1" applyFont="1" applyFill="1" applyBorder="1" applyAlignment="1">
      <alignment horizontal="center"/>
    </xf>
    <xf numFmtId="0" fontId="28" fillId="13" borderId="2" xfId="1" applyFont="1" applyFill="1" applyBorder="1" applyAlignment="1">
      <alignment horizontal="center" vertical="center"/>
    </xf>
    <xf numFmtId="165" fontId="29" fillId="13" borderId="2" xfId="0" applyNumberFormat="1" applyFont="1" applyFill="1" applyBorder="1" applyAlignment="1">
      <alignment horizontal="center" vertical="center"/>
    </xf>
    <xf numFmtId="165" fontId="30" fillId="6" borderId="2" xfId="0" applyNumberFormat="1" applyFont="1" applyFill="1" applyBorder="1" applyAlignment="1">
      <alignment horizontal="center" vertical="center"/>
    </xf>
    <xf numFmtId="164" fontId="28" fillId="13" borderId="8" xfId="0" applyNumberFormat="1" applyFont="1" applyFill="1" applyBorder="1" applyAlignment="1">
      <alignment horizontal="center" vertical="center"/>
    </xf>
    <xf numFmtId="164" fontId="28" fillId="13" borderId="2" xfId="0" applyNumberFormat="1" applyFont="1" applyFill="1" applyBorder="1" applyAlignment="1">
      <alignment horizontal="center" vertical="center"/>
    </xf>
    <xf numFmtId="49" fontId="24" fillId="13" borderId="23" xfId="0" applyNumberFormat="1" applyFont="1" applyFill="1" applyBorder="1" applyAlignment="1">
      <alignment horizontal="center" vertical="center"/>
    </xf>
    <xf numFmtId="16" fontId="28" fillId="13" borderId="2" xfId="0" applyNumberFormat="1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24" fillId="13" borderId="18" xfId="0" applyFont="1" applyFill="1" applyBorder="1" applyAlignment="1">
      <alignment horizontal="center" vertical="center"/>
    </xf>
    <xf numFmtId="1" fontId="4" fillId="23" borderId="16" xfId="0" applyNumberFormat="1" applyFont="1" applyFill="1" applyBorder="1" applyAlignment="1">
      <alignment horizontal="center" vertical="center"/>
    </xf>
    <xf numFmtId="165" fontId="4" fillId="10" borderId="2" xfId="0" applyNumberFormat="1" applyFont="1" applyFill="1" applyBorder="1" applyAlignment="1">
      <alignment horizontal="center" vertical="center"/>
    </xf>
    <xf numFmtId="164" fontId="4" fillId="10" borderId="2" xfId="0" applyNumberFormat="1" applyFont="1" applyFill="1" applyBorder="1" applyAlignment="1">
      <alignment horizontal="center"/>
    </xf>
    <xf numFmtId="0" fontId="33" fillId="13" borderId="23" xfId="0" applyFont="1" applyFill="1" applyBorder="1" applyAlignment="1">
      <alignment horizontal="center" vertical="center"/>
    </xf>
    <xf numFmtId="165" fontId="33" fillId="13" borderId="40" xfId="0" applyNumberFormat="1" applyFont="1" applyFill="1" applyBorder="1" applyAlignment="1">
      <alignment horizontal="center" vertical="center"/>
    </xf>
    <xf numFmtId="0" fontId="6" fillId="24" borderId="2" xfId="0" applyFont="1" applyFill="1" applyBorder="1" applyAlignment="1">
      <alignment horizontal="left" vertical="center" wrapText="1"/>
    </xf>
    <xf numFmtId="0" fontId="3" fillId="23" borderId="2" xfId="0" applyFont="1" applyFill="1" applyBorder="1" applyAlignment="1">
      <alignment horizontal="left" vertical="center" wrapText="1"/>
    </xf>
    <xf numFmtId="0" fontId="6" fillId="24" borderId="2" xfId="0" applyFont="1" applyFill="1" applyBorder="1" applyAlignment="1">
      <alignment horizontal="left" vertical="center"/>
    </xf>
    <xf numFmtId="0" fontId="4" fillId="23" borderId="2" xfId="0" applyFont="1" applyFill="1" applyBorder="1" applyAlignment="1">
      <alignment horizontal="left" vertical="center"/>
    </xf>
    <xf numFmtId="0" fontId="4" fillId="26" borderId="2" xfId="0" applyFont="1" applyFill="1" applyBorder="1" applyAlignment="1">
      <alignment horizontal="left" vertical="center"/>
    </xf>
    <xf numFmtId="0" fontId="4" fillId="23" borderId="2" xfId="1" applyFont="1" applyFill="1" applyBorder="1" applyAlignment="1">
      <alignment horizontal="left" vertical="center"/>
    </xf>
    <xf numFmtId="0" fontId="6" fillId="24" borderId="2" xfId="0" applyFont="1" applyFill="1" applyBorder="1" applyAlignment="1">
      <alignment horizontal="right" vertical="center" wrapText="1"/>
    </xf>
    <xf numFmtId="0" fontId="3" fillId="23" borderId="2" xfId="0" applyFont="1" applyFill="1" applyBorder="1" applyAlignment="1">
      <alignment horizontal="right" vertical="center" wrapText="1"/>
    </xf>
    <xf numFmtId="0" fontId="6" fillId="24" borderId="2" xfId="0" applyFont="1" applyFill="1" applyBorder="1" applyAlignment="1">
      <alignment horizontal="right" vertical="center"/>
    </xf>
    <xf numFmtId="0" fontId="4" fillId="23" borderId="2" xfId="0" applyFont="1" applyFill="1" applyBorder="1" applyAlignment="1">
      <alignment horizontal="right" vertical="center"/>
    </xf>
    <xf numFmtId="0" fontId="4" fillId="26" borderId="2" xfId="0" applyFont="1" applyFill="1" applyBorder="1" applyAlignment="1">
      <alignment horizontal="right" vertical="center"/>
    </xf>
    <xf numFmtId="0" fontId="4" fillId="23" borderId="2" xfId="1" applyFont="1" applyFill="1" applyBorder="1" applyAlignment="1">
      <alignment horizontal="right" vertical="center"/>
    </xf>
    <xf numFmtId="49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167" fontId="5" fillId="3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22" borderId="13" xfId="0" applyFont="1" applyFill="1" applyBorder="1" applyAlignment="1">
      <alignment horizontal="center"/>
    </xf>
    <xf numFmtId="0" fontId="5" fillId="22" borderId="14" xfId="0" applyFont="1" applyFill="1" applyBorder="1" applyAlignment="1">
      <alignment horizontal="center"/>
    </xf>
    <xf numFmtId="0" fontId="5" fillId="22" borderId="15" xfId="0" applyFont="1" applyFill="1" applyBorder="1" applyAlignment="1">
      <alignment horizontal="center"/>
    </xf>
    <xf numFmtId="0" fontId="5" fillId="22" borderId="18" xfId="0" applyFont="1" applyFill="1" applyBorder="1" applyAlignment="1">
      <alignment horizontal="center"/>
    </xf>
    <xf numFmtId="0" fontId="5" fillId="22" borderId="8" xfId="0" applyFont="1" applyFill="1" applyBorder="1" applyAlignment="1">
      <alignment horizontal="center"/>
    </xf>
    <xf numFmtId="0" fontId="5" fillId="22" borderId="19" xfId="0" applyFont="1" applyFill="1" applyBorder="1" applyAlignment="1">
      <alignment horizontal="center"/>
    </xf>
    <xf numFmtId="0" fontId="5" fillId="22" borderId="20" xfId="0" applyFont="1" applyFill="1" applyBorder="1" applyAlignment="1">
      <alignment horizontal="center"/>
    </xf>
    <xf numFmtId="0" fontId="5" fillId="22" borderId="21" xfId="0" applyFont="1" applyFill="1" applyBorder="1" applyAlignment="1">
      <alignment horizontal="center"/>
    </xf>
    <xf numFmtId="49" fontId="5" fillId="22" borderId="12" xfId="0" applyNumberFormat="1" applyFont="1" applyFill="1" applyBorder="1" applyAlignment="1">
      <alignment horizontal="center" vertical="center"/>
    </xf>
    <xf numFmtId="49" fontId="5" fillId="22" borderId="11" xfId="0" applyNumberFormat="1" applyFont="1" applyFill="1" applyBorder="1" applyAlignment="1">
      <alignment horizontal="center" vertical="center"/>
    </xf>
    <xf numFmtId="0" fontId="5" fillId="22" borderId="12" xfId="0" applyFont="1" applyFill="1" applyBorder="1" applyAlignment="1">
      <alignment horizontal="center" vertical="center"/>
    </xf>
    <xf numFmtId="0" fontId="5" fillId="22" borderId="11" xfId="0" applyFont="1" applyFill="1" applyBorder="1" applyAlignment="1">
      <alignment horizontal="center" vertical="center"/>
    </xf>
    <xf numFmtId="165" fontId="12" fillId="3" borderId="2" xfId="0" applyNumberFormat="1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49" fontId="12" fillId="5" borderId="9" xfId="0" applyNumberFormat="1" applyFont="1" applyFill="1" applyBorder="1" applyAlignment="1">
      <alignment horizontal="left" vertical="center" wrapText="1"/>
    </xf>
    <xf numFmtId="49" fontId="12" fillId="5" borderId="8" xfId="0" applyNumberFormat="1" applyFont="1" applyFill="1" applyBorder="1" applyAlignment="1">
      <alignment horizontal="left" vertical="center" wrapText="1"/>
    </xf>
    <xf numFmtId="0" fontId="12" fillId="5" borderId="9" xfId="0" applyFont="1" applyFill="1" applyBorder="1" applyAlignment="1">
      <alignment horizontal="left" vertical="center" wrapText="1"/>
    </xf>
    <xf numFmtId="0" fontId="12" fillId="5" borderId="8" xfId="0" applyFont="1" applyFill="1" applyBorder="1" applyAlignment="1">
      <alignment horizontal="left" vertical="center" wrapText="1"/>
    </xf>
    <xf numFmtId="0" fontId="25" fillId="21" borderId="9" xfId="0" applyFont="1" applyFill="1" applyBorder="1" applyAlignment="1">
      <alignment horizontal="left" vertical="center" wrapText="1"/>
    </xf>
    <xf numFmtId="0" fontId="25" fillId="21" borderId="8" xfId="0" applyFont="1" applyFill="1" applyBorder="1" applyAlignment="1">
      <alignment horizontal="left" vertical="center" wrapText="1"/>
    </xf>
    <xf numFmtId="0" fontId="12" fillId="5" borderId="9" xfId="0" applyFont="1" applyFill="1" applyBorder="1" applyAlignment="1">
      <alignment horizontal="left" vertical="center"/>
    </xf>
    <xf numFmtId="0" fontId="12" fillId="5" borderId="8" xfId="0" applyFont="1" applyFill="1" applyBorder="1" applyAlignment="1">
      <alignment horizontal="left" vertical="center"/>
    </xf>
    <xf numFmtId="15" fontId="25" fillId="21" borderId="9" xfId="0" applyNumberFormat="1" applyFont="1" applyFill="1" applyBorder="1" applyAlignment="1">
      <alignment horizontal="center" vertical="center" wrapText="1"/>
    </xf>
    <xf numFmtId="15" fontId="25" fillId="21" borderId="18" xfId="0" applyNumberFormat="1" applyFont="1" applyFill="1" applyBorder="1" applyAlignment="1">
      <alignment horizontal="center" vertical="center" wrapText="1"/>
    </xf>
    <xf numFmtId="15" fontId="25" fillId="21" borderId="8" xfId="0" applyNumberFormat="1" applyFont="1" applyFill="1" applyBorder="1" applyAlignment="1">
      <alignment horizontal="center" vertical="center" wrapText="1"/>
    </xf>
    <xf numFmtId="165" fontId="25" fillId="13" borderId="9" xfId="0" applyNumberFormat="1" applyFont="1" applyFill="1" applyBorder="1" applyAlignment="1">
      <alignment horizontal="center" vertical="center" wrapText="1"/>
    </xf>
    <xf numFmtId="165" fontId="25" fillId="13" borderId="18" xfId="0" applyNumberFormat="1" applyFont="1" applyFill="1" applyBorder="1" applyAlignment="1">
      <alignment horizontal="center" vertical="center" wrapText="1"/>
    </xf>
    <xf numFmtId="165" fontId="25" fillId="13" borderId="8" xfId="0" applyNumberFormat="1" applyFont="1" applyFill="1" applyBorder="1" applyAlignment="1">
      <alignment horizontal="center" vertical="center" wrapText="1"/>
    </xf>
    <xf numFmtId="0" fontId="15" fillId="15" borderId="16" xfId="0" applyFont="1" applyFill="1" applyBorder="1" applyAlignment="1">
      <alignment horizontal="center"/>
    </xf>
    <xf numFmtId="0" fontId="15" fillId="15" borderId="17" xfId="0" applyFont="1" applyFill="1" applyBorder="1" applyAlignment="1">
      <alignment horizontal="center"/>
    </xf>
    <xf numFmtId="0" fontId="9" fillId="10" borderId="18" xfId="0" applyFont="1" applyFill="1" applyBorder="1" applyAlignment="1">
      <alignment horizontal="center"/>
    </xf>
    <xf numFmtId="0" fontId="9" fillId="10" borderId="35" xfId="0" applyFont="1" applyFill="1" applyBorder="1" applyAlignment="1">
      <alignment horizontal="center"/>
    </xf>
    <xf numFmtId="0" fontId="15" fillId="15" borderId="36" xfId="0" applyFont="1" applyFill="1" applyBorder="1" applyAlignment="1">
      <alignment horizontal="center"/>
    </xf>
    <xf numFmtId="0" fontId="15" fillId="15" borderId="42" xfId="0" applyFont="1" applyFill="1" applyBorder="1" applyAlignment="1">
      <alignment horizontal="center"/>
    </xf>
    <xf numFmtId="0" fontId="9" fillId="10" borderId="38" xfId="0" applyFont="1" applyFill="1" applyBorder="1" applyAlignment="1">
      <alignment horizontal="center"/>
    </xf>
    <xf numFmtId="0" fontId="9" fillId="10" borderId="39" xfId="0" applyFont="1" applyFill="1" applyBorder="1" applyAlignment="1">
      <alignment horizontal="center"/>
    </xf>
    <xf numFmtId="0" fontId="17" fillId="18" borderId="25" xfId="0" applyFont="1" applyFill="1" applyBorder="1" applyAlignment="1">
      <alignment horizontal="center"/>
    </xf>
    <xf numFmtId="0" fontId="17" fillId="18" borderId="26" xfId="0" applyFont="1" applyFill="1" applyBorder="1" applyAlignment="1">
      <alignment horizontal="center"/>
    </xf>
    <xf numFmtId="0" fontId="15" fillId="15" borderId="19" xfId="0" applyFont="1" applyFill="1" applyBorder="1" applyAlignment="1">
      <alignment horizontal="center"/>
    </xf>
    <xf numFmtId="0" fontId="15" fillId="15" borderId="21" xfId="0" applyFont="1" applyFill="1" applyBorder="1" applyAlignment="1">
      <alignment horizontal="center"/>
    </xf>
    <xf numFmtId="0" fontId="9" fillId="10" borderId="14" xfId="0" applyFont="1" applyFill="1" applyBorder="1" applyAlignment="1">
      <alignment horizontal="center"/>
    </xf>
    <xf numFmtId="0" fontId="9" fillId="10" borderId="15" xfId="0" applyFont="1" applyFill="1" applyBorder="1" applyAlignment="1">
      <alignment horizontal="center"/>
    </xf>
    <xf numFmtId="0" fontId="15" fillId="15" borderId="40" xfId="0" applyFont="1" applyFill="1" applyBorder="1" applyAlignment="1">
      <alignment horizontal="left"/>
    </xf>
    <xf numFmtId="0" fontId="15" fillId="15" borderId="35" xfId="0" applyFont="1" applyFill="1" applyBorder="1" applyAlignment="1">
      <alignment horizontal="left"/>
    </xf>
    <xf numFmtId="0" fontId="9" fillId="10" borderId="40" xfId="0" applyFont="1" applyFill="1" applyBorder="1" applyAlignment="1">
      <alignment horizontal="center"/>
    </xf>
    <xf numFmtId="0" fontId="15" fillId="15" borderId="36" xfId="0" applyFont="1" applyFill="1" applyBorder="1" applyAlignment="1">
      <alignment horizontal="left"/>
    </xf>
    <xf numFmtId="0" fontId="15" fillId="15" borderId="42" xfId="0" applyFont="1" applyFill="1" applyBorder="1" applyAlignment="1">
      <alignment horizontal="left"/>
    </xf>
    <xf numFmtId="0" fontId="9" fillId="10" borderId="44" xfId="0" applyFont="1" applyFill="1" applyBorder="1" applyAlignment="1">
      <alignment horizontal="center"/>
    </xf>
    <xf numFmtId="0" fontId="9" fillId="10" borderId="37" xfId="0" applyFont="1" applyFill="1" applyBorder="1" applyAlignment="1">
      <alignment horizontal="center"/>
    </xf>
    <xf numFmtId="0" fontId="9" fillId="10" borderId="42" xfId="0" applyFont="1" applyFill="1" applyBorder="1" applyAlignment="1">
      <alignment horizontal="center"/>
    </xf>
    <xf numFmtId="0" fontId="15" fillId="15" borderId="19" xfId="0" applyFont="1" applyFill="1" applyBorder="1" applyAlignment="1">
      <alignment horizontal="left"/>
    </xf>
    <xf numFmtId="0" fontId="15" fillId="15" borderId="21" xfId="0" applyFont="1" applyFill="1" applyBorder="1" applyAlignment="1">
      <alignment horizontal="left"/>
    </xf>
    <xf numFmtId="0" fontId="9" fillId="10" borderId="19" xfId="0" applyFont="1" applyFill="1" applyBorder="1" applyAlignment="1">
      <alignment horizontal="center"/>
    </xf>
    <xf numFmtId="0" fontId="9" fillId="10" borderId="20" xfId="0" applyFont="1" applyFill="1" applyBorder="1" applyAlignment="1">
      <alignment horizontal="center"/>
    </xf>
    <xf numFmtId="0" fontId="9" fillId="10" borderId="21" xfId="0" applyFont="1" applyFill="1" applyBorder="1" applyAlignment="1">
      <alignment horizontal="center"/>
    </xf>
    <xf numFmtId="165" fontId="9" fillId="10" borderId="38" xfId="0" applyNumberFormat="1" applyFont="1" applyFill="1" applyBorder="1" applyAlignment="1">
      <alignment horizontal="center"/>
    </xf>
    <xf numFmtId="165" fontId="9" fillId="10" borderId="39" xfId="0" applyNumberFormat="1" applyFont="1" applyFill="1" applyBorder="1" applyAlignment="1">
      <alignment horizontal="center"/>
    </xf>
    <xf numFmtId="0" fontId="15" fillId="15" borderId="16" xfId="0" applyFont="1" applyFill="1" applyBorder="1" applyAlignment="1">
      <alignment horizontal="left"/>
    </xf>
    <xf numFmtId="0" fontId="15" fillId="15" borderId="17" xfId="0" applyFont="1" applyFill="1" applyBorder="1" applyAlignment="1">
      <alignment horizontal="left"/>
    </xf>
    <xf numFmtId="0" fontId="9" fillId="10" borderId="16" xfId="0" applyFont="1" applyFill="1" applyBorder="1" applyAlignment="1">
      <alignment horizontal="center"/>
    </xf>
    <xf numFmtId="0" fontId="9" fillId="10" borderId="2" xfId="0" applyFont="1" applyFill="1" applyBorder="1" applyAlignment="1">
      <alignment horizontal="center"/>
    </xf>
    <xf numFmtId="0" fontId="9" fillId="10" borderId="17" xfId="0" applyFont="1" applyFill="1" applyBorder="1" applyAlignment="1">
      <alignment horizontal="center"/>
    </xf>
    <xf numFmtId="0" fontId="9" fillId="10" borderId="36" xfId="0" applyFont="1" applyFill="1" applyBorder="1" applyAlignment="1">
      <alignment horizontal="center"/>
    </xf>
    <xf numFmtId="1" fontId="9" fillId="10" borderId="45" xfId="0" applyNumberFormat="1" applyFont="1" applyFill="1" applyBorder="1" applyAlignment="1">
      <alignment horizontal="center"/>
    </xf>
    <xf numFmtId="1" fontId="9" fillId="10" borderId="20" xfId="0" applyNumberFormat="1" applyFont="1" applyFill="1" applyBorder="1" applyAlignment="1">
      <alignment horizontal="center"/>
    </xf>
    <xf numFmtId="1" fontId="9" fillId="10" borderId="21" xfId="0" applyNumberFormat="1" applyFont="1" applyFill="1" applyBorder="1" applyAlignment="1">
      <alignment horizontal="center"/>
    </xf>
    <xf numFmtId="0" fontId="9" fillId="17" borderId="0" xfId="0" applyFont="1" applyFill="1" applyAlignment="1">
      <alignment horizontal="center"/>
    </xf>
    <xf numFmtId="0" fontId="9" fillId="17" borderId="34" xfId="0" applyFont="1" applyFill="1" applyBorder="1" applyAlignment="1">
      <alignment horizontal="center"/>
    </xf>
    <xf numFmtId="0" fontId="9" fillId="10" borderId="45" xfId="0" applyFont="1" applyFill="1" applyBorder="1" applyAlignment="1">
      <alignment horizontal="center"/>
    </xf>
    <xf numFmtId="0" fontId="9" fillId="10" borderId="8" xfId="0" applyFont="1" applyFill="1" applyBorder="1" applyAlignment="1">
      <alignment horizontal="center"/>
    </xf>
    <xf numFmtId="165" fontId="9" fillId="10" borderId="8" xfId="0" applyNumberFormat="1" applyFont="1" applyFill="1" applyBorder="1" applyAlignment="1">
      <alignment horizontal="center"/>
    </xf>
    <xf numFmtId="165" fontId="9" fillId="10" borderId="2" xfId="0" applyNumberFormat="1" applyFont="1" applyFill="1" applyBorder="1" applyAlignment="1">
      <alignment horizontal="center"/>
    </xf>
    <xf numFmtId="165" fontId="9" fillId="10" borderId="17" xfId="0" applyNumberFormat="1" applyFont="1" applyFill="1" applyBorder="1" applyAlignment="1">
      <alignment horizontal="center"/>
    </xf>
    <xf numFmtId="0" fontId="15" fillId="19" borderId="46" xfId="0" applyFont="1" applyFill="1" applyBorder="1" applyAlignment="1">
      <alignment horizontal="center"/>
    </xf>
    <xf numFmtId="0" fontId="15" fillId="19" borderId="29" xfId="0" applyFont="1" applyFill="1" applyBorder="1" applyAlignment="1">
      <alignment horizontal="center"/>
    </xf>
    <xf numFmtId="0" fontId="15" fillId="19" borderId="30" xfId="0" applyFont="1" applyFill="1" applyBorder="1" applyAlignment="1">
      <alignment horizontal="center"/>
    </xf>
    <xf numFmtId="166" fontId="9" fillId="10" borderId="6" xfId="0" applyNumberFormat="1" applyFont="1" applyFill="1" applyBorder="1" applyAlignment="1">
      <alignment horizontal="center"/>
    </xf>
    <xf numFmtId="166" fontId="9" fillId="10" borderId="4" xfId="0" applyNumberFormat="1" applyFont="1" applyFill="1" applyBorder="1" applyAlignment="1">
      <alignment horizontal="center"/>
    </xf>
    <xf numFmtId="166" fontId="9" fillId="10" borderId="43" xfId="0" applyNumberFormat="1" applyFont="1" applyFill="1" applyBorder="1" applyAlignment="1">
      <alignment horizontal="center"/>
    </xf>
    <xf numFmtId="0" fontId="20" fillId="22" borderId="31" xfId="0" applyFont="1" applyFill="1" applyBorder="1" applyAlignment="1">
      <alignment horizontal="center"/>
    </xf>
    <xf numFmtId="0" fontId="20" fillId="22" borderId="28" xfId="0" applyFont="1" applyFill="1" applyBorder="1" applyAlignment="1">
      <alignment horizontal="center"/>
    </xf>
    <xf numFmtId="0" fontId="20" fillId="22" borderId="32" xfId="0" applyFont="1" applyFill="1" applyBorder="1" applyAlignment="1">
      <alignment horizontal="center"/>
    </xf>
    <xf numFmtId="49" fontId="18" fillId="16" borderId="27" xfId="0" applyNumberFormat="1" applyFont="1" applyFill="1" applyBorder="1" applyAlignment="1">
      <alignment horizontal="center" vertical="center"/>
    </xf>
    <xf numFmtId="49" fontId="18" fillId="16" borderId="26" xfId="0" applyNumberFormat="1" applyFont="1" applyFill="1" applyBorder="1" applyAlignment="1">
      <alignment horizontal="center" vertical="center"/>
    </xf>
    <xf numFmtId="0" fontId="18" fillId="10" borderId="25" xfId="0" applyFont="1" applyFill="1" applyBorder="1" applyAlignment="1">
      <alignment horizontal="left" vertical="center"/>
    </xf>
    <xf numFmtId="0" fontId="18" fillId="10" borderId="27" xfId="0" applyFont="1" applyFill="1" applyBorder="1" applyAlignment="1">
      <alignment horizontal="left" vertical="center"/>
    </xf>
    <xf numFmtId="0" fontId="18" fillId="10" borderId="26" xfId="0" applyFont="1" applyFill="1" applyBorder="1" applyAlignment="1">
      <alignment horizontal="left" vertical="center"/>
    </xf>
    <xf numFmtId="0" fontId="15" fillId="10" borderId="25" xfId="0" applyFont="1" applyFill="1" applyBorder="1" applyAlignment="1">
      <alignment horizontal="center" vertical="center"/>
    </xf>
    <xf numFmtId="0" fontId="15" fillId="10" borderId="27" xfId="0" applyFont="1" applyFill="1" applyBorder="1" applyAlignment="1">
      <alignment horizontal="center" vertical="center"/>
    </xf>
    <xf numFmtId="0" fontId="15" fillId="10" borderId="26" xfId="0" applyFont="1" applyFill="1" applyBorder="1" applyAlignment="1">
      <alignment horizontal="center" vertical="center"/>
    </xf>
    <xf numFmtId="0" fontId="17" fillId="18" borderId="31" xfId="0" applyFont="1" applyFill="1" applyBorder="1" applyAlignment="1">
      <alignment horizontal="center"/>
    </xf>
    <xf numFmtId="0" fontId="17" fillId="18" borderId="32" xfId="0" applyFont="1" applyFill="1" applyBorder="1" applyAlignment="1">
      <alignment horizontal="center"/>
    </xf>
    <xf numFmtId="0" fontId="16" fillId="17" borderId="0" xfId="0" applyFont="1" applyFill="1" applyAlignment="1">
      <alignment horizontal="center" vertical="center"/>
    </xf>
    <xf numFmtId="0" fontId="9" fillId="17" borderId="0" xfId="0" applyFont="1" applyFill="1" applyAlignment="1">
      <alignment horizontal="center" vertical="center"/>
    </xf>
  </cellXfs>
  <cellStyles count="2">
    <cellStyle name="Normal" xfId="0" builtinId="0"/>
    <cellStyle name="Note" xfId="1" builtinId="10"/>
  </cellStyles>
  <dxfs count="26"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ont>
        <b/>
        <i val="0"/>
      </font>
      <fill>
        <patternFill>
          <bgColor theme="5" tint="0.59996337778862885"/>
        </patternFill>
      </fill>
    </dxf>
  </dxfs>
  <tableStyles count="0" defaultTableStyle="TableStyleMedium2" defaultPivotStyle="PivotStyleMedium9"/>
  <colors>
    <mruColors>
      <color rgb="FF006600"/>
      <color rgb="FFCCFF99"/>
      <color rgb="FF307232"/>
      <color rgb="FF2D7548"/>
      <color rgb="FF314C83"/>
      <color rgb="FFFF7C80"/>
      <color rgb="FFAFE8A0"/>
      <color rgb="FF43CC1E"/>
      <color rgb="FF00EE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54"/>
  <sheetViews>
    <sheetView tabSelected="1" zoomScale="140" zoomScaleNormal="140" workbookViewId="0">
      <pane ySplit="1" topLeftCell="A27" activePane="bottomLeft" state="frozen"/>
      <selection pane="bottomLeft" activeCell="A49" sqref="A49"/>
    </sheetView>
  </sheetViews>
  <sheetFormatPr defaultRowHeight="13.8" x14ac:dyDescent="0.3"/>
  <cols>
    <col min="1" max="1" width="7" style="8" customWidth="1"/>
    <col min="2" max="2" width="13.5546875" style="1" customWidth="1"/>
    <col min="3" max="3" width="1.5546875" style="1" customWidth="1"/>
    <col min="4" max="4" width="29.88671875" style="1" customWidth="1"/>
    <col min="5" max="5" width="35.6640625" style="1" customWidth="1"/>
    <col min="6" max="6" width="20.21875" style="1" customWidth="1"/>
    <col min="7" max="7" width="13.109375" style="1" customWidth="1"/>
    <col min="8" max="8" width="24.6640625" style="1" bestFit="1" customWidth="1"/>
    <col min="9" max="9" width="25.5546875" style="1" bestFit="1" customWidth="1"/>
    <col min="10" max="10" width="25.5546875" style="1" customWidth="1"/>
    <col min="11" max="11" width="13.109375" style="8" customWidth="1"/>
    <col min="12" max="12" width="16.21875" style="8" customWidth="1"/>
    <col min="13" max="13" width="16.6640625" style="2" customWidth="1"/>
    <col min="14" max="14" width="13.6640625" style="1" customWidth="1"/>
    <col min="15" max="15" width="19.77734375" style="1" customWidth="1"/>
    <col min="16" max="16" width="12.109375" style="1" bestFit="1" customWidth="1"/>
    <col min="17" max="17" width="12.33203125" style="1" bestFit="1" customWidth="1"/>
    <col min="18" max="18" width="12.44140625" style="50" customWidth="1"/>
    <col min="19" max="19" width="43.77734375" style="1" customWidth="1"/>
    <col min="20" max="20" width="19.21875" style="1" customWidth="1"/>
    <col min="21" max="21" width="12.77734375" style="1" customWidth="1"/>
    <col min="22" max="22" width="10.44140625" style="1" customWidth="1"/>
    <col min="23" max="23" width="28.77734375" style="1" customWidth="1"/>
    <col min="24" max="24" width="20.6640625" style="1" customWidth="1"/>
    <col min="25" max="25" width="19.77734375" style="1" bestFit="1" customWidth="1"/>
    <col min="26" max="27" width="9.77734375" style="1" customWidth="1"/>
    <col min="28" max="29" width="9.77734375" style="8" customWidth="1"/>
    <col min="30" max="16384" width="8.88671875" style="1"/>
  </cols>
  <sheetData>
    <row r="1" spans="1:30" ht="14.4" customHeight="1" x14ac:dyDescent="0.25">
      <c r="A1" s="64" t="s">
        <v>67</v>
      </c>
      <c r="B1" s="65" t="s">
        <v>617</v>
      </c>
      <c r="C1" s="65" t="s">
        <v>552</v>
      </c>
      <c r="D1" s="65" t="s">
        <v>553</v>
      </c>
      <c r="E1" s="65" t="s">
        <v>64</v>
      </c>
      <c r="F1" s="65" t="s">
        <v>72</v>
      </c>
      <c r="G1" s="66" t="s">
        <v>71</v>
      </c>
      <c r="H1" s="174" t="s">
        <v>152</v>
      </c>
      <c r="I1" s="175"/>
      <c r="J1" s="175"/>
      <c r="K1" s="176"/>
      <c r="L1" s="76" t="s">
        <v>265</v>
      </c>
      <c r="M1" s="169" t="s">
        <v>618</v>
      </c>
      <c r="N1" s="171"/>
      <c r="O1" s="172" t="s">
        <v>68</v>
      </c>
      <c r="P1" s="173"/>
      <c r="Q1" s="77" t="s">
        <v>174</v>
      </c>
      <c r="R1" s="78" t="s">
        <v>65</v>
      </c>
      <c r="S1" s="169" t="s">
        <v>80</v>
      </c>
      <c r="T1" s="170"/>
      <c r="U1" s="171"/>
      <c r="V1" s="79" t="s">
        <v>82</v>
      </c>
      <c r="W1" s="75" t="s">
        <v>83</v>
      </c>
      <c r="X1" s="179" t="s">
        <v>208</v>
      </c>
      <c r="Y1" s="180"/>
      <c r="Z1" s="179" t="s">
        <v>330</v>
      </c>
      <c r="AA1" s="180"/>
      <c r="AB1" s="177" t="s">
        <v>331</v>
      </c>
      <c r="AC1" s="178"/>
      <c r="AD1" s="75" t="s">
        <v>383</v>
      </c>
    </row>
    <row r="2" spans="1:30" hidden="1" x14ac:dyDescent="0.25">
      <c r="A2" s="67"/>
      <c r="B2" s="68"/>
      <c r="C2" s="68"/>
      <c r="D2" s="68"/>
      <c r="E2" s="68"/>
      <c r="F2" s="68" t="s">
        <v>169</v>
      </c>
      <c r="G2" s="69"/>
      <c r="H2" s="70" t="s">
        <v>229</v>
      </c>
      <c r="I2" s="71" t="s">
        <v>150</v>
      </c>
      <c r="J2" s="71" t="s">
        <v>228</v>
      </c>
      <c r="K2" s="72" t="s">
        <v>151</v>
      </c>
      <c r="L2" s="80" t="s">
        <v>266</v>
      </c>
      <c r="M2" s="81" t="s">
        <v>70</v>
      </c>
      <c r="N2" s="82" t="s">
        <v>66</v>
      </c>
      <c r="O2" s="83" t="s">
        <v>70</v>
      </c>
      <c r="P2" s="84" t="s">
        <v>122</v>
      </c>
      <c r="Q2" s="68"/>
      <c r="R2" s="85"/>
      <c r="S2" s="70" t="s">
        <v>121</v>
      </c>
      <c r="T2" s="71" t="s">
        <v>133</v>
      </c>
      <c r="U2" s="73" t="s">
        <v>120</v>
      </c>
      <c r="V2" s="86"/>
      <c r="W2" s="87"/>
      <c r="X2" s="88" t="s">
        <v>275</v>
      </c>
      <c r="Y2" s="88" t="s">
        <v>390</v>
      </c>
      <c r="Z2" s="71" t="s">
        <v>332</v>
      </c>
      <c r="AA2" s="71" t="s">
        <v>333</v>
      </c>
      <c r="AB2" s="74" t="s">
        <v>332</v>
      </c>
      <c r="AC2" s="74" t="s">
        <v>333</v>
      </c>
      <c r="AD2" s="75"/>
    </row>
    <row r="3" spans="1:30" x14ac:dyDescent="0.25">
      <c r="A3" s="90" t="s">
        <v>277</v>
      </c>
      <c r="B3" s="94" t="s">
        <v>485</v>
      </c>
      <c r="C3" s="152" t="s">
        <v>16</v>
      </c>
      <c r="D3" s="158" t="s">
        <v>554</v>
      </c>
      <c r="E3" s="95" t="s">
        <v>38</v>
      </c>
      <c r="F3" s="95" t="s">
        <v>271</v>
      </c>
      <c r="G3" s="96">
        <v>24246</v>
      </c>
      <c r="H3" s="16" t="s">
        <v>251</v>
      </c>
      <c r="I3" s="9" t="s">
        <v>252</v>
      </c>
      <c r="J3" s="9" t="s">
        <v>270</v>
      </c>
      <c r="K3" s="17" t="s">
        <v>253</v>
      </c>
      <c r="L3" s="15" t="s">
        <v>69</v>
      </c>
      <c r="M3" s="97">
        <v>26605192101376</v>
      </c>
      <c r="N3" s="98">
        <v>46782</v>
      </c>
      <c r="O3" s="99">
        <v>72749</v>
      </c>
      <c r="P3" s="100" t="s">
        <v>123</v>
      </c>
      <c r="Q3" s="100" t="s">
        <v>198</v>
      </c>
      <c r="R3" s="101">
        <v>39083</v>
      </c>
      <c r="S3" s="14" t="s">
        <v>268</v>
      </c>
      <c r="T3" s="11" t="s">
        <v>269</v>
      </c>
      <c r="U3" s="13" t="s">
        <v>132</v>
      </c>
      <c r="V3" s="89">
        <v>400</v>
      </c>
      <c r="W3" s="90" t="s">
        <v>596</v>
      </c>
      <c r="X3" s="91" t="s">
        <v>69</v>
      </c>
      <c r="Y3" s="92" t="s">
        <v>69</v>
      </c>
      <c r="Z3" s="93">
        <f t="shared" ref="Z3:Z46" ca="1" si="0">DATEDIF(R3,TODAY(),"Y")</f>
        <v>19</v>
      </c>
      <c r="AA3" s="93">
        <f t="shared" ref="AA3:AA46" ca="1" si="1">DATEDIF(R3,TODAY(),"Ym")</f>
        <v>0</v>
      </c>
      <c r="AB3" s="90" t="s">
        <v>367</v>
      </c>
      <c r="AC3" s="90" t="s">
        <v>366</v>
      </c>
      <c r="AD3" s="90" t="s">
        <v>384</v>
      </c>
    </row>
    <row r="4" spans="1:30" x14ac:dyDescent="0.25">
      <c r="A4" s="90" t="s">
        <v>278</v>
      </c>
      <c r="B4" s="94" t="s">
        <v>485</v>
      </c>
      <c r="C4" s="152" t="s">
        <v>167</v>
      </c>
      <c r="D4" s="158" t="s">
        <v>555</v>
      </c>
      <c r="E4" s="95" t="s">
        <v>39</v>
      </c>
      <c r="F4" s="95" t="s">
        <v>271</v>
      </c>
      <c r="G4" s="96">
        <v>28398</v>
      </c>
      <c r="H4" s="16" t="s">
        <v>241</v>
      </c>
      <c r="I4" s="9" t="s">
        <v>242</v>
      </c>
      <c r="J4" s="9" t="s">
        <v>132</v>
      </c>
      <c r="K4" s="17" t="s">
        <v>236</v>
      </c>
      <c r="L4" s="15" t="s">
        <v>69</v>
      </c>
      <c r="M4" s="97">
        <v>27709302101923</v>
      </c>
      <c r="N4" s="98">
        <v>46082</v>
      </c>
      <c r="O4" s="99">
        <v>479339</v>
      </c>
      <c r="P4" s="100" t="s">
        <v>124</v>
      </c>
      <c r="Q4" s="100" t="s">
        <v>187</v>
      </c>
      <c r="R4" s="101">
        <v>39630</v>
      </c>
      <c r="S4" s="14" t="s">
        <v>243</v>
      </c>
      <c r="T4" s="11" t="s">
        <v>146</v>
      </c>
      <c r="U4" s="13" t="s">
        <v>131</v>
      </c>
      <c r="V4" s="89">
        <v>450</v>
      </c>
      <c r="W4" s="90" t="s">
        <v>84</v>
      </c>
      <c r="X4" s="91" t="s">
        <v>130</v>
      </c>
      <c r="Y4" s="92" t="s">
        <v>69</v>
      </c>
      <c r="Z4" s="93">
        <f t="shared" ca="1" si="0"/>
        <v>17</v>
      </c>
      <c r="AA4" s="93">
        <f t="shared" ca="1" si="1"/>
        <v>6</v>
      </c>
      <c r="AB4" s="90" t="s">
        <v>364</v>
      </c>
      <c r="AC4" s="90" t="s">
        <v>366</v>
      </c>
      <c r="AD4" s="90" t="s">
        <v>384</v>
      </c>
    </row>
    <row r="5" spans="1:30" x14ac:dyDescent="0.25">
      <c r="A5" s="90" t="s">
        <v>282</v>
      </c>
      <c r="B5" s="94" t="s">
        <v>485</v>
      </c>
      <c r="C5" s="152" t="s">
        <v>20</v>
      </c>
      <c r="D5" s="158" t="s">
        <v>556</v>
      </c>
      <c r="E5" s="95" t="s">
        <v>542</v>
      </c>
      <c r="F5" s="95" t="s">
        <v>271</v>
      </c>
      <c r="G5" s="96">
        <v>32039</v>
      </c>
      <c r="H5" s="16" t="s">
        <v>170</v>
      </c>
      <c r="I5" s="9" t="s">
        <v>172</v>
      </c>
      <c r="J5" s="9" t="s">
        <v>163</v>
      </c>
      <c r="K5" s="17" t="s">
        <v>336</v>
      </c>
      <c r="L5" s="15" t="s">
        <v>69</v>
      </c>
      <c r="M5" s="97">
        <v>28709190101694</v>
      </c>
      <c r="N5" s="98">
        <v>46358</v>
      </c>
      <c r="O5" s="99">
        <v>393620</v>
      </c>
      <c r="P5" s="100" t="s">
        <v>126</v>
      </c>
      <c r="Q5" s="100" t="s">
        <v>180</v>
      </c>
      <c r="R5" s="101">
        <v>41609</v>
      </c>
      <c r="S5" s="14" t="s">
        <v>338</v>
      </c>
      <c r="T5" s="11" t="s">
        <v>339</v>
      </c>
      <c r="U5" s="13" t="s">
        <v>132</v>
      </c>
      <c r="V5" s="89">
        <v>457</v>
      </c>
      <c r="W5" s="90" t="s">
        <v>97</v>
      </c>
      <c r="X5" s="91" t="s">
        <v>130</v>
      </c>
      <c r="Y5" s="92" t="s">
        <v>69</v>
      </c>
      <c r="Z5" s="93">
        <f t="shared" ca="1" si="0"/>
        <v>12</v>
      </c>
      <c r="AA5" s="93">
        <f t="shared" ca="1" si="1"/>
        <v>1</v>
      </c>
      <c r="AB5" s="90">
        <v>12</v>
      </c>
      <c r="AC5" s="90">
        <v>0</v>
      </c>
      <c r="AD5" s="90" t="s">
        <v>384</v>
      </c>
    </row>
    <row r="6" spans="1:30" x14ac:dyDescent="0.25">
      <c r="A6" s="90" t="s">
        <v>279</v>
      </c>
      <c r="B6" s="94" t="s">
        <v>36</v>
      </c>
      <c r="C6" s="153" t="s">
        <v>19</v>
      </c>
      <c r="D6" s="159" t="s">
        <v>591</v>
      </c>
      <c r="E6" s="95" t="s">
        <v>58</v>
      </c>
      <c r="F6" s="95" t="s">
        <v>77</v>
      </c>
      <c r="G6" s="96">
        <v>27212</v>
      </c>
      <c r="H6" s="16" t="s">
        <v>170</v>
      </c>
      <c r="I6" s="9" t="s">
        <v>172</v>
      </c>
      <c r="J6" s="9" t="s">
        <v>335</v>
      </c>
      <c r="K6" s="17" t="s">
        <v>227</v>
      </c>
      <c r="L6" s="15" t="s">
        <v>69</v>
      </c>
      <c r="M6" s="97">
        <v>27407022102898</v>
      </c>
      <c r="N6" s="98">
        <v>11890</v>
      </c>
      <c r="O6" s="99">
        <v>174535</v>
      </c>
      <c r="P6" s="100" t="s">
        <v>123</v>
      </c>
      <c r="Q6" s="100" t="s">
        <v>179</v>
      </c>
      <c r="R6" s="101">
        <v>40199</v>
      </c>
      <c r="S6" s="14" t="s">
        <v>193</v>
      </c>
      <c r="T6" s="11" t="s">
        <v>158</v>
      </c>
      <c r="U6" s="13" t="s">
        <v>131</v>
      </c>
      <c r="V6" s="89">
        <v>473</v>
      </c>
      <c r="W6" s="90" t="s">
        <v>96</v>
      </c>
      <c r="X6" s="91" t="s">
        <v>130</v>
      </c>
      <c r="Y6" s="92" t="s">
        <v>69</v>
      </c>
      <c r="Z6" s="93">
        <f t="shared" ca="1" si="0"/>
        <v>15</v>
      </c>
      <c r="AA6" s="93">
        <f t="shared" ca="1" si="1"/>
        <v>11</v>
      </c>
      <c r="AB6" s="90">
        <v>5</v>
      </c>
      <c r="AC6" s="90">
        <v>3</v>
      </c>
      <c r="AD6" s="90" t="s">
        <v>384</v>
      </c>
    </row>
    <row r="7" spans="1:30" x14ac:dyDescent="0.25">
      <c r="A7" s="90" t="s">
        <v>280</v>
      </c>
      <c r="B7" s="94" t="s">
        <v>36</v>
      </c>
      <c r="C7" s="153" t="s">
        <v>22</v>
      </c>
      <c r="D7" s="159" t="s">
        <v>557</v>
      </c>
      <c r="E7" s="95" t="s">
        <v>59</v>
      </c>
      <c r="F7" s="95" t="s">
        <v>76</v>
      </c>
      <c r="G7" s="96">
        <v>31929</v>
      </c>
      <c r="H7" s="16" t="s">
        <v>170</v>
      </c>
      <c r="I7" s="9" t="s">
        <v>172</v>
      </c>
      <c r="J7" s="9" t="s">
        <v>163</v>
      </c>
      <c r="K7" s="17" t="s">
        <v>336</v>
      </c>
      <c r="L7" s="15" t="s">
        <v>69</v>
      </c>
      <c r="M7" s="97">
        <v>28706010116291</v>
      </c>
      <c r="N7" s="98">
        <v>46836</v>
      </c>
      <c r="O7" s="99">
        <v>425131</v>
      </c>
      <c r="P7" s="100" t="s">
        <v>125</v>
      </c>
      <c r="Q7" s="100" t="s">
        <v>177</v>
      </c>
      <c r="R7" s="101">
        <v>40211</v>
      </c>
      <c r="S7" s="14" t="s">
        <v>162</v>
      </c>
      <c r="T7" s="11" t="s">
        <v>163</v>
      </c>
      <c r="U7" s="13" t="s">
        <v>132</v>
      </c>
      <c r="V7" s="89">
        <v>454</v>
      </c>
      <c r="W7" s="90" t="s">
        <v>104</v>
      </c>
      <c r="X7" s="91" t="s">
        <v>130</v>
      </c>
      <c r="Y7" s="92" t="s">
        <v>69</v>
      </c>
      <c r="Z7" s="93">
        <f t="shared" ca="1" si="0"/>
        <v>15</v>
      </c>
      <c r="AA7" s="93">
        <f t="shared" ca="1" si="1"/>
        <v>11</v>
      </c>
      <c r="AB7" s="90">
        <v>0</v>
      </c>
      <c r="AC7" s="90">
        <v>0</v>
      </c>
      <c r="AD7" s="90" t="s">
        <v>384</v>
      </c>
    </row>
    <row r="8" spans="1:30" x14ac:dyDescent="0.25">
      <c r="A8" s="90" t="s">
        <v>281</v>
      </c>
      <c r="B8" s="94" t="s">
        <v>36</v>
      </c>
      <c r="C8" s="153" t="s">
        <v>17</v>
      </c>
      <c r="D8" s="159" t="s">
        <v>558</v>
      </c>
      <c r="E8" s="95" t="s">
        <v>57</v>
      </c>
      <c r="F8" s="95" t="s">
        <v>79</v>
      </c>
      <c r="G8" s="96">
        <v>32050</v>
      </c>
      <c r="H8" s="16" t="s">
        <v>170</v>
      </c>
      <c r="I8" s="9" t="s">
        <v>171</v>
      </c>
      <c r="J8" s="9" t="s">
        <v>132</v>
      </c>
      <c r="K8" s="17" t="s">
        <v>336</v>
      </c>
      <c r="L8" s="15" t="s">
        <v>69</v>
      </c>
      <c r="M8" s="97">
        <v>28709300100265</v>
      </c>
      <c r="N8" s="98">
        <v>46099</v>
      </c>
      <c r="O8" s="99">
        <v>416877</v>
      </c>
      <c r="P8" s="100" t="s">
        <v>124</v>
      </c>
      <c r="Q8" s="100" t="s">
        <v>175</v>
      </c>
      <c r="R8" s="101">
        <v>41420</v>
      </c>
      <c r="S8" s="14" t="s">
        <v>192</v>
      </c>
      <c r="T8" s="11" t="s">
        <v>139</v>
      </c>
      <c r="U8" s="13" t="s">
        <v>131</v>
      </c>
      <c r="V8" s="89">
        <v>455</v>
      </c>
      <c r="W8" s="90" t="s">
        <v>101</v>
      </c>
      <c r="X8" s="91" t="s">
        <v>130</v>
      </c>
      <c r="Y8" s="92" t="s">
        <v>69</v>
      </c>
      <c r="Z8" s="93">
        <f t="shared" ca="1" si="0"/>
        <v>12</v>
      </c>
      <c r="AA8" s="93">
        <f t="shared" ca="1" si="1"/>
        <v>7</v>
      </c>
      <c r="AB8" s="90">
        <v>4</v>
      </c>
      <c r="AC8" s="90">
        <v>0</v>
      </c>
      <c r="AD8" s="90" t="s">
        <v>384</v>
      </c>
    </row>
    <row r="9" spans="1:30" x14ac:dyDescent="0.25">
      <c r="A9" s="90" t="s">
        <v>283</v>
      </c>
      <c r="B9" s="94" t="s">
        <v>36</v>
      </c>
      <c r="C9" s="153" t="s">
        <v>23</v>
      </c>
      <c r="D9" s="159" t="s">
        <v>559</v>
      </c>
      <c r="E9" s="95" t="s">
        <v>57</v>
      </c>
      <c r="F9" s="95" t="s">
        <v>79</v>
      </c>
      <c r="G9" s="96">
        <v>33426</v>
      </c>
      <c r="H9" s="16" t="s">
        <v>170</v>
      </c>
      <c r="I9" s="9" t="s">
        <v>173</v>
      </c>
      <c r="J9" s="9" t="s">
        <v>244</v>
      </c>
      <c r="K9" s="17" t="s">
        <v>272</v>
      </c>
      <c r="L9" s="15" t="s">
        <v>69</v>
      </c>
      <c r="M9" s="97">
        <v>29107072104682</v>
      </c>
      <c r="N9" s="98">
        <v>46345</v>
      </c>
      <c r="O9" s="99">
        <v>527331</v>
      </c>
      <c r="P9" s="100" t="s">
        <v>124</v>
      </c>
      <c r="Q9" s="100" t="s">
        <v>176</v>
      </c>
      <c r="R9" s="101">
        <v>41854</v>
      </c>
      <c r="S9" s="14" t="s">
        <v>338</v>
      </c>
      <c r="T9" s="11" t="s">
        <v>339</v>
      </c>
      <c r="U9" s="13" t="s">
        <v>132</v>
      </c>
      <c r="V9" s="89">
        <v>409</v>
      </c>
      <c r="W9" s="90" t="s">
        <v>102</v>
      </c>
      <c r="X9" s="91" t="s">
        <v>130</v>
      </c>
      <c r="Y9" s="92" t="s">
        <v>69</v>
      </c>
      <c r="Z9" s="93">
        <f t="shared" ca="1" si="0"/>
        <v>11</v>
      </c>
      <c r="AA9" s="93">
        <f t="shared" ca="1" si="1"/>
        <v>5</v>
      </c>
      <c r="AB9" s="90">
        <v>22</v>
      </c>
      <c r="AC9" s="90">
        <v>0</v>
      </c>
      <c r="AD9" s="90" t="s">
        <v>384</v>
      </c>
    </row>
    <row r="10" spans="1:30" x14ac:dyDescent="0.25">
      <c r="A10" s="90" t="s">
        <v>284</v>
      </c>
      <c r="B10" s="94" t="s">
        <v>36</v>
      </c>
      <c r="C10" s="153" t="s">
        <v>18</v>
      </c>
      <c r="D10" s="159" t="s">
        <v>560</v>
      </c>
      <c r="E10" s="95" t="s">
        <v>58</v>
      </c>
      <c r="F10" s="95" t="s">
        <v>77</v>
      </c>
      <c r="G10" s="96">
        <v>25625</v>
      </c>
      <c r="H10" s="16" t="s">
        <v>170</v>
      </c>
      <c r="I10" s="9" t="s">
        <v>172</v>
      </c>
      <c r="J10" s="9" t="s">
        <v>163</v>
      </c>
      <c r="K10" s="17" t="s">
        <v>334</v>
      </c>
      <c r="L10" s="15" t="s">
        <v>69</v>
      </c>
      <c r="M10" s="97">
        <v>27002260101051</v>
      </c>
      <c r="N10" s="98">
        <v>47457</v>
      </c>
      <c r="O10" s="99">
        <v>116022</v>
      </c>
      <c r="P10" s="100" t="s">
        <v>125</v>
      </c>
      <c r="Q10" s="100" t="s">
        <v>178</v>
      </c>
      <c r="R10" s="101">
        <v>42043</v>
      </c>
      <c r="S10" s="14" t="s">
        <v>160</v>
      </c>
      <c r="T10" s="11" t="s">
        <v>159</v>
      </c>
      <c r="U10" s="13" t="s">
        <v>132</v>
      </c>
      <c r="V10" s="89">
        <v>456</v>
      </c>
      <c r="W10" s="90" t="s">
        <v>95</v>
      </c>
      <c r="X10" s="91" t="s">
        <v>130</v>
      </c>
      <c r="Y10" s="92" t="s">
        <v>69</v>
      </c>
      <c r="Z10" s="93">
        <f t="shared" ca="1" si="0"/>
        <v>10</v>
      </c>
      <c r="AA10" s="93">
        <f t="shared" ca="1" si="1"/>
        <v>10</v>
      </c>
      <c r="AB10" s="90">
        <v>12</v>
      </c>
      <c r="AC10" s="90">
        <v>0</v>
      </c>
      <c r="AD10" s="90" t="s">
        <v>384</v>
      </c>
    </row>
    <row r="11" spans="1:30" x14ac:dyDescent="0.25">
      <c r="A11" s="90" t="s">
        <v>285</v>
      </c>
      <c r="B11" s="94" t="s">
        <v>36</v>
      </c>
      <c r="C11" s="153" t="s">
        <v>25</v>
      </c>
      <c r="D11" s="159" t="s">
        <v>561</v>
      </c>
      <c r="E11" s="95" t="s">
        <v>60</v>
      </c>
      <c r="F11" s="95" t="s">
        <v>77</v>
      </c>
      <c r="G11" s="96">
        <v>31073</v>
      </c>
      <c r="H11" s="16" t="s">
        <v>170</v>
      </c>
      <c r="I11" s="9" t="s">
        <v>172</v>
      </c>
      <c r="J11" s="9" t="s">
        <v>132</v>
      </c>
      <c r="K11" s="17" t="s">
        <v>216</v>
      </c>
      <c r="L11" s="15" t="s">
        <v>69</v>
      </c>
      <c r="M11" s="97">
        <v>28501262101031</v>
      </c>
      <c r="N11" s="98">
        <v>47482</v>
      </c>
      <c r="O11" s="99">
        <v>361956</v>
      </c>
      <c r="P11" s="100" t="s">
        <v>126</v>
      </c>
      <c r="Q11" s="100" t="s">
        <v>181</v>
      </c>
      <c r="R11" s="101">
        <v>42644</v>
      </c>
      <c r="S11" s="14" t="s">
        <v>191</v>
      </c>
      <c r="T11" s="11" t="s">
        <v>153</v>
      </c>
      <c r="U11" s="13" t="s">
        <v>131</v>
      </c>
      <c r="V11" s="89">
        <v>421</v>
      </c>
      <c r="W11" s="90" t="s">
        <v>99</v>
      </c>
      <c r="X11" s="91" t="s">
        <v>130</v>
      </c>
      <c r="Y11" s="92" t="s">
        <v>69</v>
      </c>
      <c r="Z11" s="93">
        <f t="shared" ca="1" si="0"/>
        <v>9</v>
      </c>
      <c r="AA11" s="93">
        <f t="shared" ca="1" si="1"/>
        <v>3</v>
      </c>
      <c r="AB11" s="90">
        <v>2</v>
      </c>
      <c r="AC11" s="90">
        <v>0</v>
      </c>
      <c r="AD11" s="90" t="s">
        <v>384</v>
      </c>
    </row>
    <row r="12" spans="1:30" x14ac:dyDescent="0.25">
      <c r="A12" s="90" t="s">
        <v>286</v>
      </c>
      <c r="B12" s="94" t="s">
        <v>36</v>
      </c>
      <c r="C12" s="153" t="s">
        <v>24</v>
      </c>
      <c r="D12" s="159" t="s">
        <v>562</v>
      </c>
      <c r="E12" s="95" t="s">
        <v>60</v>
      </c>
      <c r="F12" s="95" t="s">
        <v>76</v>
      </c>
      <c r="G12" s="96">
        <v>28890</v>
      </c>
      <c r="H12" s="16" t="s">
        <v>170</v>
      </c>
      <c r="I12" s="9" t="s">
        <v>172</v>
      </c>
      <c r="J12" s="9" t="s">
        <v>342</v>
      </c>
      <c r="K12" s="17" t="s">
        <v>343</v>
      </c>
      <c r="L12" s="15" t="s">
        <v>484</v>
      </c>
      <c r="M12" s="97">
        <v>27902040103975</v>
      </c>
      <c r="N12" s="98">
        <v>46056</v>
      </c>
      <c r="O12" s="99" t="s">
        <v>69</v>
      </c>
      <c r="P12" s="100" t="s">
        <v>127</v>
      </c>
      <c r="Q12" s="100" t="s">
        <v>69</v>
      </c>
      <c r="R12" s="101">
        <v>44197</v>
      </c>
      <c r="S12" s="14" t="s">
        <v>344</v>
      </c>
      <c r="T12" s="11" t="s">
        <v>345</v>
      </c>
      <c r="U12" s="13" t="s">
        <v>132</v>
      </c>
      <c r="V12" s="89">
        <v>405</v>
      </c>
      <c r="W12" s="90" t="s">
        <v>103</v>
      </c>
      <c r="X12" s="91" t="s">
        <v>258</v>
      </c>
      <c r="Y12" s="92">
        <f>Contracts!D230</f>
        <v>46203</v>
      </c>
      <c r="Z12" s="93">
        <f t="shared" ca="1" si="0"/>
        <v>5</v>
      </c>
      <c r="AA12" s="93">
        <f t="shared" ca="1" si="1"/>
        <v>0</v>
      </c>
      <c r="AB12" s="90">
        <v>0</v>
      </c>
      <c r="AC12" s="90">
        <v>0</v>
      </c>
      <c r="AD12" s="90" t="s">
        <v>384</v>
      </c>
    </row>
    <row r="13" spans="1:30" x14ac:dyDescent="0.25">
      <c r="A13" s="90" t="s">
        <v>287</v>
      </c>
      <c r="B13" s="94" t="s">
        <v>36</v>
      </c>
      <c r="C13" s="153" t="s">
        <v>21</v>
      </c>
      <c r="D13" s="159" t="s">
        <v>563</v>
      </c>
      <c r="E13" s="95" t="s">
        <v>57</v>
      </c>
      <c r="F13" s="95" t="s">
        <v>77</v>
      </c>
      <c r="G13" s="96">
        <v>27975</v>
      </c>
      <c r="H13" s="16" t="s">
        <v>170</v>
      </c>
      <c r="I13" s="9" t="s">
        <v>172</v>
      </c>
      <c r="J13" s="9" t="s">
        <v>337</v>
      </c>
      <c r="K13" s="17" t="s">
        <v>214</v>
      </c>
      <c r="L13" s="15" t="s">
        <v>69</v>
      </c>
      <c r="M13" s="97">
        <v>27608030201213</v>
      </c>
      <c r="N13" s="98">
        <v>46050</v>
      </c>
      <c r="O13" s="99">
        <v>209012</v>
      </c>
      <c r="P13" s="100" t="s">
        <v>123</v>
      </c>
      <c r="Q13" s="100" t="s">
        <v>182</v>
      </c>
      <c r="R13" s="101">
        <v>43534</v>
      </c>
      <c r="S13" s="14" t="s">
        <v>161</v>
      </c>
      <c r="T13" s="11" t="s">
        <v>134</v>
      </c>
      <c r="U13" s="13" t="s">
        <v>131</v>
      </c>
      <c r="V13" s="89">
        <v>420</v>
      </c>
      <c r="W13" s="90" t="s">
        <v>98</v>
      </c>
      <c r="X13" s="91" t="s">
        <v>130</v>
      </c>
      <c r="Y13" s="92" t="s">
        <v>69</v>
      </c>
      <c r="Z13" s="93">
        <f t="shared" ca="1" si="0"/>
        <v>6</v>
      </c>
      <c r="AA13" s="93">
        <f t="shared" ca="1" si="1"/>
        <v>9</v>
      </c>
      <c r="AB13" s="90">
        <v>1</v>
      </c>
      <c r="AC13" s="90">
        <v>0</v>
      </c>
      <c r="AD13" s="90" t="s">
        <v>384</v>
      </c>
    </row>
    <row r="14" spans="1:30" hidden="1" x14ac:dyDescent="0.25">
      <c r="A14" s="120" t="s">
        <v>288</v>
      </c>
      <c r="B14" s="121" t="s">
        <v>36</v>
      </c>
      <c r="C14" s="134" t="s">
        <v>26</v>
      </c>
      <c r="D14" s="134" t="s">
        <v>602</v>
      </c>
      <c r="E14" s="121" t="s">
        <v>61</v>
      </c>
      <c r="F14" s="121" t="s">
        <v>77</v>
      </c>
      <c r="G14" s="122">
        <v>34357</v>
      </c>
      <c r="H14" s="123" t="s">
        <v>170</v>
      </c>
      <c r="I14" s="124" t="s">
        <v>172</v>
      </c>
      <c r="J14" s="124" t="s">
        <v>132</v>
      </c>
      <c r="K14" s="125" t="s">
        <v>368</v>
      </c>
      <c r="L14" s="126" t="s">
        <v>69</v>
      </c>
      <c r="M14" s="135">
        <v>29401232101796</v>
      </c>
      <c r="N14" s="128">
        <v>46842</v>
      </c>
      <c r="O14" s="136">
        <v>627767</v>
      </c>
      <c r="P14" s="137" t="s">
        <v>124</v>
      </c>
      <c r="Q14" s="137" t="s">
        <v>185</v>
      </c>
      <c r="R14" s="122">
        <v>44236</v>
      </c>
      <c r="S14" s="129" t="s">
        <v>199</v>
      </c>
      <c r="T14" s="121" t="s">
        <v>200</v>
      </c>
      <c r="U14" s="130" t="s">
        <v>131</v>
      </c>
      <c r="V14" s="131">
        <v>429</v>
      </c>
      <c r="W14" s="120" t="s">
        <v>100</v>
      </c>
      <c r="X14" s="132" t="s">
        <v>130</v>
      </c>
      <c r="Y14" s="133" t="s">
        <v>69</v>
      </c>
      <c r="Z14" s="121">
        <f t="shared" ca="1" si="0"/>
        <v>4</v>
      </c>
      <c r="AA14" s="121">
        <f t="shared" ca="1" si="1"/>
        <v>10</v>
      </c>
      <c r="AB14" s="120">
        <v>0</v>
      </c>
      <c r="AC14" s="120">
        <v>0</v>
      </c>
      <c r="AD14" s="120" t="s">
        <v>385</v>
      </c>
    </row>
    <row r="15" spans="1:30" hidden="1" x14ac:dyDescent="0.25">
      <c r="A15" s="120" t="s">
        <v>289</v>
      </c>
      <c r="B15" s="121" t="s">
        <v>36</v>
      </c>
      <c r="C15" s="134" t="s">
        <v>27</v>
      </c>
      <c r="D15" s="134" t="s">
        <v>603</v>
      </c>
      <c r="E15" s="121" t="s">
        <v>486</v>
      </c>
      <c r="F15" s="121" t="s">
        <v>81</v>
      </c>
      <c r="G15" s="122">
        <v>36167</v>
      </c>
      <c r="H15" s="123" t="s">
        <v>170</v>
      </c>
      <c r="I15" s="124" t="s">
        <v>171</v>
      </c>
      <c r="J15" s="124" t="s">
        <v>132</v>
      </c>
      <c r="K15" s="125" t="s">
        <v>249</v>
      </c>
      <c r="L15" s="126" t="s">
        <v>69</v>
      </c>
      <c r="M15" s="135">
        <v>29901070103172</v>
      </c>
      <c r="N15" s="128">
        <v>11098</v>
      </c>
      <c r="O15" s="136">
        <v>654196</v>
      </c>
      <c r="P15" s="137" t="s">
        <v>124</v>
      </c>
      <c r="Q15" s="137" t="s">
        <v>184</v>
      </c>
      <c r="R15" s="122">
        <v>44409</v>
      </c>
      <c r="S15" s="129" t="s">
        <v>194</v>
      </c>
      <c r="T15" s="121" t="s">
        <v>146</v>
      </c>
      <c r="U15" s="130" t="s">
        <v>131</v>
      </c>
      <c r="V15" s="131">
        <v>435</v>
      </c>
      <c r="W15" s="120" t="s">
        <v>107</v>
      </c>
      <c r="X15" s="132" t="s">
        <v>130</v>
      </c>
      <c r="Y15" s="133"/>
      <c r="Z15" s="121">
        <f t="shared" ca="1" si="0"/>
        <v>4</v>
      </c>
      <c r="AA15" s="121">
        <f t="shared" ca="1" si="1"/>
        <v>5</v>
      </c>
      <c r="AB15" s="120" t="s">
        <v>366</v>
      </c>
      <c r="AC15" s="120" t="s">
        <v>366</v>
      </c>
      <c r="AD15" s="120" t="s">
        <v>385</v>
      </c>
    </row>
    <row r="16" spans="1:30" hidden="1" x14ac:dyDescent="0.25">
      <c r="A16" s="120" t="s">
        <v>290</v>
      </c>
      <c r="B16" s="121" t="s">
        <v>36</v>
      </c>
      <c r="C16" s="134" t="s">
        <v>28</v>
      </c>
      <c r="D16" s="134" t="s">
        <v>604</v>
      </c>
      <c r="E16" s="121" t="s">
        <v>60</v>
      </c>
      <c r="F16" s="121" t="s">
        <v>76</v>
      </c>
      <c r="G16" s="122">
        <v>33307</v>
      </c>
      <c r="H16" s="123" t="s">
        <v>170</v>
      </c>
      <c r="I16" s="124" t="s">
        <v>171</v>
      </c>
      <c r="J16" s="124" t="s">
        <v>341</v>
      </c>
      <c r="K16" s="125" t="s">
        <v>272</v>
      </c>
      <c r="L16" s="126" t="s">
        <v>69</v>
      </c>
      <c r="M16" s="135">
        <v>29103102303116</v>
      </c>
      <c r="N16" s="128">
        <v>46988</v>
      </c>
      <c r="O16" s="136">
        <v>585163</v>
      </c>
      <c r="P16" s="137" t="s">
        <v>124</v>
      </c>
      <c r="Q16" s="137" t="s">
        <v>183</v>
      </c>
      <c r="R16" s="122">
        <v>44563</v>
      </c>
      <c r="S16" s="129" t="s">
        <v>196</v>
      </c>
      <c r="T16" s="121" t="s">
        <v>197</v>
      </c>
      <c r="U16" s="130" t="s">
        <v>197</v>
      </c>
      <c r="V16" s="131">
        <v>453</v>
      </c>
      <c r="W16" s="120" t="s">
        <v>105</v>
      </c>
      <c r="X16" s="132" t="s">
        <v>130</v>
      </c>
      <c r="Y16" s="133"/>
      <c r="Z16" s="121">
        <f t="shared" ca="1" si="0"/>
        <v>4</v>
      </c>
      <c r="AA16" s="121">
        <f t="shared" ca="1" si="1"/>
        <v>0</v>
      </c>
      <c r="AB16" s="120" t="s">
        <v>366</v>
      </c>
      <c r="AC16" s="120" t="s">
        <v>366</v>
      </c>
      <c r="AD16" s="120" t="s">
        <v>385</v>
      </c>
    </row>
    <row r="17" spans="1:30" hidden="1" x14ac:dyDescent="0.25">
      <c r="A17" s="120" t="s">
        <v>291</v>
      </c>
      <c r="B17" s="121" t="s">
        <v>36</v>
      </c>
      <c r="C17" s="134" t="s">
        <v>29</v>
      </c>
      <c r="D17" s="134" t="s">
        <v>605</v>
      </c>
      <c r="E17" s="145" t="s">
        <v>62</v>
      </c>
      <c r="F17" s="145" t="s">
        <v>81</v>
      </c>
      <c r="G17" s="122">
        <v>35643</v>
      </c>
      <c r="H17" s="123" t="s">
        <v>170</v>
      </c>
      <c r="I17" s="124" t="s">
        <v>172</v>
      </c>
      <c r="J17" s="124" t="s">
        <v>132</v>
      </c>
      <c r="K17" s="125" t="s">
        <v>249</v>
      </c>
      <c r="L17" s="126" t="s">
        <v>69</v>
      </c>
      <c r="M17" s="135">
        <v>29708012109701</v>
      </c>
      <c r="N17" s="128">
        <v>11232</v>
      </c>
      <c r="O17" s="136">
        <v>705560</v>
      </c>
      <c r="P17" s="137" t="s">
        <v>128</v>
      </c>
      <c r="Q17" s="137" t="s">
        <v>453</v>
      </c>
      <c r="R17" s="122">
        <v>44850</v>
      </c>
      <c r="S17" s="129" t="s">
        <v>195</v>
      </c>
      <c r="T17" s="121" t="s">
        <v>139</v>
      </c>
      <c r="U17" s="130" t="s">
        <v>131</v>
      </c>
      <c r="V17" s="131">
        <v>408</v>
      </c>
      <c r="W17" s="120" t="s">
        <v>108</v>
      </c>
      <c r="X17" s="132" t="s">
        <v>130</v>
      </c>
      <c r="Y17" s="133" t="s">
        <v>69</v>
      </c>
      <c r="Z17" s="121">
        <f t="shared" ca="1" si="0"/>
        <v>3</v>
      </c>
      <c r="AA17" s="121">
        <f t="shared" ca="1" si="1"/>
        <v>2</v>
      </c>
      <c r="AB17" s="120" t="s">
        <v>366</v>
      </c>
      <c r="AC17" s="120" t="s">
        <v>366</v>
      </c>
      <c r="AD17" s="120" t="s">
        <v>385</v>
      </c>
    </row>
    <row r="18" spans="1:30" x14ac:dyDescent="0.25">
      <c r="A18" s="90" t="s">
        <v>292</v>
      </c>
      <c r="B18" s="94" t="s">
        <v>36</v>
      </c>
      <c r="C18" s="153" t="s">
        <v>30</v>
      </c>
      <c r="D18" s="159" t="s">
        <v>564</v>
      </c>
      <c r="E18" s="95" t="s">
        <v>62</v>
      </c>
      <c r="F18" s="95" t="s">
        <v>81</v>
      </c>
      <c r="G18" s="96">
        <v>36510</v>
      </c>
      <c r="H18" s="16" t="s">
        <v>170</v>
      </c>
      <c r="I18" s="9" t="s">
        <v>171</v>
      </c>
      <c r="J18" s="9" t="s">
        <v>132</v>
      </c>
      <c r="K18" s="17" t="s">
        <v>248</v>
      </c>
      <c r="L18" s="15" t="s">
        <v>69</v>
      </c>
      <c r="M18" s="97">
        <v>29912162101267</v>
      </c>
      <c r="N18" s="98">
        <v>48107</v>
      </c>
      <c r="O18" s="99">
        <v>719204</v>
      </c>
      <c r="P18" s="100" t="s">
        <v>128</v>
      </c>
      <c r="Q18" s="100" t="s">
        <v>69</v>
      </c>
      <c r="R18" s="101">
        <v>44983</v>
      </c>
      <c r="S18" s="14" t="s">
        <v>190</v>
      </c>
      <c r="T18" s="11" t="s">
        <v>134</v>
      </c>
      <c r="U18" s="13" t="s">
        <v>131</v>
      </c>
      <c r="V18" s="89">
        <v>407</v>
      </c>
      <c r="W18" s="90" t="s">
        <v>109</v>
      </c>
      <c r="X18" s="91" t="s">
        <v>130</v>
      </c>
      <c r="Y18" s="92" t="s">
        <v>69</v>
      </c>
      <c r="Z18" s="93">
        <f t="shared" ca="1" si="0"/>
        <v>2</v>
      </c>
      <c r="AA18" s="93">
        <f t="shared" ca="1" si="1"/>
        <v>10</v>
      </c>
      <c r="AB18" s="90" t="s">
        <v>366</v>
      </c>
      <c r="AC18" s="90" t="s">
        <v>366</v>
      </c>
      <c r="AD18" s="90" t="s">
        <v>384</v>
      </c>
    </row>
    <row r="19" spans="1:30" hidden="1" x14ac:dyDescent="0.25">
      <c r="A19" s="120" t="s">
        <v>293</v>
      </c>
      <c r="B19" s="121" t="s">
        <v>36</v>
      </c>
      <c r="C19" s="134" t="s">
        <v>31</v>
      </c>
      <c r="D19" s="134" t="s">
        <v>606</v>
      </c>
      <c r="E19" s="121" t="s">
        <v>63</v>
      </c>
      <c r="F19" s="121" t="s">
        <v>81</v>
      </c>
      <c r="G19" s="122">
        <v>32903</v>
      </c>
      <c r="H19" s="123" t="s">
        <v>170</v>
      </c>
      <c r="I19" s="124" t="s">
        <v>173</v>
      </c>
      <c r="J19" s="124" t="s">
        <v>244</v>
      </c>
      <c r="K19" s="125" t="s">
        <v>209</v>
      </c>
      <c r="L19" s="126" t="s">
        <v>69</v>
      </c>
      <c r="M19" s="135">
        <v>29001300100207</v>
      </c>
      <c r="N19" s="128">
        <v>45740</v>
      </c>
      <c r="O19" s="136">
        <v>482737</v>
      </c>
      <c r="P19" s="137" t="s">
        <v>124</v>
      </c>
      <c r="Q19" s="137" t="s">
        <v>188</v>
      </c>
      <c r="R19" s="122">
        <v>45096</v>
      </c>
      <c r="S19" s="129" t="s">
        <v>250</v>
      </c>
      <c r="T19" s="144" t="s">
        <v>146</v>
      </c>
      <c r="U19" s="130" t="s">
        <v>131</v>
      </c>
      <c r="V19" s="131">
        <v>448</v>
      </c>
      <c r="W19" s="120" t="s">
        <v>85</v>
      </c>
      <c r="X19" s="132" t="s">
        <v>130</v>
      </c>
      <c r="Y19" s="133" t="s">
        <v>69</v>
      </c>
      <c r="Z19" s="121">
        <f t="shared" ca="1" si="0"/>
        <v>2</v>
      </c>
      <c r="AA19" s="121">
        <f t="shared" ca="1" si="1"/>
        <v>6</v>
      </c>
      <c r="AB19" s="120" t="s">
        <v>366</v>
      </c>
      <c r="AC19" s="120" t="s">
        <v>366</v>
      </c>
      <c r="AD19" s="120" t="s">
        <v>385</v>
      </c>
    </row>
    <row r="20" spans="1:30" x14ac:dyDescent="0.25">
      <c r="A20" s="90" t="s">
        <v>294</v>
      </c>
      <c r="B20" s="94" t="s">
        <v>36</v>
      </c>
      <c r="C20" s="153" t="s">
        <v>32</v>
      </c>
      <c r="D20" s="159" t="s">
        <v>565</v>
      </c>
      <c r="E20" s="95" t="s">
        <v>60</v>
      </c>
      <c r="F20" s="95" t="s">
        <v>77</v>
      </c>
      <c r="G20" s="96">
        <v>33539</v>
      </c>
      <c r="H20" s="16" t="s">
        <v>170</v>
      </c>
      <c r="I20" s="9" t="s">
        <v>172</v>
      </c>
      <c r="J20" s="9" t="s">
        <v>341</v>
      </c>
      <c r="K20" s="17" t="s">
        <v>272</v>
      </c>
      <c r="L20" s="15" t="s">
        <v>69</v>
      </c>
      <c r="M20" s="97">
        <v>29110282301155</v>
      </c>
      <c r="N20" s="98">
        <v>48248</v>
      </c>
      <c r="O20" s="99">
        <v>525032</v>
      </c>
      <c r="P20" s="100" t="s">
        <v>126</v>
      </c>
      <c r="Q20" s="100" t="s">
        <v>186</v>
      </c>
      <c r="R20" s="101">
        <v>45125</v>
      </c>
      <c r="S20" s="14" t="s">
        <v>340</v>
      </c>
      <c r="T20" s="11" t="s">
        <v>153</v>
      </c>
      <c r="U20" s="13" t="s">
        <v>131</v>
      </c>
      <c r="V20" s="89">
        <v>459</v>
      </c>
      <c r="W20" s="90" t="s">
        <v>118</v>
      </c>
      <c r="X20" s="91" t="s">
        <v>130</v>
      </c>
      <c r="Y20" s="92" t="s">
        <v>69</v>
      </c>
      <c r="Z20" s="93">
        <f t="shared" ca="1" si="0"/>
        <v>2</v>
      </c>
      <c r="AA20" s="93">
        <f t="shared" ca="1" si="1"/>
        <v>5</v>
      </c>
      <c r="AB20" s="90">
        <v>5</v>
      </c>
      <c r="AC20" s="90">
        <v>0</v>
      </c>
      <c r="AD20" s="90" t="s">
        <v>384</v>
      </c>
    </row>
    <row r="21" spans="1:30" ht="13.95" customHeight="1" x14ac:dyDescent="0.25">
      <c r="A21" s="90" t="s">
        <v>478</v>
      </c>
      <c r="B21" s="94" t="s">
        <v>36</v>
      </c>
      <c r="C21" s="153" t="s">
        <v>479</v>
      </c>
      <c r="D21" s="159" t="s">
        <v>566</v>
      </c>
      <c r="E21" s="95" t="s">
        <v>62</v>
      </c>
      <c r="F21" s="95" t="s">
        <v>81</v>
      </c>
      <c r="G21" s="96">
        <v>35688</v>
      </c>
      <c r="H21" s="16" t="s">
        <v>170</v>
      </c>
      <c r="I21" s="9" t="s">
        <v>172</v>
      </c>
      <c r="J21" s="9" t="s">
        <v>132</v>
      </c>
      <c r="K21" s="17" t="s">
        <v>480</v>
      </c>
      <c r="L21" s="15" t="s">
        <v>69</v>
      </c>
      <c r="M21" s="97">
        <v>29709158800274</v>
      </c>
      <c r="N21" s="98">
        <v>47462</v>
      </c>
      <c r="O21" s="99">
        <v>682192</v>
      </c>
      <c r="P21" s="100" t="s">
        <v>128</v>
      </c>
      <c r="Q21" s="100" t="s">
        <v>481</v>
      </c>
      <c r="R21" s="101">
        <v>45323</v>
      </c>
      <c r="S21" s="14" t="s">
        <v>482</v>
      </c>
      <c r="T21" s="11" t="s">
        <v>139</v>
      </c>
      <c r="U21" s="13" t="s">
        <v>131</v>
      </c>
      <c r="V21" s="89">
        <v>435</v>
      </c>
      <c r="W21" s="90" t="s">
        <v>483</v>
      </c>
      <c r="X21" s="91" t="s">
        <v>130</v>
      </c>
      <c r="Y21" s="92" t="s">
        <v>69</v>
      </c>
      <c r="Z21" s="93">
        <f t="shared" ca="1" si="0"/>
        <v>1</v>
      </c>
      <c r="AA21" s="93">
        <f t="shared" ca="1" si="1"/>
        <v>11</v>
      </c>
      <c r="AB21" s="90" t="s">
        <v>366</v>
      </c>
      <c r="AC21" s="90">
        <v>0</v>
      </c>
      <c r="AD21" s="90" t="s">
        <v>384</v>
      </c>
    </row>
    <row r="22" spans="1:30" hidden="1" x14ac:dyDescent="0.25">
      <c r="A22" s="120" t="s">
        <v>489</v>
      </c>
      <c r="B22" s="121" t="s">
        <v>36</v>
      </c>
      <c r="C22" s="134" t="s">
        <v>495</v>
      </c>
      <c r="D22" s="134" t="s">
        <v>567</v>
      </c>
      <c r="E22" s="121" t="s">
        <v>62</v>
      </c>
      <c r="F22" s="121" t="s">
        <v>81</v>
      </c>
      <c r="G22" s="122">
        <v>37222</v>
      </c>
      <c r="H22" s="123" t="s">
        <v>170</v>
      </c>
      <c r="I22" s="124" t="s">
        <v>171</v>
      </c>
      <c r="J22" s="124" t="s">
        <v>491</v>
      </c>
      <c r="K22" s="125" t="s">
        <v>492</v>
      </c>
      <c r="L22" s="126" t="s">
        <v>69</v>
      </c>
      <c r="M22" s="135">
        <v>30111272101141</v>
      </c>
      <c r="N22" s="128">
        <v>46732</v>
      </c>
      <c r="O22" s="136">
        <v>748829</v>
      </c>
      <c r="P22" s="137" t="s">
        <v>128</v>
      </c>
      <c r="Q22" s="137" t="s">
        <v>537</v>
      </c>
      <c r="R22" s="122">
        <v>45354</v>
      </c>
      <c r="S22" s="129" t="s">
        <v>494</v>
      </c>
      <c r="T22" s="121" t="s">
        <v>139</v>
      </c>
      <c r="U22" s="130" t="s">
        <v>131</v>
      </c>
      <c r="V22" s="131">
        <v>436</v>
      </c>
      <c r="W22" s="120" t="s">
        <v>493</v>
      </c>
      <c r="X22" s="132" t="s">
        <v>130</v>
      </c>
      <c r="Y22" s="133" t="s">
        <v>69</v>
      </c>
      <c r="Z22" s="121">
        <f t="shared" ca="1" si="0"/>
        <v>1</v>
      </c>
      <c r="AA22" s="121">
        <f t="shared" ca="1" si="1"/>
        <v>10</v>
      </c>
      <c r="AB22" s="120" t="s">
        <v>366</v>
      </c>
      <c r="AC22" s="120">
        <v>0</v>
      </c>
      <c r="AD22" s="120" t="s">
        <v>385</v>
      </c>
    </row>
    <row r="23" spans="1:30" hidden="1" x14ac:dyDescent="0.25">
      <c r="A23" s="120" t="s">
        <v>496</v>
      </c>
      <c r="B23" s="121" t="s">
        <v>36</v>
      </c>
      <c r="C23" s="134" t="s">
        <v>497</v>
      </c>
      <c r="D23" s="134" t="s">
        <v>601</v>
      </c>
      <c r="E23" s="121" t="s">
        <v>60</v>
      </c>
      <c r="F23" s="121" t="s">
        <v>76</v>
      </c>
      <c r="G23" s="122">
        <v>35383</v>
      </c>
      <c r="H23" s="123" t="s">
        <v>498</v>
      </c>
      <c r="I23" s="124" t="s">
        <v>503</v>
      </c>
      <c r="J23" s="124" t="s">
        <v>502</v>
      </c>
      <c r="K23" s="125" t="s">
        <v>499</v>
      </c>
      <c r="L23" s="126" t="s">
        <v>69</v>
      </c>
      <c r="M23" s="135">
        <v>29611142103697</v>
      </c>
      <c r="N23" s="128">
        <v>47469</v>
      </c>
      <c r="O23" s="136">
        <v>710391</v>
      </c>
      <c r="P23" s="137" t="s">
        <v>128</v>
      </c>
      <c r="Q23" s="137" t="s">
        <v>69</v>
      </c>
      <c r="R23" s="122">
        <v>45397</v>
      </c>
      <c r="S23" s="129" t="s">
        <v>500</v>
      </c>
      <c r="T23" s="121" t="s">
        <v>134</v>
      </c>
      <c r="U23" s="130" t="s">
        <v>131</v>
      </c>
      <c r="V23" s="131">
        <v>406</v>
      </c>
      <c r="W23" s="120" t="s">
        <v>501</v>
      </c>
      <c r="X23" s="132" t="s">
        <v>130</v>
      </c>
      <c r="Y23" s="133" t="s">
        <v>69</v>
      </c>
      <c r="Z23" s="121">
        <f t="shared" ca="1" si="0"/>
        <v>1</v>
      </c>
      <c r="AA23" s="121">
        <f t="shared" ca="1" si="1"/>
        <v>8</v>
      </c>
      <c r="AB23" s="120" t="s">
        <v>366</v>
      </c>
      <c r="AC23" s="120">
        <v>0</v>
      </c>
      <c r="AD23" s="120" t="s">
        <v>385</v>
      </c>
    </row>
    <row r="24" spans="1:30" ht="13.95" customHeight="1" x14ac:dyDescent="0.25">
      <c r="A24" s="90" t="s">
        <v>533</v>
      </c>
      <c r="B24" s="94" t="s">
        <v>36</v>
      </c>
      <c r="C24" s="153" t="s">
        <v>534</v>
      </c>
      <c r="D24" s="159" t="s">
        <v>568</v>
      </c>
      <c r="E24" s="95" t="s">
        <v>62</v>
      </c>
      <c r="F24" s="95" t="s">
        <v>76</v>
      </c>
      <c r="G24" s="96">
        <v>37120</v>
      </c>
      <c r="H24" s="16" t="s">
        <v>170</v>
      </c>
      <c r="I24" s="9" t="s">
        <v>171</v>
      </c>
      <c r="J24" s="9" t="s">
        <v>132</v>
      </c>
      <c r="K24" s="17" t="s">
        <v>492</v>
      </c>
      <c r="L24" s="15" t="s">
        <v>69</v>
      </c>
      <c r="M24" s="97">
        <v>30108170103254</v>
      </c>
      <c r="N24" s="98">
        <v>47694</v>
      </c>
      <c r="O24" s="99">
        <v>753438</v>
      </c>
      <c r="P24" s="100" t="s">
        <v>128</v>
      </c>
      <c r="Q24" s="100" t="s">
        <v>587</v>
      </c>
      <c r="R24" s="101">
        <v>45536</v>
      </c>
      <c r="S24" s="14" t="s">
        <v>535</v>
      </c>
      <c r="T24" s="11" t="s">
        <v>134</v>
      </c>
      <c r="U24" s="13" t="s">
        <v>131</v>
      </c>
      <c r="V24" s="89">
        <v>453</v>
      </c>
      <c r="W24" s="90" t="s">
        <v>536</v>
      </c>
      <c r="X24" s="91" t="s">
        <v>130</v>
      </c>
      <c r="Y24" s="92" t="s">
        <v>69</v>
      </c>
      <c r="Z24" s="93">
        <f t="shared" ca="1" si="0"/>
        <v>1</v>
      </c>
      <c r="AA24" s="93">
        <f t="shared" ca="1" si="1"/>
        <v>4</v>
      </c>
      <c r="AB24" s="90" t="s">
        <v>366</v>
      </c>
      <c r="AC24" s="90">
        <v>0</v>
      </c>
      <c r="AD24" s="90" t="s">
        <v>384</v>
      </c>
    </row>
    <row r="25" spans="1:30" x14ac:dyDescent="0.25">
      <c r="A25" s="90" t="s">
        <v>543</v>
      </c>
      <c r="B25" s="94" t="s">
        <v>36</v>
      </c>
      <c r="C25" s="153" t="s">
        <v>627</v>
      </c>
      <c r="D25" s="159" t="s">
        <v>626</v>
      </c>
      <c r="E25" s="95" t="s">
        <v>57</v>
      </c>
      <c r="F25" s="95" t="s">
        <v>76</v>
      </c>
      <c r="G25" s="96">
        <v>34680</v>
      </c>
      <c r="H25" s="16" t="s">
        <v>170</v>
      </c>
      <c r="I25" s="9" t="s">
        <v>547</v>
      </c>
      <c r="J25" s="9" t="s">
        <v>545</v>
      </c>
      <c r="K25" s="17" t="s">
        <v>546</v>
      </c>
      <c r="L25" s="15" t="s">
        <v>69</v>
      </c>
      <c r="M25" s="97">
        <v>29412120102597</v>
      </c>
      <c r="N25" s="98">
        <v>46050</v>
      </c>
      <c r="O25" s="99">
        <v>651901</v>
      </c>
      <c r="P25" s="100" t="s">
        <v>124</v>
      </c>
      <c r="Q25" s="100" t="s">
        <v>588</v>
      </c>
      <c r="R25" s="101">
        <v>45690</v>
      </c>
      <c r="S25" s="14" t="s">
        <v>550</v>
      </c>
      <c r="T25" s="11" t="s">
        <v>134</v>
      </c>
      <c r="U25" s="13" t="s">
        <v>131</v>
      </c>
      <c r="V25" s="89">
        <v>406</v>
      </c>
      <c r="W25" s="90" t="s">
        <v>548</v>
      </c>
      <c r="X25" s="91" t="s">
        <v>130</v>
      </c>
      <c r="Y25" s="92" t="s">
        <v>69</v>
      </c>
      <c r="Z25" s="93">
        <f t="shared" ca="1" si="0"/>
        <v>0</v>
      </c>
      <c r="AA25" s="93">
        <f t="shared" ca="1" si="1"/>
        <v>11</v>
      </c>
      <c r="AB25" s="90" t="s">
        <v>549</v>
      </c>
      <c r="AC25" s="90" t="s">
        <v>366</v>
      </c>
      <c r="AD25" s="90" t="s">
        <v>384</v>
      </c>
    </row>
    <row r="26" spans="1:30" x14ac:dyDescent="0.25">
      <c r="A26" s="90" t="s">
        <v>589</v>
      </c>
      <c r="B26" s="94" t="s">
        <v>36</v>
      </c>
      <c r="C26" s="153" t="s">
        <v>590</v>
      </c>
      <c r="D26" s="159" t="s">
        <v>595</v>
      </c>
      <c r="E26" s="95" t="s">
        <v>62</v>
      </c>
      <c r="F26" s="95" t="s">
        <v>77</v>
      </c>
      <c r="G26" s="96">
        <v>36054</v>
      </c>
      <c r="H26" s="16" t="s">
        <v>170</v>
      </c>
      <c r="I26" s="9" t="s">
        <v>172</v>
      </c>
      <c r="J26" s="9" t="s">
        <v>132</v>
      </c>
      <c r="K26" s="17" t="s">
        <v>248</v>
      </c>
      <c r="L26" s="15" t="s">
        <v>69</v>
      </c>
      <c r="M26" s="97">
        <v>29809161304657</v>
      </c>
      <c r="N26" s="98">
        <v>47813</v>
      </c>
      <c r="O26" s="99">
        <v>774413</v>
      </c>
      <c r="P26" s="100" t="s">
        <v>128</v>
      </c>
      <c r="Q26" s="100" t="s">
        <v>69</v>
      </c>
      <c r="R26" s="101">
        <v>45872</v>
      </c>
      <c r="S26" s="14" t="s">
        <v>592</v>
      </c>
      <c r="T26" s="11" t="s">
        <v>593</v>
      </c>
      <c r="U26" s="13" t="s">
        <v>132</v>
      </c>
      <c r="V26" s="89">
        <v>429</v>
      </c>
      <c r="W26" s="90" t="s">
        <v>594</v>
      </c>
      <c r="X26" s="91" t="s">
        <v>130</v>
      </c>
      <c r="Y26" s="92" t="s">
        <v>69</v>
      </c>
      <c r="Z26" s="93">
        <f t="shared" ca="1" si="0"/>
        <v>0</v>
      </c>
      <c r="AA26" s="93">
        <f t="shared" ca="1" si="1"/>
        <v>5</v>
      </c>
      <c r="AB26" s="90" t="s">
        <v>366</v>
      </c>
      <c r="AC26" s="90">
        <v>0</v>
      </c>
      <c r="AD26" s="90" t="s">
        <v>384</v>
      </c>
    </row>
    <row r="27" spans="1:30" ht="13.8" customHeight="1" x14ac:dyDescent="0.25">
      <c r="A27" s="90" t="s">
        <v>295</v>
      </c>
      <c r="B27" s="94" t="s">
        <v>37</v>
      </c>
      <c r="C27" s="154" t="s">
        <v>168</v>
      </c>
      <c r="D27" s="160" t="s">
        <v>569</v>
      </c>
      <c r="E27" s="95" t="s">
        <v>40</v>
      </c>
      <c r="F27" s="95" t="s">
        <v>119</v>
      </c>
      <c r="G27" s="96">
        <v>31635</v>
      </c>
      <c r="H27" s="16" t="s">
        <v>201</v>
      </c>
      <c r="I27" s="9" t="s">
        <v>202</v>
      </c>
      <c r="J27" s="9" t="s">
        <v>146</v>
      </c>
      <c r="K27" s="17">
        <v>2008</v>
      </c>
      <c r="L27" s="15" t="s">
        <v>346</v>
      </c>
      <c r="M27" s="147">
        <v>28608110105022</v>
      </c>
      <c r="N27" s="98">
        <v>46996</v>
      </c>
      <c r="O27" s="99" t="s">
        <v>129</v>
      </c>
      <c r="P27" s="100" t="s">
        <v>129</v>
      </c>
      <c r="Q27" s="100" t="s">
        <v>129</v>
      </c>
      <c r="R27" s="101">
        <v>41107</v>
      </c>
      <c r="S27" s="14" t="s">
        <v>203</v>
      </c>
      <c r="T27" s="11" t="s">
        <v>134</v>
      </c>
      <c r="U27" s="13" t="s">
        <v>131</v>
      </c>
      <c r="V27" s="89">
        <v>410</v>
      </c>
      <c r="W27" s="90" t="s">
        <v>106</v>
      </c>
      <c r="X27" s="91" t="s">
        <v>258</v>
      </c>
      <c r="Y27" s="92">
        <f>Contracts!D3</f>
        <v>46219</v>
      </c>
      <c r="Z27" s="93">
        <f t="shared" ca="1" si="0"/>
        <v>13</v>
      </c>
      <c r="AA27" s="93">
        <f t="shared" ca="1" si="1"/>
        <v>5</v>
      </c>
      <c r="AB27" s="90">
        <v>4</v>
      </c>
      <c r="AC27" s="90">
        <v>0</v>
      </c>
      <c r="AD27" s="90" t="s">
        <v>384</v>
      </c>
    </row>
    <row r="28" spans="1:30" ht="13.8" customHeight="1" x14ac:dyDescent="0.25">
      <c r="A28" s="90" t="s">
        <v>296</v>
      </c>
      <c r="B28" s="94" t="s">
        <v>37</v>
      </c>
      <c r="C28" s="155" t="s">
        <v>0</v>
      </c>
      <c r="D28" s="161" t="s">
        <v>570</v>
      </c>
      <c r="E28" s="95" t="s">
        <v>42</v>
      </c>
      <c r="F28" s="95" t="s">
        <v>73</v>
      </c>
      <c r="G28" s="96">
        <v>31982</v>
      </c>
      <c r="H28" s="16" t="s">
        <v>210</v>
      </c>
      <c r="I28" s="9" t="s">
        <v>206</v>
      </c>
      <c r="J28" s="9" t="s">
        <v>207</v>
      </c>
      <c r="K28" s="17" t="s">
        <v>209</v>
      </c>
      <c r="L28" s="15" t="s">
        <v>354</v>
      </c>
      <c r="M28" s="102">
        <v>28707248800056</v>
      </c>
      <c r="N28" s="98">
        <v>47314</v>
      </c>
      <c r="O28" s="99" t="s">
        <v>540</v>
      </c>
      <c r="P28" s="100" t="s">
        <v>129</v>
      </c>
      <c r="Q28" s="100" t="s">
        <v>129</v>
      </c>
      <c r="R28" s="101">
        <v>41660</v>
      </c>
      <c r="S28" s="14" t="s">
        <v>204</v>
      </c>
      <c r="T28" s="11" t="s">
        <v>205</v>
      </c>
      <c r="U28" s="13" t="s">
        <v>132</v>
      </c>
      <c r="V28" s="89">
        <v>490</v>
      </c>
      <c r="W28" s="90" t="s">
        <v>112</v>
      </c>
      <c r="X28" s="91" t="s">
        <v>258</v>
      </c>
      <c r="Y28" s="92">
        <f>Contracts!D18</f>
        <v>46042</v>
      </c>
      <c r="Z28" s="93">
        <f t="shared" ca="1" si="0"/>
        <v>11</v>
      </c>
      <c r="AA28" s="93">
        <f t="shared" ca="1" si="1"/>
        <v>11</v>
      </c>
      <c r="AB28" s="90">
        <v>1</v>
      </c>
      <c r="AC28" s="90">
        <v>8</v>
      </c>
      <c r="AD28" s="90" t="s">
        <v>384</v>
      </c>
    </row>
    <row r="29" spans="1:30" ht="13.8" customHeight="1" x14ac:dyDescent="0.25">
      <c r="A29" s="90" t="s">
        <v>297</v>
      </c>
      <c r="B29" s="94" t="s">
        <v>37</v>
      </c>
      <c r="C29" s="155" t="s">
        <v>1</v>
      </c>
      <c r="D29" s="161" t="s">
        <v>571</v>
      </c>
      <c r="E29" s="95" t="s">
        <v>41</v>
      </c>
      <c r="F29" s="95" t="s">
        <v>74</v>
      </c>
      <c r="G29" s="96">
        <v>32661</v>
      </c>
      <c r="H29" s="16" t="s">
        <v>211</v>
      </c>
      <c r="I29" s="9" t="s">
        <v>506</v>
      </c>
      <c r="J29" s="9" t="s">
        <v>163</v>
      </c>
      <c r="K29" s="17" t="s">
        <v>212</v>
      </c>
      <c r="L29" s="15" t="s">
        <v>351</v>
      </c>
      <c r="M29" s="102">
        <v>28906020101215</v>
      </c>
      <c r="N29" s="98">
        <v>46649</v>
      </c>
      <c r="O29" s="99" t="s">
        <v>129</v>
      </c>
      <c r="P29" s="100" t="s">
        <v>129</v>
      </c>
      <c r="Q29" s="100" t="s">
        <v>129</v>
      </c>
      <c r="R29" s="101">
        <v>43009</v>
      </c>
      <c r="S29" s="14" t="s">
        <v>145</v>
      </c>
      <c r="T29" s="12" t="s">
        <v>146</v>
      </c>
      <c r="U29" s="13" t="s">
        <v>131</v>
      </c>
      <c r="V29" s="89">
        <v>451</v>
      </c>
      <c r="W29" s="90" t="s">
        <v>117</v>
      </c>
      <c r="X29" s="91" t="s">
        <v>258</v>
      </c>
      <c r="Y29" s="92">
        <f>Contracts!D33</f>
        <v>46126</v>
      </c>
      <c r="Z29" s="93">
        <f t="shared" ca="1" si="0"/>
        <v>8</v>
      </c>
      <c r="AA29" s="93">
        <f t="shared" ca="1" si="1"/>
        <v>3</v>
      </c>
      <c r="AB29" s="90">
        <v>5</v>
      </c>
      <c r="AC29" s="90">
        <v>2</v>
      </c>
      <c r="AD29" s="90" t="s">
        <v>384</v>
      </c>
    </row>
    <row r="30" spans="1:30" hidden="1" x14ac:dyDescent="0.25">
      <c r="A30" s="120" t="s">
        <v>298</v>
      </c>
      <c r="B30" s="121" t="s">
        <v>37</v>
      </c>
      <c r="C30" s="134" t="s">
        <v>2</v>
      </c>
      <c r="D30" s="134" t="s">
        <v>600</v>
      </c>
      <c r="E30" s="121" t="s">
        <v>43</v>
      </c>
      <c r="F30" s="121" t="s">
        <v>189</v>
      </c>
      <c r="G30" s="122">
        <v>29779</v>
      </c>
      <c r="H30" s="123" t="s">
        <v>201</v>
      </c>
      <c r="I30" s="124" t="s">
        <v>247</v>
      </c>
      <c r="J30" s="124" t="s">
        <v>132</v>
      </c>
      <c r="K30" s="125" t="s">
        <v>233</v>
      </c>
      <c r="L30" s="126" t="s">
        <v>355</v>
      </c>
      <c r="M30" s="127">
        <v>28107122101805</v>
      </c>
      <c r="N30" s="128">
        <v>45792</v>
      </c>
      <c r="O30" s="136" t="s">
        <v>129</v>
      </c>
      <c r="P30" s="137" t="s">
        <v>129</v>
      </c>
      <c r="Q30" s="137" t="s">
        <v>129</v>
      </c>
      <c r="R30" s="122">
        <v>43814</v>
      </c>
      <c r="S30" s="129" t="s">
        <v>246</v>
      </c>
      <c r="T30" s="121" t="s">
        <v>153</v>
      </c>
      <c r="U30" s="130" t="s">
        <v>131</v>
      </c>
      <c r="V30" s="131">
        <v>412</v>
      </c>
      <c r="W30" s="120" t="s">
        <v>113</v>
      </c>
      <c r="X30" s="132" t="s">
        <v>391</v>
      </c>
      <c r="Y30" s="133">
        <v>45275</v>
      </c>
      <c r="Z30" s="121">
        <f t="shared" ca="1" si="0"/>
        <v>6</v>
      </c>
      <c r="AA30" s="121">
        <f t="shared" ca="1" si="1"/>
        <v>0</v>
      </c>
      <c r="AB30" s="120" t="s">
        <v>366</v>
      </c>
      <c r="AC30" s="120" t="s">
        <v>366</v>
      </c>
      <c r="AD30" s="120" t="s">
        <v>385</v>
      </c>
    </row>
    <row r="31" spans="1:30" x14ac:dyDescent="0.25">
      <c r="A31" s="90" t="s">
        <v>299</v>
      </c>
      <c r="B31" s="94" t="s">
        <v>37</v>
      </c>
      <c r="C31" s="156" t="s">
        <v>3</v>
      </c>
      <c r="D31" s="162" t="s">
        <v>572</v>
      </c>
      <c r="E31" s="95" t="s">
        <v>44</v>
      </c>
      <c r="F31" s="95" t="s">
        <v>189</v>
      </c>
      <c r="G31" s="96">
        <v>27900</v>
      </c>
      <c r="H31" s="16" t="s">
        <v>211</v>
      </c>
      <c r="I31" s="9" t="s">
        <v>74</v>
      </c>
      <c r="J31" s="9" t="s">
        <v>132</v>
      </c>
      <c r="K31" s="17" t="s">
        <v>214</v>
      </c>
      <c r="L31" s="15" t="s">
        <v>353</v>
      </c>
      <c r="M31" s="102">
        <v>27605208800184</v>
      </c>
      <c r="N31" s="98">
        <v>46728</v>
      </c>
      <c r="O31" s="99" t="s">
        <v>129</v>
      </c>
      <c r="P31" s="100" t="s">
        <v>129</v>
      </c>
      <c r="Q31" s="100" t="s">
        <v>129</v>
      </c>
      <c r="R31" s="101">
        <v>43223</v>
      </c>
      <c r="S31" s="14" t="s">
        <v>140</v>
      </c>
      <c r="T31" s="11" t="s">
        <v>139</v>
      </c>
      <c r="U31" s="13" t="s">
        <v>131</v>
      </c>
      <c r="V31" s="89">
        <v>411</v>
      </c>
      <c r="W31" s="90" t="s">
        <v>115</v>
      </c>
      <c r="X31" s="91" t="s">
        <v>258</v>
      </c>
      <c r="Y31" s="92">
        <f>Contracts!D52</f>
        <v>46162</v>
      </c>
      <c r="Z31" s="93">
        <f t="shared" ca="1" si="0"/>
        <v>7</v>
      </c>
      <c r="AA31" s="93">
        <f t="shared" ca="1" si="1"/>
        <v>8</v>
      </c>
      <c r="AB31" s="90">
        <v>13</v>
      </c>
      <c r="AC31" s="90">
        <v>0</v>
      </c>
      <c r="AD31" s="90" t="s">
        <v>384</v>
      </c>
    </row>
    <row r="32" spans="1:30" x14ac:dyDescent="0.25">
      <c r="A32" s="90" t="s">
        <v>300</v>
      </c>
      <c r="B32" s="94" t="s">
        <v>37</v>
      </c>
      <c r="C32" s="155" t="s">
        <v>4</v>
      </c>
      <c r="D32" s="161" t="s">
        <v>628</v>
      </c>
      <c r="E32" s="95" t="s">
        <v>43</v>
      </c>
      <c r="F32" s="95" t="s">
        <v>189</v>
      </c>
      <c r="G32" s="96">
        <v>29657</v>
      </c>
      <c r="H32" s="16" t="s">
        <v>215</v>
      </c>
      <c r="I32" s="9" t="s">
        <v>202</v>
      </c>
      <c r="J32" s="9" t="s">
        <v>163</v>
      </c>
      <c r="K32" s="17" t="s">
        <v>274</v>
      </c>
      <c r="L32" s="15" t="s">
        <v>356</v>
      </c>
      <c r="M32" s="102">
        <v>28103120101985</v>
      </c>
      <c r="N32" s="98">
        <v>48339</v>
      </c>
      <c r="O32" s="99" t="s">
        <v>129</v>
      </c>
      <c r="P32" s="100" t="s">
        <v>129</v>
      </c>
      <c r="Q32" s="100" t="s">
        <v>129</v>
      </c>
      <c r="R32" s="101">
        <v>43534</v>
      </c>
      <c r="S32" s="14" t="s">
        <v>273</v>
      </c>
      <c r="T32" s="11" t="s">
        <v>154</v>
      </c>
      <c r="U32" s="13" t="s">
        <v>132</v>
      </c>
      <c r="V32" s="89">
        <v>401</v>
      </c>
      <c r="W32" s="90" t="s">
        <v>114</v>
      </c>
      <c r="X32" s="91" t="s">
        <v>258</v>
      </c>
      <c r="Y32" s="92">
        <f>Contracts!D64</f>
        <v>46090</v>
      </c>
      <c r="Z32" s="93">
        <f t="shared" ca="1" si="0"/>
        <v>6</v>
      </c>
      <c r="AA32" s="93">
        <f t="shared" ca="1" si="1"/>
        <v>9</v>
      </c>
      <c r="AB32" s="90" t="s">
        <v>366</v>
      </c>
      <c r="AC32" s="90" t="s">
        <v>366</v>
      </c>
      <c r="AD32" s="90" t="s">
        <v>384</v>
      </c>
    </row>
    <row r="33" spans="1:30" hidden="1" x14ac:dyDescent="0.25">
      <c r="A33" s="120" t="s">
        <v>301</v>
      </c>
      <c r="B33" s="121" t="s">
        <v>37</v>
      </c>
      <c r="C33" s="121" t="s">
        <v>5</v>
      </c>
      <c r="D33" s="121" t="s">
        <v>573</v>
      </c>
      <c r="E33" s="121" t="s">
        <v>45</v>
      </c>
      <c r="F33" s="121" t="s">
        <v>77</v>
      </c>
      <c r="G33" s="122">
        <v>30529</v>
      </c>
      <c r="H33" s="123" t="s">
        <v>215</v>
      </c>
      <c r="I33" s="124" t="s">
        <v>202</v>
      </c>
      <c r="J33" s="124" t="s">
        <v>163</v>
      </c>
      <c r="K33" s="125" t="s">
        <v>216</v>
      </c>
      <c r="L33" s="126" t="s">
        <v>357</v>
      </c>
      <c r="M33" s="127">
        <v>28308011600531</v>
      </c>
      <c r="N33" s="128">
        <v>47174</v>
      </c>
      <c r="O33" s="136" t="s">
        <v>129</v>
      </c>
      <c r="P33" s="137" t="s">
        <v>129</v>
      </c>
      <c r="Q33" s="137" t="s">
        <v>129</v>
      </c>
      <c r="R33" s="122">
        <v>44409</v>
      </c>
      <c r="S33" s="129" t="s">
        <v>217</v>
      </c>
      <c r="T33" s="121" t="s">
        <v>155</v>
      </c>
      <c r="U33" s="130" t="s">
        <v>132</v>
      </c>
      <c r="V33" s="131">
        <v>437</v>
      </c>
      <c r="W33" s="120" t="s">
        <v>92</v>
      </c>
      <c r="X33" s="132" t="s">
        <v>258</v>
      </c>
      <c r="Y33" s="133">
        <f>Contracts!D74</f>
        <v>46053</v>
      </c>
      <c r="Z33" s="121">
        <f t="shared" ca="1" si="0"/>
        <v>4</v>
      </c>
      <c r="AA33" s="121">
        <f t="shared" ca="1" si="1"/>
        <v>5</v>
      </c>
      <c r="AB33" s="120" t="s">
        <v>365</v>
      </c>
      <c r="AC33" s="120" t="s">
        <v>366</v>
      </c>
      <c r="AD33" s="120" t="s">
        <v>385</v>
      </c>
    </row>
    <row r="34" spans="1:30" x14ac:dyDescent="0.25">
      <c r="A34" s="90" t="s">
        <v>302</v>
      </c>
      <c r="B34" s="94" t="s">
        <v>37</v>
      </c>
      <c r="C34" s="155" t="s">
        <v>33</v>
      </c>
      <c r="D34" s="161" t="s">
        <v>574</v>
      </c>
      <c r="E34" s="95" t="s">
        <v>56</v>
      </c>
      <c r="F34" s="95" t="s">
        <v>189</v>
      </c>
      <c r="G34" s="96">
        <v>23621</v>
      </c>
      <c r="H34" s="16" t="s">
        <v>218</v>
      </c>
      <c r="I34" s="10" t="s">
        <v>224</v>
      </c>
      <c r="J34" s="9" t="s">
        <v>219</v>
      </c>
      <c r="K34" s="17" t="s">
        <v>220</v>
      </c>
      <c r="L34" s="15" t="s">
        <v>377</v>
      </c>
      <c r="M34" s="102">
        <v>26409010103006</v>
      </c>
      <c r="N34" s="98">
        <v>11900</v>
      </c>
      <c r="O34" s="99" t="s">
        <v>129</v>
      </c>
      <c r="P34" s="100" t="s">
        <v>129</v>
      </c>
      <c r="Q34" s="100" t="s">
        <v>129</v>
      </c>
      <c r="R34" s="101">
        <v>42297</v>
      </c>
      <c r="S34" s="14" t="s">
        <v>149</v>
      </c>
      <c r="T34" s="11" t="s">
        <v>134</v>
      </c>
      <c r="U34" s="13" t="s">
        <v>131</v>
      </c>
      <c r="V34" s="89">
        <v>444</v>
      </c>
      <c r="W34" s="90" t="s">
        <v>91</v>
      </c>
      <c r="X34" s="91" t="s">
        <v>258</v>
      </c>
      <c r="Y34" s="92">
        <f>Contracts!D82</f>
        <v>46314</v>
      </c>
      <c r="Z34" s="93">
        <f t="shared" ca="1" si="0"/>
        <v>10</v>
      </c>
      <c r="AA34" s="93">
        <f t="shared" ca="1" si="1"/>
        <v>2</v>
      </c>
      <c r="AB34" s="90">
        <v>27</v>
      </c>
      <c r="AC34" s="90">
        <v>10</v>
      </c>
      <c r="AD34" s="90" t="s">
        <v>384</v>
      </c>
    </row>
    <row r="35" spans="1:30" x14ac:dyDescent="0.25">
      <c r="A35" s="90" t="s">
        <v>303</v>
      </c>
      <c r="B35" s="94" t="s">
        <v>37</v>
      </c>
      <c r="C35" s="155" t="s">
        <v>6</v>
      </c>
      <c r="D35" s="161" t="s">
        <v>575</v>
      </c>
      <c r="E35" s="95" t="s">
        <v>46</v>
      </c>
      <c r="F35" s="95" t="s">
        <v>189</v>
      </c>
      <c r="G35" s="96">
        <v>26131</v>
      </c>
      <c r="H35" s="16" t="s">
        <v>170</v>
      </c>
      <c r="I35" s="9" t="s">
        <v>172</v>
      </c>
      <c r="J35" s="9" t="s">
        <v>132</v>
      </c>
      <c r="K35" s="17" t="s">
        <v>209</v>
      </c>
      <c r="L35" s="15" t="s">
        <v>349</v>
      </c>
      <c r="M35" s="147">
        <v>27107170104235</v>
      </c>
      <c r="N35" s="98">
        <v>11034</v>
      </c>
      <c r="O35" s="99" t="s">
        <v>129</v>
      </c>
      <c r="P35" s="100" t="s">
        <v>129</v>
      </c>
      <c r="Q35" s="100" t="s">
        <v>129</v>
      </c>
      <c r="R35" s="101">
        <v>42397</v>
      </c>
      <c r="S35" s="14" t="s">
        <v>221</v>
      </c>
      <c r="T35" s="11" t="s">
        <v>153</v>
      </c>
      <c r="U35" s="13" t="s">
        <v>131</v>
      </c>
      <c r="V35" s="89">
        <v>433</v>
      </c>
      <c r="W35" s="90" t="s">
        <v>90</v>
      </c>
      <c r="X35" s="91" t="s">
        <v>391</v>
      </c>
      <c r="Y35" s="92">
        <f>Contracts!D96</f>
        <v>46049</v>
      </c>
      <c r="Z35" s="93">
        <f t="shared" ca="1" si="0"/>
        <v>9</v>
      </c>
      <c r="AA35" s="93">
        <f t="shared" ca="1" si="1"/>
        <v>11</v>
      </c>
      <c r="AB35" s="90">
        <v>20</v>
      </c>
      <c r="AC35" s="90">
        <v>5</v>
      </c>
      <c r="AD35" s="90" t="s">
        <v>384</v>
      </c>
    </row>
    <row r="36" spans="1:30" x14ac:dyDescent="0.25">
      <c r="A36" s="90" t="s">
        <v>304</v>
      </c>
      <c r="B36" s="94" t="s">
        <v>37</v>
      </c>
      <c r="C36" s="155" t="s">
        <v>7</v>
      </c>
      <c r="D36" s="161" t="s">
        <v>576</v>
      </c>
      <c r="E36" s="95" t="s">
        <v>47</v>
      </c>
      <c r="F36" s="95" t="s">
        <v>75</v>
      </c>
      <c r="G36" s="96">
        <v>32288</v>
      </c>
      <c r="H36" s="16" t="s">
        <v>211</v>
      </c>
      <c r="I36" s="9" t="s">
        <v>74</v>
      </c>
      <c r="J36" s="9" t="s">
        <v>219</v>
      </c>
      <c r="K36" s="17" t="s">
        <v>212</v>
      </c>
      <c r="L36" s="15" t="s">
        <v>358</v>
      </c>
      <c r="M36" s="102">
        <v>28805250100454</v>
      </c>
      <c r="N36" s="98">
        <v>11513</v>
      </c>
      <c r="O36" s="99" t="s">
        <v>129</v>
      </c>
      <c r="P36" s="100" t="s">
        <v>129</v>
      </c>
      <c r="Q36" s="100" t="s">
        <v>129</v>
      </c>
      <c r="R36" s="101">
        <v>45231</v>
      </c>
      <c r="S36" s="14" t="s">
        <v>222</v>
      </c>
      <c r="T36" s="11" t="s">
        <v>156</v>
      </c>
      <c r="U36" s="13" t="s">
        <v>132</v>
      </c>
      <c r="V36" s="89">
        <v>413</v>
      </c>
      <c r="W36" s="90" t="s">
        <v>89</v>
      </c>
      <c r="X36" s="91" t="s">
        <v>258</v>
      </c>
      <c r="Y36" s="92">
        <f>Contracts!D109</f>
        <v>46190</v>
      </c>
      <c r="Z36" s="93">
        <f t="shared" ca="1" si="0"/>
        <v>2</v>
      </c>
      <c r="AA36" s="93">
        <f t="shared" ca="1" si="1"/>
        <v>2</v>
      </c>
      <c r="AB36" s="90">
        <v>16</v>
      </c>
      <c r="AC36" s="90" t="s">
        <v>363</v>
      </c>
      <c r="AD36" s="90" t="s">
        <v>384</v>
      </c>
    </row>
    <row r="37" spans="1:30" x14ac:dyDescent="0.25">
      <c r="A37" s="90" t="s">
        <v>305</v>
      </c>
      <c r="B37" s="94" t="s">
        <v>37</v>
      </c>
      <c r="C37" s="155" t="s">
        <v>8</v>
      </c>
      <c r="D37" s="161" t="s">
        <v>577</v>
      </c>
      <c r="E37" s="95" t="s">
        <v>48</v>
      </c>
      <c r="F37" s="95" t="s">
        <v>77</v>
      </c>
      <c r="G37" s="96">
        <v>27884</v>
      </c>
      <c r="H37" s="16" t="s">
        <v>225</v>
      </c>
      <c r="I37" s="9" t="s">
        <v>226</v>
      </c>
      <c r="J37" s="9"/>
      <c r="K37" s="17" t="s">
        <v>227</v>
      </c>
      <c r="L37" s="15" t="s">
        <v>347</v>
      </c>
      <c r="M37" s="147">
        <v>27605042103439</v>
      </c>
      <c r="N37" s="98">
        <v>46120</v>
      </c>
      <c r="O37" s="99" t="s">
        <v>129</v>
      </c>
      <c r="P37" s="100" t="s">
        <v>129</v>
      </c>
      <c r="Q37" s="100" t="s">
        <v>129</v>
      </c>
      <c r="R37" s="101">
        <v>39827</v>
      </c>
      <c r="S37" s="14" t="s">
        <v>223</v>
      </c>
      <c r="T37" s="11" t="s">
        <v>153</v>
      </c>
      <c r="U37" s="13" t="s">
        <v>131</v>
      </c>
      <c r="V37" s="89">
        <v>432</v>
      </c>
      <c r="W37" s="90" t="s">
        <v>93</v>
      </c>
      <c r="X37" s="91" t="s">
        <v>391</v>
      </c>
      <c r="Y37" s="92">
        <f>Contracts!D116</f>
        <v>46022</v>
      </c>
      <c r="Z37" s="93">
        <f t="shared" ca="1" si="0"/>
        <v>16</v>
      </c>
      <c r="AA37" s="93">
        <f t="shared" ca="1" si="1"/>
        <v>11</v>
      </c>
      <c r="AB37" s="90">
        <v>8</v>
      </c>
      <c r="AC37" s="90">
        <v>0</v>
      </c>
      <c r="AD37" s="90" t="s">
        <v>384</v>
      </c>
    </row>
    <row r="38" spans="1:30" x14ac:dyDescent="0.25">
      <c r="A38" s="90" t="s">
        <v>306</v>
      </c>
      <c r="B38" s="94" t="s">
        <v>37</v>
      </c>
      <c r="C38" s="157" t="s">
        <v>620</v>
      </c>
      <c r="D38" s="163" t="s">
        <v>578</v>
      </c>
      <c r="E38" s="95" t="s">
        <v>49</v>
      </c>
      <c r="F38" s="95" t="s">
        <v>77</v>
      </c>
      <c r="G38" s="96">
        <v>27401</v>
      </c>
      <c r="H38" s="16" t="s">
        <v>230</v>
      </c>
      <c r="I38" s="9" t="s">
        <v>231</v>
      </c>
      <c r="J38" s="9" t="s">
        <v>132</v>
      </c>
      <c r="K38" s="17" t="s">
        <v>227</v>
      </c>
      <c r="L38" s="15" t="s">
        <v>359</v>
      </c>
      <c r="M38" s="102">
        <v>27501078800292</v>
      </c>
      <c r="N38" s="98">
        <v>46241</v>
      </c>
      <c r="O38" s="99" t="s">
        <v>129</v>
      </c>
      <c r="P38" s="100" t="s">
        <v>129</v>
      </c>
      <c r="Q38" s="100" t="s">
        <v>129</v>
      </c>
      <c r="R38" s="101">
        <v>42186</v>
      </c>
      <c r="S38" s="14" t="s">
        <v>141</v>
      </c>
      <c r="T38" s="11" t="s">
        <v>142</v>
      </c>
      <c r="U38" s="13" t="s">
        <v>131</v>
      </c>
      <c r="V38" s="89">
        <v>432</v>
      </c>
      <c r="W38" s="90" t="s">
        <v>94</v>
      </c>
      <c r="X38" s="91" t="s">
        <v>258</v>
      </c>
      <c r="Y38" s="92">
        <f>Contracts!D132</f>
        <v>46203</v>
      </c>
      <c r="Z38" s="93">
        <f t="shared" ca="1" si="0"/>
        <v>10</v>
      </c>
      <c r="AA38" s="93">
        <f t="shared" ca="1" si="1"/>
        <v>6</v>
      </c>
      <c r="AB38" s="90">
        <v>15</v>
      </c>
      <c r="AC38" s="90">
        <v>4</v>
      </c>
      <c r="AD38" s="90" t="s">
        <v>384</v>
      </c>
    </row>
    <row r="39" spans="1:30" x14ac:dyDescent="0.25">
      <c r="A39" s="90" t="s">
        <v>307</v>
      </c>
      <c r="B39" s="94" t="s">
        <v>37</v>
      </c>
      <c r="C39" s="155" t="s">
        <v>55</v>
      </c>
      <c r="D39" s="161" t="s">
        <v>579</v>
      </c>
      <c r="E39" s="95" t="s">
        <v>50</v>
      </c>
      <c r="F39" s="95" t="s">
        <v>77</v>
      </c>
      <c r="G39" s="96">
        <v>28034</v>
      </c>
      <c r="H39" s="16" t="s">
        <v>230</v>
      </c>
      <c r="I39" s="9" t="s">
        <v>172</v>
      </c>
      <c r="J39" s="9" t="s">
        <v>232</v>
      </c>
      <c r="K39" s="17" t="s">
        <v>233</v>
      </c>
      <c r="L39" s="15" t="s">
        <v>350</v>
      </c>
      <c r="M39" s="102">
        <v>27610011407611</v>
      </c>
      <c r="N39" s="98">
        <v>11883</v>
      </c>
      <c r="O39" s="99" t="s">
        <v>129</v>
      </c>
      <c r="P39" s="100" t="s">
        <v>129</v>
      </c>
      <c r="Q39" s="100" t="s">
        <v>129</v>
      </c>
      <c r="R39" s="101">
        <v>41105</v>
      </c>
      <c r="S39" s="14" t="s">
        <v>147</v>
      </c>
      <c r="T39" s="11" t="s">
        <v>148</v>
      </c>
      <c r="U39" s="13" t="s">
        <v>136</v>
      </c>
      <c r="V39" s="89">
        <v>437</v>
      </c>
      <c r="W39" s="90" t="s">
        <v>87</v>
      </c>
      <c r="X39" s="91" t="s">
        <v>258</v>
      </c>
      <c r="Y39" s="92">
        <f>Contracts!D146</f>
        <v>46217</v>
      </c>
      <c r="Z39" s="93">
        <f t="shared" ca="1" si="0"/>
        <v>13</v>
      </c>
      <c r="AA39" s="93">
        <f t="shared" ca="1" si="1"/>
        <v>5</v>
      </c>
      <c r="AB39" s="90" t="s">
        <v>366</v>
      </c>
      <c r="AC39" s="90" t="s">
        <v>366</v>
      </c>
      <c r="AD39" s="90" t="s">
        <v>384</v>
      </c>
    </row>
    <row r="40" spans="1:30" x14ac:dyDescent="0.25">
      <c r="A40" s="90" t="s">
        <v>308</v>
      </c>
      <c r="B40" s="94" t="s">
        <v>37</v>
      </c>
      <c r="C40" s="155" t="s">
        <v>10</v>
      </c>
      <c r="D40" s="161" t="s">
        <v>580</v>
      </c>
      <c r="E40" s="95" t="s">
        <v>51</v>
      </c>
      <c r="F40" s="95" t="s">
        <v>78</v>
      </c>
      <c r="G40" s="96">
        <v>29321</v>
      </c>
      <c r="H40" s="16" t="s">
        <v>254</v>
      </c>
      <c r="I40" s="9" t="s">
        <v>69</v>
      </c>
      <c r="J40" s="9" t="s">
        <v>69</v>
      </c>
      <c r="K40" s="17" t="s">
        <v>234</v>
      </c>
      <c r="L40" s="15" t="s">
        <v>360</v>
      </c>
      <c r="M40" s="102">
        <v>28004102100191</v>
      </c>
      <c r="N40" s="98">
        <v>46761</v>
      </c>
      <c r="O40" s="99" t="s">
        <v>129</v>
      </c>
      <c r="P40" s="100" t="s">
        <v>129</v>
      </c>
      <c r="Q40" s="100" t="s">
        <v>129</v>
      </c>
      <c r="R40" s="101">
        <v>39583</v>
      </c>
      <c r="S40" s="14" t="s">
        <v>144</v>
      </c>
      <c r="T40" s="11" t="s">
        <v>157</v>
      </c>
      <c r="U40" s="13" t="s">
        <v>131</v>
      </c>
      <c r="V40" s="89">
        <v>441</v>
      </c>
      <c r="W40" s="90" t="s">
        <v>111</v>
      </c>
      <c r="X40" s="91" t="s">
        <v>258</v>
      </c>
      <c r="Y40" s="92">
        <f>Contracts!D162</f>
        <v>46340</v>
      </c>
      <c r="Z40" s="93">
        <f t="shared" ca="1" si="0"/>
        <v>17</v>
      </c>
      <c r="AA40" s="93">
        <f t="shared" ca="1" si="1"/>
        <v>7</v>
      </c>
      <c r="AB40" s="90" t="s">
        <v>366</v>
      </c>
      <c r="AC40" s="90" t="s">
        <v>366</v>
      </c>
      <c r="AD40" s="90" t="s">
        <v>384</v>
      </c>
    </row>
    <row r="41" spans="1:30" x14ac:dyDescent="0.25">
      <c r="A41" s="90" t="s">
        <v>309</v>
      </c>
      <c r="B41" s="94" t="s">
        <v>37</v>
      </c>
      <c r="C41" s="155" t="s">
        <v>11</v>
      </c>
      <c r="D41" s="161" t="s">
        <v>581</v>
      </c>
      <c r="E41" s="95" t="s">
        <v>52</v>
      </c>
      <c r="F41" s="95" t="s">
        <v>78</v>
      </c>
      <c r="G41" s="96">
        <v>25709</v>
      </c>
      <c r="H41" s="16" t="s">
        <v>225</v>
      </c>
      <c r="I41" s="9" t="s">
        <v>226</v>
      </c>
      <c r="J41" s="9" t="s">
        <v>69</v>
      </c>
      <c r="K41" s="17" t="s">
        <v>234</v>
      </c>
      <c r="L41" s="15" t="s">
        <v>348</v>
      </c>
      <c r="M41" s="147">
        <v>27005211300039</v>
      </c>
      <c r="N41" s="98">
        <v>46178</v>
      </c>
      <c r="O41" s="99" t="s">
        <v>129</v>
      </c>
      <c r="P41" s="100" t="s">
        <v>129</v>
      </c>
      <c r="Q41" s="100" t="s">
        <v>129</v>
      </c>
      <c r="R41" s="101">
        <v>40724</v>
      </c>
      <c r="S41" s="14" t="s">
        <v>138</v>
      </c>
      <c r="T41" s="11" t="s">
        <v>137</v>
      </c>
      <c r="U41" s="13" t="s">
        <v>135</v>
      </c>
      <c r="V41" s="89">
        <v>441</v>
      </c>
      <c r="W41" s="90" t="s">
        <v>110</v>
      </c>
      <c r="X41" s="91" t="s">
        <v>258</v>
      </c>
      <c r="Y41" s="92">
        <f>Contracts!D182</f>
        <v>46202</v>
      </c>
      <c r="Z41" s="93">
        <f t="shared" ca="1" si="0"/>
        <v>14</v>
      </c>
      <c r="AA41" s="93">
        <f t="shared" ca="1" si="1"/>
        <v>6</v>
      </c>
      <c r="AB41" s="90" t="s">
        <v>366</v>
      </c>
      <c r="AC41" s="90" t="s">
        <v>366</v>
      </c>
      <c r="AD41" s="90" t="s">
        <v>384</v>
      </c>
    </row>
    <row r="42" spans="1:30" x14ac:dyDescent="0.25">
      <c r="A42" s="90" t="s">
        <v>310</v>
      </c>
      <c r="B42" s="94" t="s">
        <v>37</v>
      </c>
      <c r="C42" s="155" t="s">
        <v>12</v>
      </c>
      <c r="D42" s="161" t="s">
        <v>582</v>
      </c>
      <c r="E42" s="95" t="s">
        <v>52</v>
      </c>
      <c r="F42" s="95" t="s">
        <v>78</v>
      </c>
      <c r="G42" s="96">
        <v>31930</v>
      </c>
      <c r="H42" s="16" t="s">
        <v>237</v>
      </c>
      <c r="I42" s="9" t="s">
        <v>69</v>
      </c>
      <c r="J42" s="9" t="s">
        <v>375</v>
      </c>
      <c r="K42" s="17" t="s">
        <v>236</v>
      </c>
      <c r="L42" s="15" t="s">
        <v>361</v>
      </c>
      <c r="M42" s="102">
        <v>28706020104835</v>
      </c>
      <c r="N42" s="98">
        <v>46778</v>
      </c>
      <c r="O42" s="99" t="s">
        <v>129</v>
      </c>
      <c r="P42" s="100" t="s">
        <v>129</v>
      </c>
      <c r="Q42" s="100" t="s">
        <v>129</v>
      </c>
      <c r="R42" s="101">
        <v>43240</v>
      </c>
      <c r="S42" s="14" t="s">
        <v>488</v>
      </c>
      <c r="T42" s="11" t="s">
        <v>235</v>
      </c>
      <c r="U42" s="13" t="s">
        <v>132</v>
      </c>
      <c r="V42" s="89">
        <v>441</v>
      </c>
      <c r="W42" s="90" t="s">
        <v>88</v>
      </c>
      <c r="X42" s="91" t="s">
        <v>258</v>
      </c>
      <c r="Y42" s="92">
        <f>Contracts!D198</f>
        <v>46345</v>
      </c>
      <c r="Z42" s="93">
        <f t="shared" ca="1" si="0"/>
        <v>7</v>
      </c>
      <c r="AA42" s="93">
        <f t="shared" ca="1" si="1"/>
        <v>7</v>
      </c>
      <c r="AB42" s="90">
        <v>12</v>
      </c>
      <c r="AC42" s="90">
        <v>0</v>
      </c>
      <c r="AD42" s="90" t="s">
        <v>384</v>
      </c>
    </row>
    <row r="43" spans="1:30" hidden="1" x14ac:dyDescent="0.25">
      <c r="A43" s="120" t="s">
        <v>311</v>
      </c>
      <c r="B43" s="121" t="s">
        <v>37</v>
      </c>
      <c r="C43" s="121" t="s">
        <v>13</v>
      </c>
      <c r="D43" s="121" t="s">
        <v>599</v>
      </c>
      <c r="E43" s="121" t="s">
        <v>551</v>
      </c>
      <c r="F43" s="121" t="s">
        <v>189</v>
      </c>
      <c r="G43" s="122">
        <v>27244</v>
      </c>
      <c r="H43" s="123" t="s">
        <v>211</v>
      </c>
      <c r="I43" s="124" t="s">
        <v>74</v>
      </c>
      <c r="J43" s="124" t="s">
        <v>132</v>
      </c>
      <c r="K43" s="125" t="s">
        <v>213</v>
      </c>
      <c r="L43" s="126" t="s">
        <v>378</v>
      </c>
      <c r="M43" s="127">
        <v>27408032100172</v>
      </c>
      <c r="N43" s="128">
        <v>45914</v>
      </c>
      <c r="O43" s="136" t="s">
        <v>129</v>
      </c>
      <c r="P43" s="137" t="s">
        <v>129</v>
      </c>
      <c r="Q43" s="137" t="s">
        <v>129</v>
      </c>
      <c r="R43" s="122">
        <v>39264</v>
      </c>
      <c r="S43" s="129" t="s">
        <v>143</v>
      </c>
      <c r="T43" s="121" t="s">
        <v>134</v>
      </c>
      <c r="U43" s="130" t="s">
        <v>131</v>
      </c>
      <c r="V43" s="131" t="s">
        <v>69</v>
      </c>
      <c r="W43" s="120" t="s">
        <v>86</v>
      </c>
      <c r="X43" s="132" t="s">
        <v>69</v>
      </c>
      <c r="Y43" s="133" t="s">
        <v>69</v>
      </c>
      <c r="Z43" s="121">
        <f t="shared" ca="1" si="0"/>
        <v>18</v>
      </c>
      <c r="AA43" s="121">
        <f t="shared" ca="1" si="1"/>
        <v>6</v>
      </c>
      <c r="AB43" s="120" t="s">
        <v>366</v>
      </c>
      <c r="AC43" s="120" t="s">
        <v>366</v>
      </c>
      <c r="AD43" s="120" t="s">
        <v>385</v>
      </c>
    </row>
    <row r="44" spans="1:30" x14ac:dyDescent="0.25">
      <c r="A44" s="90" t="s">
        <v>312</v>
      </c>
      <c r="B44" s="94" t="s">
        <v>37</v>
      </c>
      <c r="C44" s="157" t="s">
        <v>514</v>
      </c>
      <c r="D44" s="163" t="s">
        <v>583</v>
      </c>
      <c r="E44" s="95" t="s">
        <v>53</v>
      </c>
      <c r="F44" s="95" t="s">
        <v>78</v>
      </c>
      <c r="G44" s="96">
        <v>28126</v>
      </c>
      <c r="H44" s="16" t="s">
        <v>470</v>
      </c>
      <c r="I44" s="9" t="s">
        <v>369</v>
      </c>
      <c r="J44" s="9" t="s">
        <v>69</v>
      </c>
      <c r="K44" s="17" t="s">
        <v>370</v>
      </c>
      <c r="L44" s="15" t="s">
        <v>352</v>
      </c>
      <c r="M44" s="102">
        <v>27701012100752</v>
      </c>
      <c r="N44" s="98">
        <v>11398</v>
      </c>
      <c r="O44" s="99" t="s">
        <v>129</v>
      </c>
      <c r="P44" s="100" t="s">
        <v>129</v>
      </c>
      <c r="Q44" s="100" t="s">
        <v>129</v>
      </c>
      <c r="R44" s="101">
        <v>43850</v>
      </c>
      <c r="S44" s="14" t="s">
        <v>239</v>
      </c>
      <c r="T44" s="11" t="s">
        <v>146</v>
      </c>
      <c r="U44" s="13" t="s">
        <v>131</v>
      </c>
      <c r="V44" s="89" t="s">
        <v>69</v>
      </c>
      <c r="W44" s="90" t="s">
        <v>166</v>
      </c>
      <c r="X44" s="91" t="s">
        <v>258</v>
      </c>
      <c r="Y44" s="92">
        <f>Contracts!D210</f>
        <v>46222</v>
      </c>
      <c r="Z44" s="93">
        <f t="shared" ca="1" si="0"/>
        <v>5</v>
      </c>
      <c r="AA44" s="93">
        <f t="shared" ca="1" si="1"/>
        <v>11</v>
      </c>
      <c r="AB44" s="90" t="s">
        <v>366</v>
      </c>
      <c r="AC44" s="90" t="s">
        <v>366</v>
      </c>
      <c r="AD44" s="90" t="s">
        <v>384</v>
      </c>
    </row>
    <row r="45" spans="1:30" x14ac:dyDescent="0.25">
      <c r="A45" s="90" t="s">
        <v>313</v>
      </c>
      <c r="B45" s="94" t="s">
        <v>37</v>
      </c>
      <c r="C45" s="157" t="s">
        <v>15</v>
      </c>
      <c r="D45" s="163" t="s">
        <v>584</v>
      </c>
      <c r="E45" s="95" t="s">
        <v>54</v>
      </c>
      <c r="F45" s="95" t="s">
        <v>189</v>
      </c>
      <c r="G45" s="96">
        <v>33868</v>
      </c>
      <c r="H45" s="16" t="s">
        <v>201</v>
      </c>
      <c r="I45" s="9" t="s">
        <v>202</v>
      </c>
      <c r="J45" s="9" t="s">
        <v>146</v>
      </c>
      <c r="K45" s="17" t="s">
        <v>238</v>
      </c>
      <c r="L45" s="15" t="s">
        <v>541</v>
      </c>
      <c r="M45" s="102">
        <v>29209210103967</v>
      </c>
      <c r="N45" s="98">
        <v>46351</v>
      </c>
      <c r="O45" s="99" t="s">
        <v>129</v>
      </c>
      <c r="P45" s="100" t="s">
        <v>129</v>
      </c>
      <c r="Q45" s="100" t="s">
        <v>129</v>
      </c>
      <c r="R45" s="101">
        <v>45173</v>
      </c>
      <c r="S45" s="14" t="s">
        <v>240</v>
      </c>
      <c r="T45" s="11" t="s">
        <v>146</v>
      </c>
      <c r="U45" s="13" t="s">
        <v>131</v>
      </c>
      <c r="V45" s="89">
        <v>431</v>
      </c>
      <c r="W45" s="90" t="s">
        <v>116</v>
      </c>
      <c r="X45" s="91" t="s">
        <v>258</v>
      </c>
      <c r="Y45" s="92">
        <f>Contracts!D219</f>
        <v>46084</v>
      </c>
      <c r="Z45" s="93">
        <f t="shared" ca="1" si="0"/>
        <v>2</v>
      </c>
      <c r="AA45" s="93">
        <f t="shared" ca="1" si="1"/>
        <v>4</v>
      </c>
      <c r="AB45" s="90" t="s">
        <v>366</v>
      </c>
      <c r="AC45" s="90" t="s">
        <v>366</v>
      </c>
      <c r="AD45" s="90" t="s">
        <v>384</v>
      </c>
    </row>
    <row r="46" spans="1:30" x14ac:dyDescent="0.25">
      <c r="A46" s="90" t="s">
        <v>314</v>
      </c>
      <c r="B46" s="94" t="s">
        <v>37</v>
      </c>
      <c r="C46" s="157" t="s">
        <v>164</v>
      </c>
      <c r="D46" s="163" t="s">
        <v>585</v>
      </c>
      <c r="E46" s="95" t="s">
        <v>475</v>
      </c>
      <c r="F46" s="95" t="s">
        <v>189</v>
      </c>
      <c r="G46" s="96">
        <v>27395</v>
      </c>
      <c r="H46" s="16" t="s">
        <v>371</v>
      </c>
      <c r="I46" s="9" t="s">
        <v>372</v>
      </c>
      <c r="J46" s="9" t="s">
        <v>69</v>
      </c>
      <c r="K46" s="17" t="s">
        <v>334</v>
      </c>
      <c r="L46" s="15" t="s">
        <v>362</v>
      </c>
      <c r="M46" s="147">
        <v>27501010113807</v>
      </c>
      <c r="N46" s="98">
        <v>46432</v>
      </c>
      <c r="O46" s="99" t="s">
        <v>129</v>
      </c>
      <c r="P46" s="100" t="s">
        <v>129</v>
      </c>
      <c r="Q46" s="100" t="s">
        <v>129</v>
      </c>
      <c r="R46" s="101">
        <v>44910</v>
      </c>
      <c r="S46" s="14" t="s">
        <v>165</v>
      </c>
      <c r="T46" s="11" t="s">
        <v>163</v>
      </c>
      <c r="U46" s="13" t="s">
        <v>132</v>
      </c>
      <c r="V46" s="89" t="s">
        <v>69</v>
      </c>
      <c r="W46" s="90" t="s">
        <v>539</v>
      </c>
      <c r="X46" s="91" t="s">
        <v>258</v>
      </c>
      <c r="Y46" s="92">
        <f>Contracts!D224</f>
        <v>46006</v>
      </c>
      <c r="Z46" s="93">
        <f t="shared" ca="1" si="0"/>
        <v>3</v>
      </c>
      <c r="AA46" s="93">
        <f t="shared" ca="1" si="1"/>
        <v>0</v>
      </c>
      <c r="AB46" s="90" t="s">
        <v>366</v>
      </c>
      <c r="AC46" s="90" t="s">
        <v>366</v>
      </c>
      <c r="AD46" s="90" t="s">
        <v>384</v>
      </c>
    </row>
    <row r="47" spans="1:30" hidden="1" x14ac:dyDescent="0.25">
      <c r="A47" s="120" t="s">
        <v>471</v>
      </c>
      <c r="B47" s="121" t="s">
        <v>37</v>
      </c>
      <c r="C47" s="138" t="s">
        <v>472</v>
      </c>
      <c r="D47" s="138" t="s">
        <v>597</v>
      </c>
      <c r="E47" s="121" t="s">
        <v>417</v>
      </c>
      <c r="F47" s="121" t="s">
        <v>189</v>
      </c>
      <c r="G47" s="122">
        <v>45302</v>
      </c>
      <c r="H47" s="123" t="s">
        <v>230</v>
      </c>
      <c r="I47" s="139" t="s">
        <v>476</v>
      </c>
      <c r="J47" s="124" t="s">
        <v>132</v>
      </c>
      <c r="K47" s="125" t="s">
        <v>209</v>
      </c>
      <c r="L47" s="126" t="s">
        <v>477</v>
      </c>
      <c r="M47" s="127">
        <v>28609300107346</v>
      </c>
      <c r="N47" s="128">
        <v>46552</v>
      </c>
      <c r="O47" s="136" t="s">
        <v>129</v>
      </c>
      <c r="P47" s="137" t="s">
        <v>129</v>
      </c>
      <c r="Q47" s="137" t="s">
        <v>129</v>
      </c>
      <c r="R47" s="122">
        <v>45302</v>
      </c>
      <c r="S47" s="129" t="s">
        <v>473</v>
      </c>
      <c r="T47" s="121" t="s">
        <v>339</v>
      </c>
      <c r="U47" s="130" t="s">
        <v>132</v>
      </c>
      <c r="V47" s="131">
        <v>412</v>
      </c>
      <c r="W47" s="120" t="s">
        <v>474</v>
      </c>
      <c r="X47" s="132" t="s">
        <v>391</v>
      </c>
      <c r="Y47" s="133">
        <v>45453</v>
      </c>
      <c r="Z47" s="121">
        <v>3</v>
      </c>
      <c r="AA47" s="121">
        <v>0</v>
      </c>
      <c r="AB47" s="120" t="s">
        <v>366</v>
      </c>
      <c r="AC47" s="120" t="s">
        <v>366</v>
      </c>
      <c r="AD47" s="120" t="s">
        <v>385</v>
      </c>
    </row>
    <row r="48" spans="1:30" hidden="1" x14ac:dyDescent="0.3">
      <c r="A48" s="120" t="s">
        <v>504</v>
      </c>
      <c r="B48" s="121" t="s">
        <v>37</v>
      </c>
      <c r="C48" s="138" t="s">
        <v>515</v>
      </c>
      <c r="D48" s="138" t="s">
        <v>598</v>
      </c>
      <c r="E48" s="121" t="s">
        <v>505</v>
      </c>
      <c r="F48" s="121" t="s">
        <v>74</v>
      </c>
      <c r="G48" s="122">
        <v>36856</v>
      </c>
      <c r="H48" s="123" t="s">
        <v>211</v>
      </c>
      <c r="I48" s="124" t="s">
        <v>506</v>
      </c>
      <c r="J48" s="124" t="s">
        <v>132</v>
      </c>
      <c r="K48" s="125" t="s">
        <v>248</v>
      </c>
      <c r="L48" s="126" t="s">
        <v>510</v>
      </c>
      <c r="M48" s="127">
        <v>30011262103079</v>
      </c>
      <c r="N48" s="128">
        <v>47216</v>
      </c>
      <c r="O48" s="141" t="s">
        <v>129</v>
      </c>
      <c r="P48" s="142" t="s">
        <v>129</v>
      </c>
      <c r="Q48" s="142" t="s">
        <v>129</v>
      </c>
      <c r="R48" s="122">
        <v>45397</v>
      </c>
      <c r="S48" s="129" t="s">
        <v>507</v>
      </c>
      <c r="T48" s="121" t="s">
        <v>153</v>
      </c>
      <c r="U48" s="130" t="s">
        <v>131</v>
      </c>
      <c r="V48" s="131">
        <v>452</v>
      </c>
      <c r="W48" s="120" t="s">
        <v>508</v>
      </c>
      <c r="X48" s="132" t="s">
        <v>391</v>
      </c>
      <c r="Y48" s="133">
        <f>Contracts!D241</f>
        <v>45579</v>
      </c>
      <c r="Z48" s="121">
        <f ca="1">DATEDIF(R48,TODAY(),"Y")</f>
        <v>1</v>
      </c>
      <c r="AA48" s="121">
        <f ca="1">DATEDIF(R48,TODAY(),"Ym")</f>
        <v>8</v>
      </c>
      <c r="AB48" s="120" t="s">
        <v>366</v>
      </c>
      <c r="AC48" s="120" t="s">
        <v>366</v>
      </c>
      <c r="AD48" s="120" t="s">
        <v>385</v>
      </c>
    </row>
    <row r="49" spans="1:30" ht="13.8" customHeight="1" x14ac:dyDescent="0.3">
      <c r="A49" s="90" t="s">
        <v>513</v>
      </c>
      <c r="B49" s="94" t="s">
        <v>37</v>
      </c>
      <c r="C49" s="157" t="s">
        <v>524</v>
      </c>
      <c r="D49" s="163" t="s">
        <v>629</v>
      </c>
      <c r="E49" s="95" t="s">
        <v>516</v>
      </c>
      <c r="F49" s="95" t="s">
        <v>189</v>
      </c>
      <c r="G49" s="96">
        <v>24285</v>
      </c>
      <c r="H49" s="16" t="s">
        <v>519</v>
      </c>
      <c r="I49" s="9" t="s">
        <v>74</v>
      </c>
      <c r="J49" s="140" t="s">
        <v>518</v>
      </c>
      <c r="K49" s="17" t="s">
        <v>517</v>
      </c>
      <c r="L49" s="15" t="s">
        <v>520</v>
      </c>
      <c r="M49" s="147">
        <v>26606272101039</v>
      </c>
      <c r="N49" s="98">
        <v>47413</v>
      </c>
      <c r="O49" s="103" t="s">
        <v>129</v>
      </c>
      <c r="P49" s="104" t="s">
        <v>129</v>
      </c>
      <c r="Q49" s="104" t="s">
        <v>129</v>
      </c>
      <c r="R49" s="101">
        <v>45438</v>
      </c>
      <c r="S49" s="14" t="s">
        <v>521</v>
      </c>
      <c r="T49" s="11" t="s">
        <v>146</v>
      </c>
      <c r="U49" s="13" t="s">
        <v>131</v>
      </c>
      <c r="V49" s="89">
        <v>412</v>
      </c>
      <c r="W49" s="90" t="s">
        <v>522</v>
      </c>
      <c r="X49" s="91" t="s">
        <v>258</v>
      </c>
      <c r="Y49" s="92">
        <f>Contracts!D244</f>
        <v>46167</v>
      </c>
      <c r="Z49" s="93">
        <f ca="1">DATEDIF(R49,TODAY(),"Y")</f>
        <v>1</v>
      </c>
      <c r="AA49" s="93">
        <f ca="1">DATEDIF(R49,TODAY(),"Ym")</f>
        <v>7</v>
      </c>
      <c r="AB49" s="90" t="s">
        <v>525</v>
      </c>
      <c r="AC49" s="90" t="s">
        <v>366</v>
      </c>
      <c r="AD49" s="90" t="s">
        <v>384</v>
      </c>
    </row>
    <row r="50" spans="1:30" ht="13.8" customHeight="1" x14ac:dyDescent="0.3">
      <c r="A50" s="90" t="s">
        <v>526</v>
      </c>
      <c r="B50" s="94" t="s">
        <v>37</v>
      </c>
      <c r="C50" s="157" t="s">
        <v>538</v>
      </c>
      <c r="D50" s="163" t="s">
        <v>586</v>
      </c>
      <c r="E50" s="95" t="s">
        <v>527</v>
      </c>
      <c r="F50" s="95" t="s">
        <v>74</v>
      </c>
      <c r="G50" s="96">
        <v>36769</v>
      </c>
      <c r="H50" s="16" t="s">
        <v>211</v>
      </c>
      <c r="I50" s="9" t="s">
        <v>74</v>
      </c>
      <c r="J50" s="9" t="s">
        <v>531</v>
      </c>
      <c r="K50" s="17" t="s">
        <v>248</v>
      </c>
      <c r="L50" s="15" t="s">
        <v>532</v>
      </c>
      <c r="M50" s="102">
        <v>30008310100574</v>
      </c>
      <c r="N50" s="98">
        <v>48041</v>
      </c>
      <c r="O50" s="103" t="s">
        <v>129</v>
      </c>
      <c r="P50" s="104" t="s">
        <v>129</v>
      </c>
      <c r="Q50" s="104" t="s">
        <v>129</v>
      </c>
      <c r="R50" s="101">
        <v>45505</v>
      </c>
      <c r="S50" s="14" t="s">
        <v>529</v>
      </c>
      <c r="T50" s="11" t="s">
        <v>134</v>
      </c>
      <c r="U50" s="13" t="s">
        <v>131</v>
      </c>
      <c r="V50" s="89">
        <v>452</v>
      </c>
      <c r="W50" s="90" t="s">
        <v>530</v>
      </c>
      <c r="X50" s="91" t="s">
        <v>258</v>
      </c>
      <c r="Y50" s="92">
        <f>Contracts!D249</f>
        <v>46234</v>
      </c>
      <c r="Z50" s="93">
        <f ca="1">DATEDIF(R50,TODAY(),"Y")</f>
        <v>1</v>
      </c>
      <c r="AA50" s="93">
        <f ca="1">DATEDIF(R50,TODAY(),"Ym")</f>
        <v>5</v>
      </c>
      <c r="AB50" s="90" t="s">
        <v>366</v>
      </c>
      <c r="AC50" s="90" t="s">
        <v>366</v>
      </c>
      <c r="AD50" s="90" t="s">
        <v>384</v>
      </c>
    </row>
    <row r="51" spans="1:30" ht="13.8" customHeight="1" x14ac:dyDescent="0.3">
      <c r="A51" s="90" t="s">
        <v>607</v>
      </c>
      <c r="B51" s="94" t="s">
        <v>37</v>
      </c>
      <c r="C51" s="157" t="s">
        <v>610</v>
      </c>
      <c r="D51" s="163" t="s">
        <v>609</v>
      </c>
      <c r="E51" s="95" t="s">
        <v>45</v>
      </c>
      <c r="F51" s="95" t="s">
        <v>77</v>
      </c>
      <c r="G51" s="96">
        <v>35128</v>
      </c>
      <c r="H51" s="16" t="s">
        <v>611</v>
      </c>
      <c r="I51" s="9" t="s">
        <v>612</v>
      </c>
      <c r="J51" s="9" t="s">
        <v>614</v>
      </c>
      <c r="K51" s="17" t="s">
        <v>613</v>
      </c>
      <c r="L51" s="15">
        <v>69654522</v>
      </c>
      <c r="M51" s="102">
        <v>29603040101956</v>
      </c>
      <c r="N51" s="98">
        <v>47100</v>
      </c>
      <c r="O51" s="103" t="s">
        <v>129</v>
      </c>
      <c r="P51" s="104" t="s">
        <v>129</v>
      </c>
      <c r="Q51" s="104" t="s">
        <v>129</v>
      </c>
      <c r="R51" s="101">
        <v>46012</v>
      </c>
      <c r="S51" s="14" t="s">
        <v>615</v>
      </c>
      <c r="T51" s="11" t="s">
        <v>159</v>
      </c>
      <c r="U51" s="13" t="s">
        <v>132</v>
      </c>
      <c r="V51" s="89">
        <v>437</v>
      </c>
      <c r="W51" s="90" t="s">
        <v>616</v>
      </c>
      <c r="X51" s="91" t="s">
        <v>258</v>
      </c>
      <c r="Y51" s="92"/>
      <c r="Z51" s="93">
        <f ca="1">DATEDIF(R51,TODAY(),"Y")</f>
        <v>0</v>
      </c>
      <c r="AA51" s="93">
        <f ca="1">DATEDIF(R51,TODAY(),"Ym")</f>
        <v>0</v>
      </c>
      <c r="AB51" s="90"/>
      <c r="AC51" s="90"/>
      <c r="AD51" s="90" t="s">
        <v>384</v>
      </c>
    </row>
    <row r="53" spans="1:30" x14ac:dyDescent="0.3">
      <c r="R53" s="1"/>
    </row>
    <row r="54" spans="1:30" s="115" customFormat="1" x14ac:dyDescent="0.3">
      <c r="A54" s="115">
        <v>1</v>
      </c>
      <c r="B54" s="115">
        <v>2</v>
      </c>
      <c r="C54" s="115">
        <v>3</v>
      </c>
      <c r="E54" s="115">
        <v>4</v>
      </c>
      <c r="F54" s="115">
        <v>5</v>
      </c>
      <c r="G54" s="115">
        <v>6</v>
      </c>
      <c r="H54" s="115">
        <v>7</v>
      </c>
      <c r="I54" s="115">
        <v>8</v>
      </c>
      <c r="J54" s="115">
        <v>9</v>
      </c>
      <c r="K54" s="115">
        <v>10</v>
      </c>
      <c r="L54" s="115">
        <v>11</v>
      </c>
      <c r="M54" s="115">
        <v>12</v>
      </c>
      <c r="N54" s="115">
        <v>13</v>
      </c>
      <c r="O54" s="115">
        <v>14</v>
      </c>
      <c r="P54" s="115">
        <v>15</v>
      </c>
      <c r="Q54" s="115">
        <v>16</v>
      </c>
      <c r="R54" s="115">
        <v>17</v>
      </c>
      <c r="S54" s="115">
        <v>18</v>
      </c>
      <c r="T54" s="115">
        <v>19</v>
      </c>
      <c r="U54" s="115">
        <v>20</v>
      </c>
      <c r="V54" s="115">
        <v>21</v>
      </c>
      <c r="W54" s="115">
        <v>22</v>
      </c>
      <c r="X54" s="115">
        <v>23</v>
      </c>
      <c r="Y54" s="115">
        <v>24</v>
      </c>
      <c r="Z54" s="115">
        <v>25</v>
      </c>
      <c r="AA54" s="115">
        <v>26</v>
      </c>
      <c r="AB54" s="115">
        <v>27</v>
      </c>
      <c r="AC54" s="115">
        <v>28</v>
      </c>
      <c r="AD54" s="115">
        <v>29</v>
      </c>
    </row>
  </sheetData>
  <autoFilter ref="A1:AD51" xr:uid="{00000000-0001-0000-0000-000000000000}">
    <filterColumn colId="7" showButton="0"/>
    <filterColumn colId="8" showButton="0"/>
    <filterColumn colId="9" showButton="0"/>
    <filterColumn colId="12" showButton="0"/>
    <filterColumn colId="14" showButton="0"/>
    <filterColumn colId="18" showButton="0"/>
    <filterColumn colId="19" showButton="0"/>
    <filterColumn colId="23" showButton="0"/>
    <filterColumn colId="25" showButton="0"/>
    <filterColumn colId="27" showButton="0"/>
    <filterColumn colId="29">
      <filters>
        <filter val="Active"/>
      </filters>
    </filterColumn>
  </autoFilter>
  <mergeCells count="7">
    <mergeCell ref="S1:U1"/>
    <mergeCell ref="M1:N1"/>
    <mergeCell ref="O1:P1"/>
    <mergeCell ref="H1:K1"/>
    <mergeCell ref="AB1:AC1"/>
    <mergeCell ref="Z1:AA1"/>
    <mergeCell ref="X1:Y1"/>
  </mergeCells>
  <phoneticPr fontId="32" type="noConversion"/>
  <conditionalFormatting sqref="N3:N51">
    <cfRule type="timePeriod" dxfId="25" priority="1" timePeriod="nextWeek">
      <formula>AND(ROUNDDOWN(N3,0)-TODAY()&gt;(7-WEEKDAY(TODAY())),ROUNDDOWN(N3,0)-TODAY()&lt;(15-WEEKDAY(TODAY())))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6"/>
  <sheetViews>
    <sheetView topLeftCell="A217" zoomScaleNormal="100" workbookViewId="0">
      <selection activeCell="G227" sqref="G227"/>
    </sheetView>
  </sheetViews>
  <sheetFormatPr defaultRowHeight="14.4" x14ac:dyDescent="0.3"/>
  <cols>
    <col min="1" max="2" width="15.77734375" style="48" bestFit="1" customWidth="1"/>
    <col min="3" max="3" width="37.33203125" style="18" customWidth="1"/>
    <col min="4" max="4" width="23.33203125" style="48" bestFit="1" customWidth="1"/>
    <col min="5" max="16384" width="8.88671875" style="18"/>
  </cols>
  <sheetData>
    <row r="1" spans="1:4" x14ac:dyDescent="0.3">
      <c r="A1" s="181" t="s">
        <v>34</v>
      </c>
      <c r="B1" s="181"/>
      <c r="C1" s="182" t="s">
        <v>275</v>
      </c>
      <c r="D1" s="181" t="s">
        <v>260</v>
      </c>
    </row>
    <row r="2" spans="1:4" x14ac:dyDescent="0.3">
      <c r="A2" s="56" t="s">
        <v>255</v>
      </c>
      <c r="B2" s="56" t="s">
        <v>256</v>
      </c>
      <c r="C2" s="182"/>
      <c r="D2" s="181"/>
    </row>
    <row r="3" spans="1:4" ht="18" customHeight="1" x14ac:dyDescent="0.3">
      <c r="A3" s="47" t="s">
        <v>295</v>
      </c>
      <c r="B3" s="185" t="s">
        <v>245</v>
      </c>
      <c r="C3" s="186"/>
      <c r="D3" s="49">
        <v>46219</v>
      </c>
    </row>
    <row r="4" spans="1:4" ht="15" customHeight="1" x14ac:dyDescent="0.3">
      <c r="A4" s="41"/>
      <c r="B4" s="41"/>
      <c r="C4" s="19"/>
      <c r="D4" s="43"/>
    </row>
    <row r="5" spans="1:4" ht="15" customHeight="1" x14ac:dyDescent="0.3">
      <c r="A5" s="41">
        <v>45855</v>
      </c>
      <c r="B5" s="41">
        <v>46219</v>
      </c>
      <c r="C5" s="19" t="s">
        <v>258</v>
      </c>
      <c r="D5" s="43"/>
    </row>
    <row r="6" spans="1:4" ht="15" customHeight="1" x14ac:dyDescent="0.3">
      <c r="A6" s="41">
        <v>45490</v>
      </c>
      <c r="B6" s="41">
        <v>45854</v>
      </c>
      <c r="C6" s="19" t="s">
        <v>258</v>
      </c>
      <c r="D6" s="43"/>
    </row>
    <row r="7" spans="1:4" ht="15" customHeight="1" x14ac:dyDescent="0.3">
      <c r="A7" s="42">
        <v>44759</v>
      </c>
      <c r="B7" s="42">
        <v>45489</v>
      </c>
      <c r="C7" s="20" t="s">
        <v>259</v>
      </c>
      <c r="D7" s="45"/>
    </row>
    <row r="8" spans="1:4" ht="15" customHeight="1" x14ac:dyDescent="0.3">
      <c r="A8" s="41">
        <v>44394</v>
      </c>
      <c r="B8" s="41">
        <v>44758</v>
      </c>
      <c r="C8" s="19" t="s">
        <v>258</v>
      </c>
      <c r="D8" s="43"/>
    </row>
    <row r="9" spans="1:4" ht="15" customHeight="1" x14ac:dyDescent="0.3">
      <c r="A9" s="41">
        <v>44029</v>
      </c>
      <c r="B9" s="41">
        <v>44393</v>
      </c>
      <c r="C9" s="19" t="s">
        <v>258</v>
      </c>
      <c r="D9" s="43"/>
    </row>
    <row r="10" spans="1:4" ht="15" customHeight="1" x14ac:dyDescent="0.3">
      <c r="A10" s="41">
        <v>43663</v>
      </c>
      <c r="B10" s="41">
        <v>44028</v>
      </c>
      <c r="C10" s="19" t="s">
        <v>258</v>
      </c>
      <c r="D10" s="43"/>
    </row>
    <row r="11" spans="1:4" ht="15" customHeight="1" x14ac:dyDescent="0.3">
      <c r="A11" s="42">
        <v>43298</v>
      </c>
      <c r="B11" s="42">
        <v>43662</v>
      </c>
      <c r="C11" s="20" t="s">
        <v>258</v>
      </c>
      <c r="D11" s="45"/>
    </row>
    <row r="12" spans="1:4" ht="15" customHeight="1" x14ac:dyDescent="0.3">
      <c r="A12" s="41">
        <v>42933</v>
      </c>
      <c r="B12" s="41">
        <v>43297</v>
      </c>
      <c r="C12" s="19" t="s">
        <v>258</v>
      </c>
      <c r="D12" s="43"/>
    </row>
    <row r="13" spans="1:4" ht="15" customHeight="1" x14ac:dyDescent="0.3">
      <c r="A13" s="41">
        <v>42568</v>
      </c>
      <c r="B13" s="41">
        <v>42932</v>
      </c>
      <c r="C13" s="19" t="s">
        <v>258</v>
      </c>
      <c r="D13" s="43"/>
    </row>
    <row r="14" spans="1:4" ht="15" customHeight="1" x14ac:dyDescent="0.3">
      <c r="A14" s="41">
        <v>42202</v>
      </c>
      <c r="B14" s="41">
        <v>42567</v>
      </c>
      <c r="C14" s="19" t="s">
        <v>258</v>
      </c>
      <c r="D14" s="43"/>
    </row>
    <row r="15" spans="1:4" ht="15" customHeight="1" x14ac:dyDescent="0.3">
      <c r="A15" s="41">
        <v>41837</v>
      </c>
      <c r="B15" s="41">
        <v>42201</v>
      </c>
      <c r="C15" s="19" t="s">
        <v>258</v>
      </c>
      <c r="D15" s="43"/>
    </row>
    <row r="16" spans="1:4" ht="15" customHeight="1" x14ac:dyDescent="0.3">
      <c r="A16" s="43">
        <v>41472</v>
      </c>
      <c r="B16" s="43">
        <v>41836</v>
      </c>
      <c r="C16" s="19" t="s">
        <v>258</v>
      </c>
      <c r="D16" s="43"/>
    </row>
    <row r="17" spans="1:4" ht="15" customHeight="1" x14ac:dyDescent="0.3">
      <c r="A17" s="44">
        <v>41107</v>
      </c>
      <c r="B17" s="44">
        <v>41471</v>
      </c>
      <c r="C17" s="21" t="s">
        <v>257</v>
      </c>
      <c r="D17" s="44"/>
    </row>
    <row r="18" spans="1:4" ht="18" customHeight="1" x14ac:dyDescent="0.3">
      <c r="A18" s="47" t="s">
        <v>296</v>
      </c>
      <c r="B18" s="183" t="s">
        <v>379</v>
      </c>
      <c r="C18" s="184"/>
      <c r="D18" s="49">
        <v>46042</v>
      </c>
    </row>
    <row r="19" spans="1:4" ht="15" customHeight="1" x14ac:dyDescent="0.3">
      <c r="A19" s="43"/>
      <c r="B19" s="43"/>
      <c r="C19" s="19"/>
      <c r="D19" s="43"/>
    </row>
    <row r="20" spans="1:4" ht="15" customHeight="1" x14ac:dyDescent="0.3">
      <c r="A20" s="43">
        <v>45678</v>
      </c>
      <c r="B20" s="43">
        <v>46042</v>
      </c>
      <c r="C20" s="19" t="s">
        <v>258</v>
      </c>
      <c r="D20" s="43"/>
    </row>
    <row r="21" spans="1:4" ht="15" customHeight="1" x14ac:dyDescent="0.3">
      <c r="A21" s="43">
        <v>45312</v>
      </c>
      <c r="B21" s="43">
        <v>45677</v>
      </c>
      <c r="C21" s="19" t="s">
        <v>258</v>
      </c>
      <c r="D21" s="43"/>
    </row>
    <row r="22" spans="1:4" ht="15" customHeight="1" x14ac:dyDescent="0.3">
      <c r="A22" s="43">
        <v>44947</v>
      </c>
      <c r="B22" s="43">
        <v>45311</v>
      </c>
      <c r="C22" s="19" t="s">
        <v>258</v>
      </c>
      <c r="D22" s="43"/>
    </row>
    <row r="23" spans="1:4" ht="15" customHeight="1" x14ac:dyDescent="0.3">
      <c r="A23" s="45">
        <v>44763</v>
      </c>
      <c r="B23" s="45">
        <v>44946</v>
      </c>
      <c r="C23" s="20" t="s">
        <v>263</v>
      </c>
      <c r="D23" s="45"/>
    </row>
    <row r="24" spans="1:4" ht="15" customHeight="1" x14ac:dyDescent="0.3">
      <c r="A24" s="43">
        <v>44398</v>
      </c>
      <c r="B24" s="43">
        <v>44762</v>
      </c>
      <c r="C24" s="19" t="s">
        <v>258</v>
      </c>
      <c r="D24" s="43"/>
    </row>
    <row r="25" spans="1:4" ht="15" customHeight="1" x14ac:dyDescent="0.3">
      <c r="A25" s="43">
        <v>44033</v>
      </c>
      <c r="B25" s="43">
        <v>44397</v>
      </c>
      <c r="C25" s="19" t="s">
        <v>258</v>
      </c>
      <c r="D25" s="43"/>
    </row>
    <row r="26" spans="1:4" ht="15" customHeight="1" x14ac:dyDescent="0.3">
      <c r="A26" s="43">
        <v>43667</v>
      </c>
      <c r="B26" s="43">
        <v>44032</v>
      </c>
      <c r="C26" s="19" t="s">
        <v>258</v>
      </c>
      <c r="D26" s="43"/>
    </row>
    <row r="27" spans="1:4" ht="15" customHeight="1" x14ac:dyDescent="0.3">
      <c r="A27" s="43">
        <v>43302</v>
      </c>
      <c r="B27" s="43">
        <v>43666</v>
      </c>
      <c r="C27" s="19" t="s">
        <v>258</v>
      </c>
      <c r="D27" s="43"/>
    </row>
    <row r="28" spans="1:4" ht="15" customHeight="1" x14ac:dyDescent="0.3">
      <c r="A28" s="45">
        <v>43121</v>
      </c>
      <c r="B28" s="45">
        <v>43301</v>
      </c>
      <c r="C28" s="20" t="s">
        <v>263</v>
      </c>
      <c r="D28" s="45"/>
    </row>
    <row r="29" spans="1:4" ht="15" customHeight="1" x14ac:dyDescent="0.3">
      <c r="A29" s="43">
        <v>42756</v>
      </c>
      <c r="B29" s="43">
        <v>43120</v>
      </c>
      <c r="C29" s="19" t="s">
        <v>258</v>
      </c>
      <c r="D29" s="43"/>
    </row>
    <row r="30" spans="1:4" ht="15" customHeight="1" x14ac:dyDescent="0.3">
      <c r="A30" s="43">
        <v>42390</v>
      </c>
      <c r="B30" s="43">
        <v>42755</v>
      </c>
      <c r="C30" s="19" t="s">
        <v>258</v>
      </c>
      <c r="D30" s="43"/>
    </row>
    <row r="31" spans="1:4" ht="15" customHeight="1" x14ac:dyDescent="0.3">
      <c r="A31" s="43">
        <v>42025</v>
      </c>
      <c r="B31" s="43">
        <v>42389</v>
      </c>
      <c r="C31" s="19" t="s">
        <v>258</v>
      </c>
      <c r="D31" s="43"/>
    </row>
    <row r="32" spans="1:4" ht="15" customHeight="1" x14ac:dyDescent="0.3">
      <c r="A32" s="44">
        <v>41660</v>
      </c>
      <c r="B32" s="44">
        <v>42024</v>
      </c>
      <c r="C32" s="21" t="s">
        <v>257</v>
      </c>
      <c r="D32" s="44"/>
    </row>
    <row r="33" spans="1:4" ht="18" customHeight="1" x14ac:dyDescent="0.3">
      <c r="A33" s="47" t="s">
        <v>297</v>
      </c>
      <c r="B33" s="183" t="s">
        <v>1</v>
      </c>
      <c r="C33" s="184"/>
      <c r="D33" s="49">
        <v>46126</v>
      </c>
    </row>
    <row r="34" spans="1:4" ht="15" customHeight="1" x14ac:dyDescent="0.3">
      <c r="A34" s="43"/>
      <c r="B34" s="43"/>
      <c r="C34" s="19"/>
      <c r="D34" s="43"/>
    </row>
    <row r="35" spans="1:4" ht="15" customHeight="1" x14ac:dyDescent="0.3">
      <c r="A35" s="45"/>
      <c r="B35" s="45"/>
      <c r="C35" s="20"/>
      <c r="D35" s="45"/>
    </row>
    <row r="36" spans="1:4" ht="15" customHeight="1" x14ac:dyDescent="0.3">
      <c r="A36" s="43">
        <v>45762</v>
      </c>
      <c r="B36" s="43">
        <v>46127</v>
      </c>
      <c r="C36" s="19" t="s">
        <v>258</v>
      </c>
      <c r="D36" s="43"/>
    </row>
    <row r="37" spans="1:4" ht="15" customHeight="1" x14ac:dyDescent="0.3">
      <c r="A37" s="43">
        <v>45397</v>
      </c>
      <c r="B37" s="43">
        <v>45761</v>
      </c>
      <c r="C37" s="19" t="s">
        <v>258</v>
      </c>
      <c r="D37" s="43"/>
    </row>
    <row r="38" spans="1:4" ht="15" customHeight="1" x14ac:dyDescent="0.3">
      <c r="A38" s="43">
        <v>45031</v>
      </c>
      <c r="B38" s="43">
        <v>45396</v>
      </c>
      <c r="C38" s="19" t="s">
        <v>258</v>
      </c>
      <c r="D38" s="43"/>
    </row>
    <row r="39" spans="1:4" ht="15" customHeight="1" x14ac:dyDescent="0.3">
      <c r="A39" s="43">
        <v>44666</v>
      </c>
      <c r="B39" s="43">
        <v>45030</v>
      </c>
      <c r="C39" s="19" t="s">
        <v>258</v>
      </c>
      <c r="D39" s="43"/>
    </row>
    <row r="40" spans="1:4" ht="15" customHeight="1" x14ac:dyDescent="0.3">
      <c r="A40" s="45">
        <v>44484</v>
      </c>
      <c r="B40" s="45">
        <v>44665</v>
      </c>
      <c r="C40" s="20" t="s">
        <v>263</v>
      </c>
      <c r="D40" s="45"/>
    </row>
    <row r="41" spans="1:4" ht="15" customHeight="1" x14ac:dyDescent="0.3">
      <c r="A41" s="43">
        <v>44119</v>
      </c>
      <c r="B41" s="43">
        <v>44483</v>
      </c>
      <c r="C41" s="19" t="s">
        <v>258</v>
      </c>
      <c r="D41" s="43"/>
    </row>
    <row r="42" spans="1:4" ht="15" customHeight="1" x14ac:dyDescent="0.3">
      <c r="A42" s="43">
        <v>43753</v>
      </c>
      <c r="B42" s="43">
        <v>44118</v>
      </c>
      <c r="C42" s="19" t="s">
        <v>258</v>
      </c>
      <c r="D42" s="43"/>
    </row>
    <row r="43" spans="1:4" ht="15" customHeight="1" x14ac:dyDescent="0.3">
      <c r="A43" s="43">
        <v>43388</v>
      </c>
      <c r="B43" s="43">
        <v>43752</v>
      </c>
      <c r="C43" s="19" t="s">
        <v>258</v>
      </c>
      <c r="D43" s="43"/>
    </row>
    <row r="44" spans="1:4" ht="15" customHeight="1" x14ac:dyDescent="0.3">
      <c r="A44" s="44">
        <v>43023</v>
      </c>
      <c r="B44" s="44">
        <v>43387</v>
      </c>
      <c r="C44" s="21" t="s">
        <v>257</v>
      </c>
      <c r="D44" s="44"/>
    </row>
    <row r="45" spans="1:4" ht="18" hidden="1" customHeight="1" x14ac:dyDescent="0.3">
      <c r="A45" s="58" t="s">
        <v>298</v>
      </c>
      <c r="B45" s="187" t="s">
        <v>2</v>
      </c>
      <c r="C45" s="188"/>
      <c r="D45" s="59">
        <v>45274</v>
      </c>
    </row>
    <row r="46" spans="1:4" ht="15" hidden="1" customHeight="1" x14ac:dyDescent="0.3">
      <c r="A46" s="191" t="s">
        <v>385</v>
      </c>
      <c r="B46" s="192"/>
      <c r="C46" s="192"/>
      <c r="D46" s="193"/>
    </row>
    <row r="47" spans="1:4" ht="15" hidden="1" customHeight="1" x14ac:dyDescent="0.3">
      <c r="A47" s="60">
        <v>45092</v>
      </c>
      <c r="B47" s="60">
        <v>45274</v>
      </c>
      <c r="C47" s="61" t="s">
        <v>263</v>
      </c>
      <c r="D47" s="60"/>
    </row>
    <row r="48" spans="1:4" ht="15" hidden="1" customHeight="1" x14ac:dyDescent="0.3">
      <c r="A48" s="60">
        <v>44727</v>
      </c>
      <c r="B48" s="60">
        <v>45091</v>
      </c>
      <c r="C48" s="61" t="s">
        <v>258</v>
      </c>
      <c r="D48" s="60"/>
    </row>
    <row r="49" spans="1:4" ht="15" hidden="1" customHeight="1" x14ac:dyDescent="0.3">
      <c r="A49" s="60">
        <v>44362</v>
      </c>
      <c r="B49" s="60">
        <v>44726</v>
      </c>
      <c r="C49" s="61" t="s">
        <v>258</v>
      </c>
      <c r="D49" s="60"/>
    </row>
    <row r="50" spans="1:4" ht="15" hidden="1" customHeight="1" x14ac:dyDescent="0.3">
      <c r="A50" s="60">
        <v>43997</v>
      </c>
      <c r="B50" s="60">
        <v>44361</v>
      </c>
      <c r="C50" s="61" t="s">
        <v>258</v>
      </c>
      <c r="D50" s="60"/>
    </row>
    <row r="51" spans="1:4" ht="15" hidden="1" customHeight="1" x14ac:dyDescent="0.3">
      <c r="A51" s="62">
        <v>43814</v>
      </c>
      <c r="B51" s="62">
        <v>43996</v>
      </c>
      <c r="C51" s="63" t="s">
        <v>257</v>
      </c>
      <c r="D51" s="62" t="s">
        <v>264</v>
      </c>
    </row>
    <row r="52" spans="1:4" ht="15" customHeight="1" x14ac:dyDescent="0.3">
      <c r="A52" s="47" t="s">
        <v>299</v>
      </c>
      <c r="B52" s="183" t="s">
        <v>3</v>
      </c>
      <c r="C52" s="184"/>
      <c r="D52" s="49">
        <v>46162</v>
      </c>
    </row>
    <row r="53" spans="1:4" ht="15" customHeight="1" x14ac:dyDescent="0.3">
      <c r="A53" s="43"/>
      <c r="B53" s="43"/>
      <c r="C53" s="19"/>
      <c r="D53" s="43"/>
    </row>
    <row r="54" spans="1:4" ht="15" customHeight="1" x14ac:dyDescent="0.3">
      <c r="A54" s="45"/>
      <c r="B54" s="45"/>
      <c r="C54" s="20"/>
      <c r="D54" s="45"/>
    </row>
    <row r="55" spans="1:4" ht="15" customHeight="1" x14ac:dyDescent="0.3">
      <c r="A55" s="43">
        <v>45798</v>
      </c>
      <c r="B55" s="43">
        <v>46162</v>
      </c>
      <c r="C55" s="19" t="s">
        <v>258</v>
      </c>
      <c r="D55" s="43"/>
    </row>
    <row r="56" spans="1:4" ht="15" customHeight="1" x14ac:dyDescent="0.3">
      <c r="A56" s="43">
        <v>45433</v>
      </c>
      <c r="B56" s="43">
        <v>45797</v>
      </c>
      <c r="C56" s="19" t="s">
        <v>258</v>
      </c>
      <c r="D56" s="43"/>
    </row>
    <row r="57" spans="1:4" ht="15" customHeight="1" x14ac:dyDescent="0.3">
      <c r="A57" s="43">
        <v>45067</v>
      </c>
      <c r="B57" s="43">
        <v>45432</v>
      </c>
      <c r="C57" s="19" t="s">
        <v>258</v>
      </c>
      <c r="D57" s="43"/>
    </row>
    <row r="58" spans="1:4" ht="15" customHeight="1" x14ac:dyDescent="0.3">
      <c r="A58" s="43">
        <v>44702</v>
      </c>
      <c r="B58" s="43">
        <v>45066</v>
      </c>
      <c r="C58" s="19" t="s">
        <v>258</v>
      </c>
      <c r="D58" s="43"/>
    </row>
    <row r="59" spans="1:4" ht="15" customHeight="1" x14ac:dyDescent="0.3">
      <c r="A59" s="45">
        <v>44521</v>
      </c>
      <c r="B59" s="45">
        <v>44701</v>
      </c>
      <c r="C59" s="20" t="s">
        <v>263</v>
      </c>
      <c r="D59" s="45"/>
    </row>
    <row r="60" spans="1:4" ht="15" customHeight="1" x14ac:dyDescent="0.3">
      <c r="A60" s="43">
        <v>44156</v>
      </c>
      <c r="B60" s="43">
        <v>44520</v>
      </c>
      <c r="C60" s="19" t="s">
        <v>258</v>
      </c>
      <c r="D60" s="43"/>
    </row>
    <row r="61" spans="1:4" ht="15" customHeight="1" x14ac:dyDescent="0.3">
      <c r="A61" s="43">
        <v>43790</v>
      </c>
      <c r="B61" s="43">
        <v>44155</v>
      </c>
      <c r="C61" s="19" t="s">
        <v>258</v>
      </c>
      <c r="D61" s="43"/>
    </row>
    <row r="62" spans="1:4" ht="15" customHeight="1" x14ac:dyDescent="0.3">
      <c r="A62" s="43">
        <v>43425</v>
      </c>
      <c r="B62" s="43">
        <v>43789</v>
      </c>
      <c r="C62" s="19" t="s">
        <v>258</v>
      </c>
      <c r="D62" s="43"/>
    </row>
    <row r="63" spans="1:4" ht="15" customHeight="1" x14ac:dyDescent="0.3">
      <c r="A63" s="44">
        <v>43241</v>
      </c>
      <c r="B63" s="44">
        <v>43424</v>
      </c>
      <c r="C63" s="21" t="s">
        <v>257</v>
      </c>
      <c r="D63" s="44" t="s">
        <v>264</v>
      </c>
    </row>
    <row r="64" spans="1:4" ht="18" customHeight="1" x14ac:dyDescent="0.3">
      <c r="A64" s="47" t="s">
        <v>300</v>
      </c>
      <c r="B64" s="183" t="s">
        <v>4</v>
      </c>
      <c r="C64" s="184"/>
      <c r="D64" s="49">
        <v>46090</v>
      </c>
    </row>
    <row r="65" spans="1:4" ht="15" customHeight="1" x14ac:dyDescent="0.3">
      <c r="A65" s="43"/>
      <c r="B65" s="43"/>
      <c r="C65" s="19"/>
      <c r="D65" s="43"/>
    </row>
    <row r="66" spans="1:4" ht="15" customHeight="1" x14ac:dyDescent="0.3">
      <c r="A66" s="43">
        <v>45726</v>
      </c>
      <c r="B66" s="43">
        <v>46090</v>
      </c>
      <c r="C66" s="19" t="s">
        <v>258</v>
      </c>
      <c r="D66" s="43"/>
    </row>
    <row r="67" spans="1:4" ht="15" customHeight="1" x14ac:dyDescent="0.3">
      <c r="A67" s="43">
        <v>45361</v>
      </c>
      <c r="B67" s="43">
        <v>45725</v>
      </c>
      <c r="C67" s="19" t="s">
        <v>258</v>
      </c>
      <c r="D67" s="43"/>
    </row>
    <row r="68" spans="1:4" ht="15" customHeight="1" x14ac:dyDescent="0.3">
      <c r="A68" s="43">
        <v>44995</v>
      </c>
      <c r="B68" s="43">
        <v>45360</v>
      </c>
      <c r="C68" s="19" t="s">
        <v>258</v>
      </c>
      <c r="D68" s="43"/>
    </row>
    <row r="69" spans="1:4" ht="15" customHeight="1" x14ac:dyDescent="0.3">
      <c r="A69" s="45">
        <v>44814</v>
      </c>
      <c r="B69" s="45">
        <v>44994</v>
      </c>
      <c r="C69" s="20" t="s">
        <v>263</v>
      </c>
      <c r="D69" s="45"/>
    </row>
    <row r="70" spans="1:4" ht="15" customHeight="1" x14ac:dyDescent="0.3">
      <c r="A70" s="43">
        <v>44449</v>
      </c>
      <c r="B70" s="43">
        <v>44813</v>
      </c>
      <c r="C70" s="19" t="s">
        <v>258</v>
      </c>
      <c r="D70" s="43"/>
    </row>
    <row r="71" spans="1:4" ht="15" customHeight="1" x14ac:dyDescent="0.3">
      <c r="A71" s="43">
        <v>44084</v>
      </c>
      <c r="B71" s="43">
        <v>44448</v>
      </c>
      <c r="C71" s="19" t="s">
        <v>258</v>
      </c>
      <c r="D71" s="43"/>
    </row>
    <row r="72" spans="1:4" ht="15" customHeight="1" x14ac:dyDescent="0.3">
      <c r="A72" s="43">
        <v>43718</v>
      </c>
      <c r="B72" s="43">
        <v>44083</v>
      </c>
      <c r="C72" s="19" t="s">
        <v>258</v>
      </c>
      <c r="D72" s="43"/>
    </row>
    <row r="73" spans="1:4" ht="15" customHeight="1" x14ac:dyDescent="0.3">
      <c r="A73" s="44">
        <v>43534</v>
      </c>
      <c r="B73" s="44">
        <v>43717</v>
      </c>
      <c r="C73" s="21" t="s">
        <v>257</v>
      </c>
      <c r="D73" s="44"/>
    </row>
    <row r="74" spans="1:4" ht="18" hidden="1" customHeight="1" x14ac:dyDescent="0.3">
      <c r="A74" s="47" t="s">
        <v>301</v>
      </c>
      <c r="B74" s="183" t="s">
        <v>5</v>
      </c>
      <c r="C74" s="184"/>
      <c r="D74" s="49">
        <v>46053</v>
      </c>
    </row>
    <row r="75" spans="1:4" ht="18" hidden="1" customHeight="1" x14ac:dyDescent="0.3">
      <c r="A75" s="43"/>
      <c r="B75" s="43"/>
      <c r="C75" s="19"/>
      <c r="D75" s="43"/>
    </row>
    <row r="76" spans="1:4" ht="15" hidden="1" customHeight="1" x14ac:dyDescent="0.3">
      <c r="A76" s="45"/>
      <c r="B76" s="45"/>
      <c r="C76" s="20"/>
      <c r="D76" s="45"/>
    </row>
    <row r="77" spans="1:4" ht="15" hidden="1" customHeight="1" x14ac:dyDescent="0.3">
      <c r="A77" s="43">
        <v>45689</v>
      </c>
      <c r="B77" s="43">
        <v>46053</v>
      </c>
      <c r="C77" s="19" t="s">
        <v>258</v>
      </c>
      <c r="D77" s="43"/>
    </row>
    <row r="78" spans="1:4" ht="15" hidden="1" customHeight="1" x14ac:dyDescent="0.3">
      <c r="A78" s="43">
        <v>45323</v>
      </c>
      <c r="B78" s="43">
        <v>45688</v>
      </c>
      <c r="C78" s="19" t="s">
        <v>258</v>
      </c>
      <c r="D78" s="43"/>
    </row>
    <row r="79" spans="1:4" ht="15" hidden="1" customHeight="1" x14ac:dyDescent="0.3">
      <c r="A79" s="43">
        <v>44958</v>
      </c>
      <c r="B79" s="43">
        <v>45322</v>
      </c>
      <c r="C79" s="19" t="s">
        <v>258</v>
      </c>
      <c r="D79" s="43"/>
    </row>
    <row r="80" spans="1:4" ht="15" hidden="1" customHeight="1" x14ac:dyDescent="0.3">
      <c r="A80" s="43">
        <v>44593</v>
      </c>
      <c r="B80" s="43">
        <v>44957</v>
      </c>
      <c r="C80" s="19" t="s">
        <v>258</v>
      </c>
      <c r="D80" s="43"/>
    </row>
    <row r="81" spans="1:4" ht="15" hidden="1" customHeight="1" x14ac:dyDescent="0.3">
      <c r="A81" s="44">
        <v>44409</v>
      </c>
      <c r="B81" s="44">
        <v>44592</v>
      </c>
      <c r="C81" s="21" t="s">
        <v>257</v>
      </c>
      <c r="D81" s="44" t="s">
        <v>264</v>
      </c>
    </row>
    <row r="82" spans="1:4" ht="18" customHeight="1" x14ac:dyDescent="0.3">
      <c r="A82" s="47" t="s">
        <v>302</v>
      </c>
      <c r="B82" s="189" t="s">
        <v>33</v>
      </c>
      <c r="C82" s="190"/>
      <c r="D82" s="49">
        <v>46314</v>
      </c>
    </row>
    <row r="83" spans="1:4" ht="18" customHeight="1" x14ac:dyDescent="0.3">
      <c r="A83" s="43"/>
      <c r="B83" s="43"/>
      <c r="C83" s="19"/>
      <c r="D83" s="43"/>
    </row>
    <row r="84" spans="1:4" ht="15" customHeight="1" x14ac:dyDescent="0.3">
      <c r="A84" s="43">
        <v>45950</v>
      </c>
      <c r="B84" s="43">
        <v>46314</v>
      </c>
      <c r="C84" s="19" t="s">
        <v>258</v>
      </c>
      <c r="D84" s="43"/>
    </row>
    <row r="85" spans="1:4" ht="15" customHeight="1" x14ac:dyDescent="0.3">
      <c r="A85" s="43">
        <v>45585</v>
      </c>
      <c r="B85" s="43">
        <v>45949</v>
      </c>
      <c r="C85" s="19" t="s">
        <v>258</v>
      </c>
      <c r="D85" s="43"/>
    </row>
    <row r="86" spans="1:4" ht="15" customHeight="1" x14ac:dyDescent="0.3">
      <c r="A86" s="45">
        <v>45402</v>
      </c>
      <c r="B86" s="45">
        <v>45584</v>
      </c>
      <c r="C86" s="20" t="s">
        <v>263</v>
      </c>
      <c r="D86" s="45"/>
    </row>
    <row r="87" spans="1:4" ht="15" customHeight="1" x14ac:dyDescent="0.3">
      <c r="A87" s="43">
        <v>45036</v>
      </c>
      <c r="B87" s="43">
        <v>45401</v>
      </c>
      <c r="C87" s="19" t="s">
        <v>258</v>
      </c>
      <c r="D87" s="43"/>
    </row>
    <row r="88" spans="1:4" ht="15" customHeight="1" x14ac:dyDescent="0.3">
      <c r="A88" s="43">
        <v>44671</v>
      </c>
      <c r="B88" s="43">
        <v>45035</v>
      </c>
      <c r="C88" s="19" t="s">
        <v>258</v>
      </c>
      <c r="D88" s="43"/>
    </row>
    <row r="89" spans="1:4" ht="15" customHeight="1" x14ac:dyDescent="0.3">
      <c r="A89" s="43">
        <v>44306</v>
      </c>
      <c r="B89" s="43">
        <v>44670</v>
      </c>
      <c r="C89" s="19" t="s">
        <v>258</v>
      </c>
      <c r="D89" s="43"/>
    </row>
    <row r="90" spans="1:4" ht="15" customHeight="1" x14ac:dyDescent="0.3">
      <c r="A90" s="43">
        <v>43941</v>
      </c>
      <c r="B90" s="43">
        <v>44305</v>
      </c>
      <c r="C90" s="19" t="s">
        <v>258</v>
      </c>
      <c r="D90" s="43"/>
    </row>
    <row r="91" spans="1:4" ht="15" customHeight="1" x14ac:dyDescent="0.3">
      <c r="A91" s="45">
        <v>43758</v>
      </c>
      <c r="B91" s="45">
        <v>43940</v>
      </c>
      <c r="C91" s="20" t="s">
        <v>263</v>
      </c>
      <c r="D91" s="45"/>
    </row>
    <row r="92" spans="1:4" ht="15" customHeight="1" x14ac:dyDescent="0.3">
      <c r="A92" s="43">
        <v>43393</v>
      </c>
      <c r="B92" s="43">
        <v>43757</v>
      </c>
      <c r="C92" s="19" t="s">
        <v>258</v>
      </c>
      <c r="D92" s="43"/>
    </row>
    <row r="93" spans="1:4" ht="15" customHeight="1" x14ac:dyDescent="0.3">
      <c r="A93" s="43">
        <v>43028</v>
      </c>
      <c r="B93" s="43">
        <v>43392</v>
      </c>
      <c r="C93" s="19" t="s">
        <v>258</v>
      </c>
      <c r="D93" s="43"/>
    </row>
    <row r="94" spans="1:4" ht="15" customHeight="1" x14ac:dyDescent="0.3">
      <c r="A94" s="43">
        <v>42663</v>
      </c>
      <c r="B94" s="43">
        <v>43027</v>
      </c>
      <c r="C94" s="19" t="s">
        <v>258</v>
      </c>
      <c r="D94" s="43"/>
    </row>
    <row r="95" spans="1:4" ht="15" customHeight="1" x14ac:dyDescent="0.3">
      <c r="A95" s="44">
        <v>42297</v>
      </c>
      <c r="B95" s="44">
        <v>42662</v>
      </c>
      <c r="C95" s="21" t="s">
        <v>257</v>
      </c>
      <c r="D95" s="44"/>
    </row>
    <row r="96" spans="1:4" ht="18" customHeight="1" x14ac:dyDescent="0.3">
      <c r="A96" s="47" t="s">
        <v>303</v>
      </c>
      <c r="B96" s="183" t="s">
        <v>6</v>
      </c>
      <c r="C96" s="184"/>
      <c r="D96" s="49">
        <v>46049</v>
      </c>
    </row>
    <row r="97" spans="1:4" ht="15" customHeight="1" x14ac:dyDescent="0.3">
      <c r="A97" s="43"/>
      <c r="B97" s="43"/>
      <c r="C97" s="19"/>
      <c r="D97" s="43"/>
    </row>
    <row r="98" spans="1:4" ht="15" customHeight="1" x14ac:dyDescent="0.3">
      <c r="A98" s="45">
        <v>45866</v>
      </c>
      <c r="B98" s="45">
        <v>46049</v>
      </c>
      <c r="C98" s="20" t="s">
        <v>263</v>
      </c>
      <c r="D98" s="45"/>
    </row>
    <row r="99" spans="1:4" ht="15" customHeight="1" x14ac:dyDescent="0.3">
      <c r="A99" s="43">
        <v>45501</v>
      </c>
      <c r="B99" s="43">
        <v>45865</v>
      </c>
      <c r="C99" s="19" t="s">
        <v>258</v>
      </c>
      <c r="D99" s="43"/>
    </row>
    <row r="100" spans="1:4" ht="15" customHeight="1" x14ac:dyDescent="0.3">
      <c r="A100" s="43">
        <v>45135</v>
      </c>
      <c r="B100" s="43">
        <v>45500</v>
      </c>
      <c r="C100" s="19" t="s">
        <v>258</v>
      </c>
      <c r="D100" s="43"/>
    </row>
    <row r="101" spans="1:4" ht="15" customHeight="1" x14ac:dyDescent="0.3">
      <c r="A101" s="43">
        <v>44770</v>
      </c>
      <c r="B101" s="43">
        <v>45134</v>
      </c>
      <c r="C101" s="19" t="s">
        <v>258</v>
      </c>
      <c r="D101" s="43"/>
    </row>
    <row r="102" spans="1:4" ht="15" customHeight="1" x14ac:dyDescent="0.3">
      <c r="A102" s="43">
        <v>44405</v>
      </c>
      <c r="B102" s="43">
        <v>44769</v>
      </c>
      <c r="C102" s="19" t="s">
        <v>258</v>
      </c>
      <c r="D102" s="43"/>
    </row>
    <row r="103" spans="1:4" ht="15" customHeight="1" x14ac:dyDescent="0.3">
      <c r="A103" s="46">
        <v>44224</v>
      </c>
      <c r="B103" s="46">
        <v>44404</v>
      </c>
      <c r="C103" s="25"/>
      <c r="D103" s="46"/>
    </row>
    <row r="104" spans="1:4" ht="15" customHeight="1" x14ac:dyDescent="0.3">
      <c r="A104" s="46">
        <v>43858</v>
      </c>
      <c r="B104" s="46">
        <v>44223</v>
      </c>
      <c r="C104" s="25"/>
      <c r="D104" s="46"/>
    </row>
    <row r="105" spans="1:4" ht="15" customHeight="1" x14ac:dyDescent="0.3">
      <c r="A105" s="43">
        <v>43493</v>
      </c>
      <c r="B105" s="43">
        <v>43857</v>
      </c>
      <c r="C105" s="19" t="s">
        <v>258</v>
      </c>
      <c r="D105" s="43"/>
    </row>
    <row r="106" spans="1:4" ht="15" customHeight="1" x14ac:dyDescent="0.3">
      <c r="A106" s="43">
        <v>43128</v>
      </c>
      <c r="B106" s="43">
        <v>43492</v>
      </c>
      <c r="C106" s="19" t="s">
        <v>258</v>
      </c>
      <c r="D106" s="43"/>
    </row>
    <row r="107" spans="1:4" ht="15" customHeight="1" x14ac:dyDescent="0.3">
      <c r="A107" s="43">
        <v>42763</v>
      </c>
      <c r="B107" s="43">
        <v>43127</v>
      </c>
      <c r="C107" s="19" t="s">
        <v>258</v>
      </c>
      <c r="D107" s="43"/>
    </row>
    <row r="108" spans="1:4" ht="15" customHeight="1" x14ac:dyDescent="0.3">
      <c r="A108" s="44">
        <v>42397</v>
      </c>
      <c r="B108" s="44">
        <v>42762</v>
      </c>
      <c r="C108" s="21" t="s">
        <v>257</v>
      </c>
      <c r="D108" s="44"/>
    </row>
    <row r="109" spans="1:4" ht="15" customHeight="1" x14ac:dyDescent="0.3">
      <c r="A109" s="47" t="s">
        <v>304</v>
      </c>
      <c r="B109" s="183" t="s">
        <v>7</v>
      </c>
      <c r="C109" s="184"/>
      <c r="D109" s="49">
        <v>46190</v>
      </c>
    </row>
    <row r="110" spans="1:4" ht="15" customHeight="1" x14ac:dyDescent="0.3">
      <c r="A110" s="43"/>
      <c r="B110" s="43"/>
      <c r="C110" s="19"/>
      <c r="D110" s="43"/>
    </row>
    <row r="111" spans="1:4" ht="15" customHeight="1" x14ac:dyDescent="0.3">
      <c r="A111" s="43">
        <v>45826</v>
      </c>
      <c r="B111" s="43">
        <v>46190</v>
      </c>
      <c r="C111" s="19" t="s">
        <v>258</v>
      </c>
      <c r="D111" s="43"/>
    </row>
    <row r="112" spans="1:4" ht="15" customHeight="1" x14ac:dyDescent="0.3">
      <c r="A112" s="43">
        <v>45461</v>
      </c>
      <c r="B112" s="43">
        <v>45825</v>
      </c>
      <c r="C112" s="19" t="s">
        <v>258</v>
      </c>
      <c r="D112" s="43"/>
    </row>
    <row r="113" spans="1:4" ht="14.4" customHeight="1" x14ac:dyDescent="0.3">
      <c r="A113" s="45">
        <v>45278</v>
      </c>
      <c r="B113" s="45">
        <v>45460</v>
      </c>
      <c r="C113" s="20" t="s">
        <v>263</v>
      </c>
      <c r="D113" s="45"/>
    </row>
    <row r="114" spans="1:4" ht="14.4" customHeight="1" x14ac:dyDescent="0.3">
      <c r="A114" s="43">
        <v>45231</v>
      </c>
      <c r="B114" s="43">
        <v>45277</v>
      </c>
      <c r="C114" s="28" t="s">
        <v>467</v>
      </c>
      <c r="D114" s="43" t="s">
        <v>469</v>
      </c>
    </row>
    <row r="115" spans="1:4" ht="14.4" customHeight="1" x14ac:dyDescent="0.3">
      <c r="A115" s="44">
        <v>45095</v>
      </c>
      <c r="B115" s="44">
        <v>45277</v>
      </c>
      <c r="C115" s="21" t="s">
        <v>257</v>
      </c>
      <c r="D115" s="44" t="s">
        <v>264</v>
      </c>
    </row>
    <row r="116" spans="1:4" ht="18" customHeight="1" x14ac:dyDescent="0.3">
      <c r="A116" s="47" t="s">
        <v>305</v>
      </c>
      <c r="B116" s="183" t="s">
        <v>8</v>
      </c>
      <c r="C116" s="184"/>
      <c r="D116" s="49">
        <v>46022</v>
      </c>
    </row>
    <row r="117" spans="1:4" ht="15" customHeight="1" x14ac:dyDescent="0.3">
      <c r="A117" s="43"/>
      <c r="B117" s="43"/>
      <c r="C117" s="19"/>
      <c r="D117" s="43"/>
    </row>
    <row r="118" spans="1:4" ht="15" customHeight="1" x14ac:dyDescent="0.3">
      <c r="A118" s="43">
        <v>46023</v>
      </c>
      <c r="B118" s="43">
        <v>46387</v>
      </c>
      <c r="C118" s="19" t="s">
        <v>258</v>
      </c>
      <c r="D118" s="43"/>
    </row>
    <row r="119" spans="1:4" ht="15" customHeight="1" x14ac:dyDescent="0.3">
      <c r="A119" s="45">
        <v>45839</v>
      </c>
      <c r="B119" s="45">
        <v>46022</v>
      </c>
      <c r="C119" s="20" t="s">
        <v>263</v>
      </c>
      <c r="D119" s="45"/>
    </row>
    <row r="120" spans="1:4" ht="15" customHeight="1" x14ac:dyDescent="0.3">
      <c r="A120" s="43">
        <v>45474</v>
      </c>
      <c r="B120" s="43">
        <v>45838</v>
      </c>
      <c r="C120" s="19" t="s">
        <v>258</v>
      </c>
      <c r="D120" s="43"/>
    </row>
    <row r="121" spans="1:4" ht="15" customHeight="1" x14ac:dyDescent="0.3">
      <c r="A121" s="43">
        <v>44743</v>
      </c>
      <c r="B121" s="43">
        <v>45473</v>
      </c>
      <c r="C121" s="19" t="s">
        <v>259</v>
      </c>
      <c r="D121" s="43"/>
    </row>
    <row r="122" spans="1:4" ht="15" customHeight="1" x14ac:dyDescent="0.3">
      <c r="A122" s="43">
        <v>44013</v>
      </c>
      <c r="B122" s="43">
        <v>44742</v>
      </c>
      <c r="C122" s="19" t="s">
        <v>259</v>
      </c>
      <c r="D122" s="43"/>
    </row>
    <row r="123" spans="1:4" ht="15" customHeight="1" x14ac:dyDescent="0.3">
      <c r="A123" s="43">
        <v>43282</v>
      </c>
      <c r="B123" s="43">
        <v>44012</v>
      </c>
      <c r="C123" s="19" t="s">
        <v>259</v>
      </c>
      <c r="D123" s="43"/>
    </row>
    <row r="124" spans="1:4" ht="15" customHeight="1" x14ac:dyDescent="0.3">
      <c r="A124" s="45">
        <v>42552</v>
      </c>
      <c r="B124" s="45">
        <v>43281</v>
      </c>
      <c r="C124" s="20" t="s">
        <v>276</v>
      </c>
      <c r="D124" s="45"/>
    </row>
    <row r="125" spans="1:4" ht="15" customHeight="1" x14ac:dyDescent="0.3">
      <c r="A125" s="45">
        <v>42370</v>
      </c>
      <c r="B125" s="45">
        <v>42551</v>
      </c>
      <c r="C125" s="20" t="s">
        <v>263</v>
      </c>
      <c r="D125" s="45"/>
    </row>
    <row r="126" spans="1:4" ht="15" customHeight="1" x14ac:dyDescent="0.3">
      <c r="A126" s="43">
        <v>42005</v>
      </c>
      <c r="B126" s="43">
        <v>42369</v>
      </c>
      <c r="C126" s="19" t="s">
        <v>258</v>
      </c>
      <c r="D126" s="43"/>
    </row>
    <row r="127" spans="1:4" ht="15" customHeight="1" x14ac:dyDescent="0.3">
      <c r="A127" s="43">
        <v>41640</v>
      </c>
      <c r="B127" s="43">
        <v>42004</v>
      </c>
      <c r="C127" s="19" t="s">
        <v>258</v>
      </c>
      <c r="D127" s="43"/>
    </row>
    <row r="128" spans="1:4" ht="15" customHeight="1" x14ac:dyDescent="0.3">
      <c r="A128" s="43">
        <v>41275</v>
      </c>
      <c r="B128" s="43">
        <v>41639</v>
      </c>
      <c r="C128" s="19" t="s">
        <v>258</v>
      </c>
      <c r="D128" s="43"/>
    </row>
    <row r="129" spans="1:4" ht="15" customHeight="1" x14ac:dyDescent="0.3">
      <c r="A129" s="43">
        <v>40909</v>
      </c>
      <c r="B129" s="43">
        <v>41274</v>
      </c>
      <c r="C129" s="19" t="s">
        <v>258</v>
      </c>
      <c r="D129" s="43"/>
    </row>
    <row r="130" spans="1:4" ht="15" customHeight="1" x14ac:dyDescent="0.3">
      <c r="A130" s="45">
        <v>40178</v>
      </c>
      <c r="B130" s="45">
        <v>40908</v>
      </c>
      <c r="C130" s="20" t="s">
        <v>259</v>
      </c>
      <c r="D130" s="45"/>
    </row>
    <row r="131" spans="1:4" ht="15" customHeight="1" x14ac:dyDescent="0.3">
      <c r="A131" s="44">
        <v>39814</v>
      </c>
      <c r="B131" s="44">
        <v>40178</v>
      </c>
      <c r="C131" s="21" t="s">
        <v>257</v>
      </c>
      <c r="D131" s="44"/>
    </row>
    <row r="132" spans="1:4" ht="18" customHeight="1" x14ac:dyDescent="0.3">
      <c r="A132" s="47" t="s">
        <v>306</v>
      </c>
      <c r="B132" s="183" t="s">
        <v>9</v>
      </c>
      <c r="C132" s="184"/>
      <c r="D132" s="49">
        <v>46203</v>
      </c>
    </row>
    <row r="133" spans="1:4" ht="15" customHeight="1" x14ac:dyDescent="0.3">
      <c r="A133" s="43"/>
      <c r="B133" s="43"/>
      <c r="C133" s="19"/>
      <c r="D133" s="43"/>
    </row>
    <row r="134" spans="1:4" ht="15" customHeight="1" x14ac:dyDescent="0.3">
      <c r="A134" s="43">
        <v>45839</v>
      </c>
      <c r="B134" s="43">
        <v>46203</v>
      </c>
      <c r="C134" s="19" t="s">
        <v>258</v>
      </c>
      <c r="D134" s="43"/>
    </row>
    <row r="135" spans="1:4" ht="15" customHeight="1" x14ac:dyDescent="0.3">
      <c r="A135" s="43">
        <v>45474</v>
      </c>
      <c r="B135" s="43">
        <v>45838</v>
      </c>
      <c r="C135" s="19" t="s">
        <v>258</v>
      </c>
      <c r="D135" s="43"/>
    </row>
    <row r="136" spans="1:4" ht="15" customHeight="1" x14ac:dyDescent="0.3">
      <c r="A136" s="45">
        <v>45323</v>
      </c>
      <c r="B136" s="45">
        <v>45473</v>
      </c>
      <c r="C136" s="20" t="s">
        <v>263</v>
      </c>
      <c r="D136" s="45"/>
    </row>
    <row r="137" spans="1:4" ht="15" customHeight="1" x14ac:dyDescent="0.3">
      <c r="A137" s="43">
        <v>44958</v>
      </c>
      <c r="B137" s="43">
        <v>45321</v>
      </c>
      <c r="C137" s="19" t="s">
        <v>258</v>
      </c>
      <c r="D137" s="43"/>
    </row>
    <row r="138" spans="1:4" ht="15" customHeight="1" x14ac:dyDescent="0.3">
      <c r="A138" s="43">
        <v>44593</v>
      </c>
      <c r="B138" s="43">
        <v>44956</v>
      </c>
      <c r="C138" s="19" t="s">
        <v>258</v>
      </c>
      <c r="D138" s="43"/>
    </row>
    <row r="139" spans="1:4" ht="15" customHeight="1" x14ac:dyDescent="0.3">
      <c r="A139" s="43">
        <v>44228</v>
      </c>
      <c r="B139" s="43">
        <v>44591</v>
      </c>
      <c r="C139" s="19" t="s">
        <v>258</v>
      </c>
      <c r="D139" s="43"/>
    </row>
    <row r="140" spans="1:4" ht="15" customHeight="1" x14ac:dyDescent="0.3">
      <c r="A140" s="43">
        <v>43862</v>
      </c>
      <c r="B140" s="43">
        <v>44226</v>
      </c>
      <c r="C140" s="19" t="s">
        <v>258</v>
      </c>
      <c r="D140" s="43"/>
    </row>
    <row r="141" spans="1:4" ht="15" customHeight="1" x14ac:dyDescent="0.3">
      <c r="A141" s="45">
        <v>43647</v>
      </c>
      <c r="B141" s="45">
        <v>43860</v>
      </c>
      <c r="C141" s="20" t="s">
        <v>263</v>
      </c>
      <c r="D141" s="45"/>
    </row>
    <row r="142" spans="1:4" ht="15" customHeight="1" x14ac:dyDescent="0.3">
      <c r="A142" s="43">
        <v>43282</v>
      </c>
      <c r="B142" s="43">
        <v>43646</v>
      </c>
      <c r="C142" s="19" t="s">
        <v>258</v>
      </c>
      <c r="D142" s="43"/>
    </row>
    <row r="143" spans="1:4" ht="15" customHeight="1" x14ac:dyDescent="0.3">
      <c r="A143" s="43">
        <v>42917</v>
      </c>
      <c r="B143" s="43">
        <v>43281</v>
      </c>
      <c r="C143" s="19" t="s">
        <v>258</v>
      </c>
      <c r="D143" s="43"/>
    </row>
    <row r="144" spans="1:4" ht="15" customHeight="1" x14ac:dyDescent="0.3">
      <c r="A144" s="43">
        <v>42552</v>
      </c>
      <c r="B144" s="43">
        <v>42916</v>
      </c>
      <c r="C144" s="19" t="s">
        <v>258</v>
      </c>
      <c r="D144" s="43"/>
    </row>
    <row r="145" spans="1:4" ht="15" customHeight="1" x14ac:dyDescent="0.3">
      <c r="A145" s="44">
        <v>42186</v>
      </c>
      <c r="B145" s="44">
        <v>42551</v>
      </c>
      <c r="C145" s="21" t="s">
        <v>257</v>
      </c>
      <c r="D145" s="44"/>
    </row>
    <row r="146" spans="1:4" ht="18" customHeight="1" x14ac:dyDescent="0.3">
      <c r="A146" s="47" t="s">
        <v>307</v>
      </c>
      <c r="B146" s="183" t="s">
        <v>55</v>
      </c>
      <c r="C146" s="184"/>
      <c r="D146" s="49">
        <v>46217</v>
      </c>
    </row>
    <row r="147" spans="1:4" ht="15" customHeight="1" x14ac:dyDescent="0.3">
      <c r="A147" s="43"/>
      <c r="B147" s="43"/>
      <c r="C147" s="19"/>
      <c r="D147" s="43"/>
    </row>
    <row r="148" spans="1:4" ht="15" customHeight="1" x14ac:dyDescent="0.3">
      <c r="A148" s="43">
        <v>45853</v>
      </c>
      <c r="B148" s="43">
        <v>46217</v>
      </c>
      <c r="C148" s="19" t="s">
        <v>258</v>
      </c>
      <c r="D148" s="43"/>
    </row>
    <row r="149" spans="1:4" ht="15" customHeight="1" x14ac:dyDescent="0.3">
      <c r="A149" s="43">
        <v>45488</v>
      </c>
      <c r="B149" s="43">
        <v>45852</v>
      </c>
      <c r="C149" s="19" t="s">
        <v>258</v>
      </c>
      <c r="D149" s="43"/>
    </row>
    <row r="150" spans="1:4" ht="15" customHeight="1" x14ac:dyDescent="0.3">
      <c r="A150" s="43">
        <v>45122</v>
      </c>
      <c r="B150" s="43">
        <v>45487</v>
      </c>
      <c r="C150" s="19" t="s">
        <v>258</v>
      </c>
      <c r="D150" s="43"/>
    </row>
    <row r="151" spans="1:4" ht="15" customHeight="1" x14ac:dyDescent="0.3">
      <c r="A151" s="43">
        <v>44757</v>
      </c>
      <c r="B151" s="43">
        <v>45121</v>
      </c>
      <c r="C151" s="19" t="s">
        <v>258</v>
      </c>
      <c r="D151" s="43"/>
    </row>
    <row r="152" spans="1:4" ht="15" customHeight="1" x14ac:dyDescent="0.3">
      <c r="A152" s="45">
        <v>44211</v>
      </c>
      <c r="B152" s="45">
        <v>44756</v>
      </c>
      <c r="C152" s="20" t="s">
        <v>276</v>
      </c>
      <c r="D152" s="45"/>
    </row>
    <row r="153" spans="1:4" ht="15" customHeight="1" x14ac:dyDescent="0.3">
      <c r="A153" s="43">
        <v>44211</v>
      </c>
      <c r="B153" s="43">
        <v>44210</v>
      </c>
      <c r="C153" s="19" t="s">
        <v>258</v>
      </c>
      <c r="D153" s="43"/>
    </row>
    <row r="154" spans="1:4" ht="15" customHeight="1" x14ac:dyDescent="0.3">
      <c r="A154" s="43">
        <v>43845</v>
      </c>
      <c r="B154" s="43">
        <v>44210</v>
      </c>
      <c r="C154" s="19" t="s">
        <v>258</v>
      </c>
      <c r="D154" s="43"/>
    </row>
    <row r="155" spans="1:4" ht="15" customHeight="1" x14ac:dyDescent="0.3">
      <c r="A155" s="45">
        <v>43661</v>
      </c>
      <c r="B155" s="45">
        <v>43844</v>
      </c>
      <c r="C155" s="20" t="s">
        <v>263</v>
      </c>
      <c r="D155" s="45"/>
    </row>
    <row r="156" spans="1:4" ht="15" customHeight="1" x14ac:dyDescent="0.3">
      <c r="A156" s="43">
        <v>43296</v>
      </c>
      <c r="B156" s="43">
        <v>43660</v>
      </c>
      <c r="C156" s="19" t="s">
        <v>258</v>
      </c>
      <c r="D156" s="43"/>
    </row>
    <row r="157" spans="1:4" ht="15" customHeight="1" x14ac:dyDescent="0.3">
      <c r="A157" s="45">
        <v>42566</v>
      </c>
      <c r="B157" s="45">
        <v>43295</v>
      </c>
      <c r="C157" s="20" t="s">
        <v>259</v>
      </c>
      <c r="D157" s="45"/>
    </row>
    <row r="158" spans="1:4" ht="15" customHeight="1" x14ac:dyDescent="0.3">
      <c r="A158" s="43">
        <v>42200</v>
      </c>
      <c r="B158" s="43">
        <v>42565</v>
      </c>
      <c r="C158" s="19" t="s">
        <v>258</v>
      </c>
      <c r="D158" s="43"/>
    </row>
    <row r="159" spans="1:4" ht="15" customHeight="1" x14ac:dyDescent="0.3">
      <c r="A159" s="43">
        <v>41835</v>
      </c>
      <c r="B159" s="43">
        <v>42199</v>
      </c>
      <c r="C159" s="19" t="s">
        <v>258</v>
      </c>
      <c r="D159" s="43"/>
    </row>
    <row r="160" spans="1:4" ht="15" customHeight="1" x14ac:dyDescent="0.3">
      <c r="A160" s="43">
        <v>41470</v>
      </c>
      <c r="B160" s="43">
        <v>41834</v>
      </c>
      <c r="C160" s="19" t="s">
        <v>258</v>
      </c>
      <c r="D160" s="43"/>
    </row>
    <row r="161" spans="1:4" ht="15" customHeight="1" x14ac:dyDescent="0.3">
      <c r="A161" s="44">
        <v>41105</v>
      </c>
      <c r="B161" s="44">
        <v>41469</v>
      </c>
      <c r="C161" s="21" t="s">
        <v>257</v>
      </c>
      <c r="D161" s="44"/>
    </row>
    <row r="162" spans="1:4" ht="18" customHeight="1" x14ac:dyDescent="0.3">
      <c r="A162" s="47" t="s">
        <v>308</v>
      </c>
      <c r="B162" s="183" t="s">
        <v>10</v>
      </c>
      <c r="C162" s="184"/>
      <c r="D162" s="49">
        <v>46340</v>
      </c>
    </row>
    <row r="163" spans="1:4" ht="15" customHeight="1" x14ac:dyDescent="0.3">
      <c r="A163" s="43"/>
      <c r="B163" s="43"/>
      <c r="C163" s="19"/>
      <c r="D163" s="43"/>
    </row>
    <row r="164" spans="1:4" ht="15" customHeight="1" x14ac:dyDescent="0.3">
      <c r="A164" s="43">
        <v>45976</v>
      </c>
      <c r="B164" s="43">
        <v>46340</v>
      </c>
      <c r="C164" s="19" t="s">
        <v>258</v>
      </c>
      <c r="D164" s="43"/>
    </row>
    <row r="165" spans="1:4" ht="15" customHeight="1" x14ac:dyDescent="0.3">
      <c r="A165" s="45">
        <v>45792</v>
      </c>
      <c r="B165" s="45">
        <v>45975</v>
      </c>
      <c r="C165" s="20" t="s">
        <v>512</v>
      </c>
      <c r="D165" s="45"/>
    </row>
    <row r="166" spans="1:4" ht="15" customHeight="1" x14ac:dyDescent="0.3">
      <c r="A166" s="45">
        <v>45611</v>
      </c>
      <c r="B166" s="45">
        <v>45791</v>
      </c>
      <c r="C166" s="20" t="s">
        <v>512</v>
      </c>
      <c r="D166" s="45"/>
    </row>
    <row r="167" spans="1:4" ht="15" customHeight="1" x14ac:dyDescent="0.3">
      <c r="A167" s="45">
        <v>45427</v>
      </c>
      <c r="B167" s="45">
        <v>45610</v>
      </c>
      <c r="C167" s="20" t="s">
        <v>512</v>
      </c>
      <c r="D167" s="45"/>
    </row>
    <row r="168" spans="1:4" ht="15" customHeight="1" x14ac:dyDescent="0.3">
      <c r="A168" s="43">
        <v>45061</v>
      </c>
      <c r="B168" s="43">
        <v>45426</v>
      </c>
      <c r="C168" s="19" t="s">
        <v>258</v>
      </c>
      <c r="D168" s="43"/>
    </row>
    <row r="169" spans="1:4" ht="15" customHeight="1" x14ac:dyDescent="0.3">
      <c r="A169" s="43">
        <v>44696</v>
      </c>
      <c r="B169" s="43">
        <v>45060</v>
      </c>
      <c r="C169" s="19" t="s">
        <v>258</v>
      </c>
      <c r="D169" s="43"/>
    </row>
    <row r="170" spans="1:4" ht="15" customHeight="1" x14ac:dyDescent="0.3">
      <c r="A170" s="43">
        <v>44331</v>
      </c>
      <c r="B170" s="43">
        <v>44695</v>
      </c>
      <c r="C170" s="19" t="s">
        <v>258</v>
      </c>
      <c r="D170" s="43"/>
    </row>
    <row r="171" spans="1:4" ht="15" customHeight="1" x14ac:dyDescent="0.3">
      <c r="A171" s="43">
        <v>43966</v>
      </c>
      <c r="B171" s="43">
        <v>44330</v>
      </c>
      <c r="C171" s="19" t="s">
        <v>258</v>
      </c>
      <c r="D171" s="43"/>
    </row>
    <row r="172" spans="1:4" ht="15" customHeight="1" x14ac:dyDescent="0.3">
      <c r="A172" s="45">
        <v>43235</v>
      </c>
      <c r="B172" s="45">
        <v>43965</v>
      </c>
      <c r="C172" s="20" t="s">
        <v>259</v>
      </c>
      <c r="D172" s="45"/>
    </row>
    <row r="173" spans="1:4" ht="15" customHeight="1" x14ac:dyDescent="0.3">
      <c r="A173" s="43">
        <v>42870</v>
      </c>
      <c r="B173" s="43">
        <v>43234</v>
      </c>
      <c r="C173" s="19" t="s">
        <v>258</v>
      </c>
      <c r="D173" s="43"/>
    </row>
    <row r="174" spans="1:4" ht="15" customHeight="1" x14ac:dyDescent="0.3">
      <c r="A174" s="43">
        <v>42505</v>
      </c>
      <c r="B174" s="43">
        <v>42869</v>
      </c>
      <c r="C174" s="19" t="s">
        <v>258</v>
      </c>
      <c r="D174" s="43"/>
    </row>
    <row r="175" spans="1:4" ht="15" customHeight="1" x14ac:dyDescent="0.3">
      <c r="A175" s="43">
        <v>42139</v>
      </c>
      <c r="B175" s="43">
        <v>42504</v>
      </c>
      <c r="C175" s="19" t="s">
        <v>258</v>
      </c>
      <c r="D175" s="43"/>
    </row>
    <row r="176" spans="1:4" ht="15" customHeight="1" x14ac:dyDescent="0.3">
      <c r="A176" s="43">
        <v>41774</v>
      </c>
      <c r="B176" s="43">
        <v>42138</v>
      </c>
      <c r="C176" s="19" t="s">
        <v>258</v>
      </c>
      <c r="D176" s="43"/>
    </row>
    <row r="177" spans="1:4" ht="15" customHeight="1" x14ac:dyDescent="0.3">
      <c r="A177" s="45">
        <v>41044</v>
      </c>
      <c r="B177" s="45">
        <v>41773</v>
      </c>
      <c r="C177" s="20" t="s">
        <v>259</v>
      </c>
      <c r="D177" s="45"/>
    </row>
    <row r="178" spans="1:4" ht="15" customHeight="1" x14ac:dyDescent="0.3">
      <c r="A178" s="43">
        <v>40678</v>
      </c>
      <c r="B178" s="43">
        <v>41043</v>
      </c>
      <c r="C178" s="19" t="s">
        <v>258</v>
      </c>
      <c r="D178" s="43"/>
    </row>
    <row r="179" spans="1:4" ht="15" customHeight="1" x14ac:dyDescent="0.3">
      <c r="A179" s="43">
        <v>40313</v>
      </c>
      <c r="B179" s="43">
        <v>40677</v>
      </c>
      <c r="C179" s="19" t="s">
        <v>258</v>
      </c>
      <c r="D179" s="43"/>
    </row>
    <row r="180" spans="1:4" ht="15" customHeight="1" x14ac:dyDescent="0.3">
      <c r="A180" s="43">
        <v>39948</v>
      </c>
      <c r="B180" s="43">
        <v>40312</v>
      </c>
      <c r="C180" s="19" t="s">
        <v>258</v>
      </c>
      <c r="D180" s="43"/>
    </row>
    <row r="181" spans="1:4" ht="15" customHeight="1" x14ac:dyDescent="0.3">
      <c r="A181" s="44">
        <v>39583</v>
      </c>
      <c r="B181" s="44">
        <v>39947</v>
      </c>
      <c r="C181" s="21" t="s">
        <v>257</v>
      </c>
      <c r="D181" s="44"/>
    </row>
    <row r="182" spans="1:4" ht="18" customHeight="1" x14ac:dyDescent="0.3">
      <c r="A182" s="47" t="s">
        <v>309</v>
      </c>
      <c r="B182" s="183" t="s">
        <v>11</v>
      </c>
      <c r="C182" s="184"/>
      <c r="D182" s="49">
        <v>46202</v>
      </c>
    </row>
    <row r="183" spans="1:4" ht="15" customHeight="1" x14ac:dyDescent="0.3">
      <c r="A183" s="43"/>
      <c r="B183" s="43"/>
      <c r="C183" s="19"/>
      <c r="D183" s="43"/>
    </row>
    <row r="184" spans="1:4" ht="15" customHeight="1" x14ac:dyDescent="0.3">
      <c r="A184" s="45">
        <v>46021</v>
      </c>
      <c r="B184" s="45">
        <v>46202</v>
      </c>
      <c r="C184" s="20" t="s">
        <v>263</v>
      </c>
      <c r="D184" s="45"/>
    </row>
    <row r="185" spans="1:4" ht="15" customHeight="1" x14ac:dyDescent="0.3">
      <c r="A185" s="43">
        <v>45656</v>
      </c>
      <c r="B185" s="43">
        <v>46020</v>
      </c>
      <c r="C185" s="19" t="s">
        <v>258</v>
      </c>
      <c r="D185" s="43"/>
    </row>
    <row r="186" spans="1:4" ht="15" customHeight="1" x14ac:dyDescent="0.3">
      <c r="A186" s="43">
        <v>45290</v>
      </c>
      <c r="B186" s="43">
        <v>45655</v>
      </c>
      <c r="C186" s="19" t="s">
        <v>258</v>
      </c>
      <c r="D186" s="43"/>
    </row>
    <row r="187" spans="1:4" ht="15" customHeight="1" x14ac:dyDescent="0.3">
      <c r="A187" s="43">
        <v>44925</v>
      </c>
      <c r="B187" s="43">
        <v>45289</v>
      </c>
      <c r="C187" s="19" t="s">
        <v>258</v>
      </c>
      <c r="D187" s="43"/>
    </row>
    <row r="188" spans="1:4" ht="15" customHeight="1" x14ac:dyDescent="0.3">
      <c r="A188" s="46">
        <v>44560</v>
      </c>
      <c r="B188" s="46">
        <v>44924</v>
      </c>
      <c r="C188" s="25" t="s">
        <v>258</v>
      </c>
      <c r="D188" s="46"/>
    </row>
    <row r="189" spans="1:4" ht="15" customHeight="1" x14ac:dyDescent="0.3">
      <c r="A189" s="45">
        <v>44012</v>
      </c>
      <c r="B189" s="45">
        <v>44194</v>
      </c>
      <c r="C189" s="20" t="s">
        <v>263</v>
      </c>
      <c r="D189" s="45"/>
    </row>
    <row r="190" spans="1:4" ht="15" customHeight="1" x14ac:dyDescent="0.3">
      <c r="A190" s="43">
        <v>43646</v>
      </c>
      <c r="B190" s="43">
        <v>44011</v>
      </c>
      <c r="C190" s="19" t="s">
        <v>258</v>
      </c>
      <c r="D190" s="43"/>
    </row>
    <row r="191" spans="1:4" ht="15" customHeight="1" x14ac:dyDescent="0.3">
      <c r="A191" s="43">
        <v>43281</v>
      </c>
      <c r="B191" s="43">
        <v>43645</v>
      </c>
      <c r="C191" s="19" t="s">
        <v>258</v>
      </c>
      <c r="D191" s="43"/>
    </row>
    <row r="192" spans="1:4" ht="15" customHeight="1" x14ac:dyDescent="0.3">
      <c r="A192" s="43">
        <v>42916</v>
      </c>
      <c r="B192" s="43">
        <v>43280</v>
      </c>
      <c r="C192" s="19" t="s">
        <v>258</v>
      </c>
      <c r="D192" s="43"/>
    </row>
    <row r="193" spans="1:4" ht="15" customHeight="1" x14ac:dyDescent="0.3">
      <c r="A193" s="43">
        <v>42551</v>
      </c>
      <c r="B193" s="43">
        <v>42915</v>
      </c>
      <c r="C193" s="19" t="s">
        <v>258</v>
      </c>
      <c r="D193" s="43"/>
    </row>
    <row r="194" spans="1:4" ht="15" customHeight="1" x14ac:dyDescent="0.3">
      <c r="A194" s="45">
        <v>41820</v>
      </c>
      <c r="B194" s="45">
        <v>42550</v>
      </c>
      <c r="C194" s="20" t="s">
        <v>259</v>
      </c>
      <c r="D194" s="45"/>
    </row>
    <row r="195" spans="1:4" ht="15" customHeight="1" x14ac:dyDescent="0.3">
      <c r="A195" s="43">
        <v>41455</v>
      </c>
      <c r="B195" s="43">
        <v>41819</v>
      </c>
      <c r="C195" s="19" t="s">
        <v>258</v>
      </c>
      <c r="D195" s="43"/>
    </row>
    <row r="196" spans="1:4" ht="15" customHeight="1" x14ac:dyDescent="0.3">
      <c r="A196" s="43">
        <v>41090</v>
      </c>
      <c r="B196" s="43">
        <v>41454</v>
      </c>
      <c r="C196" s="19" t="s">
        <v>258</v>
      </c>
      <c r="D196" s="43"/>
    </row>
    <row r="197" spans="1:4" ht="15" customHeight="1" x14ac:dyDescent="0.3">
      <c r="A197" s="44">
        <v>40724</v>
      </c>
      <c r="B197" s="44">
        <v>41089</v>
      </c>
      <c r="C197" s="21" t="s">
        <v>257</v>
      </c>
      <c r="D197" s="44"/>
    </row>
    <row r="198" spans="1:4" ht="15" customHeight="1" x14ac:dyDescent="0.3">
      <c r="A198" s="47" t="s">
        <v>310</v>
      </c>
      <c r="B198" s="183" t="s">
        <v>12</v>
      </c>
      <c r="C198" s="184"/>
      <c r="D198" s="49">
        <v>46345</v>
      </c>
    </row>
    <row r="199" spans="1:4" ht="15" customHeight="1" x14ac:dyDescent="0.3">
      <c r="A199" s="43"/>
      <c r="B199" s="43"/>
      <c r="C199" s="19"/>
      <c r="D199" s="43"/>
    </row>
    <row r="200" spans="1:4" ht="15" customHeight="1" x14ac:dyDescent="0.3">
      <c r="A200" s="43">
        <v>45981</v>
      </c>
      <c r="B200" s="43">
        <v>46345</v>
      </c>
      <c r="C200" s="19" t="s">
        <v>258</v>
      </c>
      <c r="D200" s="43"/>
    </row>
    <row r="201" spans="1:4" ht="15" customHeight="1" x14ac:dyDescent="0.3">
      <c r="A201" s="45">
        <v>45797</v>
      </c>
      <c r="B201" s="45">
        <v>45980</v>
      </c>
      <c r="C201" s="20" t="s">
        <v>263</v>
      </c>
      <c r="D201" s="45"/>
    </row>
    <row r="202" spans="1:4" ht="15" customHeight="1" x14ac:dyDescent="0.3">
      <c r="A202" s="43">
        <v>45432</v>
      </c>
      <c r="B202" s="43">
        <v>45796</v>
      </c>
      <c r="C202" s="19" t="s">
        <v>258</v>
      </c>
      <c r="D202" s="43"/>
    </row>
    <row r="203" spans="1:4" ht="15" customHeight="1" x14ac:dyDescent="0.3">
      <c r="A203" s="43">
        <v>45066</v>
      </c>
      <c r="B203" s="43">
        <v>45431</v>
      </c>
      <c r="C203" s="19" t="s">
        <v>258</v>
      </c>
      <c r="D203" s="43"/>
    </row>
    <row r="204" spans="1:4" ht="15" customHeight="1" x14ac:dyDescent="0.3">
      <c r="A204" s="43">
        <v>44701</v>
      </c>
      <c r="B204" s="43">
        <v>45065</v>
      </c>
      <c r="C204" s="19" t="s">
        <v>258</v>
      </c>
      <c r="D204" s="43"/>
    </row>
    <row r="205" spans="1:4" ht="15" customHeight="1" x14ac:dyDescent="0.3">
      <c r="A205" s="45">
        <v>44520</v>
      </c>
      <c r="B205" s="45">
        <v>44700</v>
      </c>
      <c r="C205" s="20" t="s">
        <v>263</v>
      </c>
      <c r="D205" s="45"/>
    </row>
    <row r="206" spans="1:4" ht="15" customHeight="1" x14ac:dyDescent="0.3">
      <c r="A206" s="43">
        <v>44155</v>
      </c>
      <c r="B206" s="43">
        <v>44519</v>
      </c>
      <c r="C206" s="19" t="s">
        <v>258</v>
      </c>
      <c r="D206" s="43"/>
    </row>
    <row r="207" spans="1:4" ht="15" customHeight="1" x14ac:dyDescent="0.3">
      <c r="A207" s="43">
        <v>43789</v>
      </c>
      <c r="B207" s="43">
        <v>44154</v>
      </c>
      <c r="C207" s="19" t="s">
        <v>258</v>
      </c>
      <c r="D207" s="43"/>
    </row>
    <row r="208" spans="1:4" ht="15" customHeight="1" x14ac:dyDescent="0.3">
      <c r="A208" s="43">
        <v>43424</v>
      </c>
      <c r="B208" s="43">
        <v>43788</v>
      </c>
      <c r="C208" s="19" t="s">
        <v>258</v>
      </c>
      <c r="D208" s="43"/>
    </row>
    <row r="209" spans="1:4" ht="15" customHeight="1" x14ac:dyDescent="0.3">
      <c r="A209" s="44">
        <v>43240</v>
      </c>
      <c r="B209" s="44">
        <v>43423</v>
      </c>
      <c r="C209" s="21" t="s">
        <v>257</v>
      </c>
      <c r="D209" s="44" t="s">
        <v>264</v>
      </c>
    </row>
    <row r="210" spans="1:4" ht="15" customHeight="1" x14ac:dyDescent="0.3">
      <c r="A210" s="47" t="s">
        <v>312</v>
      </c>
      <c r="B210" s="183" t="s">
        <v>14</v>
      </c>
      <c r="C210" s="184"/>
      <c r="D210" s="49">
        <v>46222</v>
      </c>
    </row>
    <row r="211" spans="1:4" ht="15" customHeight="1" x14ac:dyDescent="0.3">
      <c r="A211" s="43"/>
      <c r="B211" s="43"/>
      <c r="C211" s="19"/>
      <c r="D211" s="43"/>
    </row>
    <row r="212" spans="1:4" ht="15" customHeight="1" x14ac:dyDescent="0.3">
      <c r="A212" s="43">
        <v>45858</v>
      </c>
      <c r="B212" s="43">
        <v>46222</v>
      </c>
      <c r="C212" s="19" t="s">
        <v>258</v>
      </c>
      <c r="D212" s="43"/>
    </row>
    <row r="213" spans="1:4" ht="15" customHeight="1" x14ac:dyDescent="0.3">
      <c r="A213" s="45">
        <v>45677</v>
      </c>
      <c r="B213" s="45">
        <v>45857</v>
      </c>
      <c r="C213" s="20" t="s">
        <v>263</v>
      </c>
      <c r="D213" s="45"/>
    </row>
    <row r="214" spans="1:4" ht="15" customHeight="1" x14ac:dyDescent="0.3">
      <c r="A214" s="43">
        <v>45311</v>
      </c>
      <c r="B214" s="43">
        <v>45676</v>
      </c>
      <c r="C214" s="19" t="s">
        <v>258</v>
      </c>
      <c r="D214" s="43"/>
    </row>
    <row r="215" spans="1:4" ht="15" customHeight="1" x14ac:dyDescent="0.3">
      <c r="A215" s="43">
        <v>44946</v>
      </c>
      <c r="B215" s="43">
        <v>45310</v>
      </c>
      <c r="C215" s="19" t="s">
        <v>258</v>
      </c>
      <c r="D215" s="43"/>
    </row>
    <row r="216" spans="1:4" ht="15" customHeight="1" x14ac:dyDescent="0.3">
      <c r="A216" s="43">
        <v>44581</v>
      </c>
      <c r="B216" s="43">
        <v>44945</v>
      </c>
      <c r="C216" s="19" t="s">
        <v>258</v>
      </c>
      <c r="D216" s="43"/>
    </row>
    <row r="217" spans="1:4" ht="15" customHeight="1" x14ac:dyDescent="0.3">
      <c r="A217" s="43">
        <v>44216</v>
      </c>
      <c r="B217" s="43">
        <v>44580</v>
      </c>
      <c r="C217" s="19" t="s">
        <v>258</v>
      </c>
      <c r="D217" s="43"/>
    </row>
    <row r="218" spans="1:4" ht="15" customHeight="1" x14ac:dyDescent="0.3">
      <c r="A218" s="44">
        <v>43850</v>
      </c>
      <c r="B218" s="44">
        <v>44215</v>
      </c>
      <c r="C218" s="21" t="s">
        <v>257</v>
      </c>
      <c r="D218" s="44"/>
    </row>
    <row r="219" spans="1:4" ht="14.4" customHeight="1" x14ac:dyDescent="0.3">
      <c r="A219" s="47" t="s">
        <v>313</v>
      </c>
      <c r="B219" s="183" t="s">
        <v>15</v>
      </c>
      <c r="C219" s="184"/>
      <c r="D219" s="49">
        <v>46084</v>
      </c>
    </row>
    <row r="220" spans="1:4" ht="14.4" customHeight="1" x14ac:dyDescent="0.3">
      <c r="A220" s="43"/>
      <c r="B220" s="43"/>
      <c r="C220" s="19"/>
      <c r="D220" s="43"/>
    </row>
    <row r="221" spans="1:4" x14ac:dyDescent="0.3">
      <c r="A221" s="43">
        <v>45720</v>
      </c>
      <c r="B221" s="43">
        <v>46084</v>
      </c>
      <c r="C221" s="19" t="s">
        <v>258</v>
      </c>
      <c r="D221" s="43"/>
    </row>
    <row r="222" spans="1:4" x14ac:dyDescent="0.3">
      <c r="A222" s="43">
        <v>45355</v>
      </c>
      <c r="B222" s="43">
        <v>45719</v>
      </c>
      <c r="C222" s="19" t="s">
        <v>258</v>
      </c>
      <c r="D222" s="43"/>
    </row>
    <row r="223" spans="1:4" x14ac:dyDescent="0.3">
      <c r="A223" s="44">
        <v>45173</v>
      </c>
      <c r="B223" s="44">
        <v>45354</v>
      </c>
      <c r="C223" s="21" t="s">
        <v>257</v>
      </c>
      <c r="D223" s="44" t="s">
        <v>264</v>
      </c>
    </row>
    <row r="224" spans="1:4" x14ac:dyDescent="0.3">
      <c r="A224" s="47" t="s">
        <v>314</v>
      </c>
      <c r="B224" s="183" t="s">
        <v>164</v>
      </c>
      <c r="C224" s="184"/>
      <c r="D224" s="49">
        <v>46006</v>
      </c>
    </row>
    <row r="225" spans="1:4" x14ac:dyDescent="0.3">
      <c r="A225" s="43"/>
      <c r="B225" s="43"/>
      <c r="C225" s="19"/>
      <c r="D225" s="43"/>
    </row>
    <row r="226" spans="1:4" x14ac:dyDescent="0.3">
      <c r="A226" s="43"/>
      <c r="B226" s="43"/>
      <c r="C226" s="19"/>
      <c r="D226" s="43"/>
    </row>
    <row r="227" spans="1:4" x14ac:dyDescent="0.3">
      <c r="A227" s="43">
        <v>45641</v>
      </c>
      <c r="B227" s="43">
        <v>46005</v>
      </c>
      <c r="C227" s="19" t="s">
        <v>258</v>
      </c>
      <c r="D227" s="43"/>
    </row>
    <row r="228" spans="1:4" x14ac:dyDescent="0.3">
      <c r="A228" s="43">
        <v>45275</v>
      </c>
      <c r="B228" s="43">
        <v>45640</v>
      </c>
      <c r="C228" s="19" t="s">
        <v>258</v>
      </c>
      <c r="D228" s="43"/>
    </row>
    <row r="229" spans="1:4" x14ac:dyDescent="0.3">
      <c r="A229" s="44">
        <v>44910</v>
      </c>
      <c r="B229" s="44">
        <v>45274</v>
      </c>
      <c r="C229" s="21" t="s">
        <v>257</v>
      </c>
      <c r="D229" s="44"/>
    </row>
    <row r="230" spans="1:4" ht="15" customHeight="1" x14ac:dyDescent="0.3">
      <c r="A230" s="55" t="s">
        <v>286</v>
      </c>
      <c r="B230" s="183" t="s">
        <v>24</v>
      </c>
      <c r="C230" s="184"/>
      <c r="D230" s="49">
        <v>46203</v>
      </c>
    </row>
    <row r="231" spans="1:4" ht="15" customHeight="1" x14ac:dyDescent="0.3">
      <c r="A231" s="43"/>
      <c r="B231" s="43"/>
      <c r="C231" s="19"/>
      <c r="D231" s="43"/>
    </row>
    <row r="232" spans="1:4" ht="15" customHeight="1" x14ac:dyDescent="0.3">
      <c r="A232" s="43">
        <v>45839</v>
      </c>
      <c r="B232" s="43">
        <v>46203</v>
      </c>
      <c r="C232" s="19" t="s">
        <v>258</v>
      </c>
      <c r="D232" s="43"/>
    </row>
    <row r="233" spans="1:4" ht="15" customHeight="1" x14ac:dyDescent="0.3">
      <c r="A233" s="45">
        <v>45658</v>
      </c>
      <c r="B233" s="45">
        <v>45838</v>
      </c>
      <c r="C233" s="20" t="s">
        <v>263</v>
      </c>
      <c r="D233" s="45"/>
    </row>
    <row r="234" spans="1:4" ht="15" customHeight="1" x14ac:dyDescent="0.3">
      <c r="A234" s="43">
        <v>45292</v>
      </c>
      <c r="B234" s="43">
        <v>45656</v>
      </c>
      <c r="C234" s="19" t="s">
        <v>258</v>
      </c>
      <c r="D234" s="43"/>
    </row>
    <row r="235" spans="1:4" ht="15" customHeight="1" x14ac:dyDescent="0.3">
      <c r="A235" s="43">
        <v>44927</v>
      </c>
      <c r="B235" s="43">
        <v>45290</v>
      </c>
      <c r="C235" s="19" t="s">
        <v>258</v>
      </c>
      <c r="D235" s="43"/>
    </row>
    <row r="236" spans="1:4" ht="15" customHeight="1" x14ac:dyDescent="0.3">
      <c r="A236" s="43">
        <v>44562</v>
      </c>
      <c r="B236" s="43">
        <v>44925</v>
      </c>
      <c r="C236" s="19" t="s">
        <v>258</v>
      </c>
      <c r="D236" s="43"/>
    </row>
    <row r="237" spans="1:4" ht="15" customHeight="1" x14ac:dyDescent="0.3">
      <c r="A237" s="44">
        <v>44197</v>
      </c>
      <c r="B237" s="44">
        <v>44560</v>
      </c>
      <c r="C237" s="21" t="s">
        <v>257</v>
      </c>
      <c r="D237" s="44"/>
    </row>
    <row r="238" spans="1:4" hidden="1" x14ac:dyDescent="0.3">
      <c r="A238" s="55" t="s">
        <v>471</v>
      </c>
      <c r="B238" s="183" t="s">
        <v>472</v>
      </c>
      <c r="C238" s="184"/>
      <c r="D238" s="49">
        <v>45460</v>
      </c>
    </row>
    <row r="239" spans="1:4" hidden="1" x14ac:dyDescent="0.3">
      <c r="A239" s="194" t="s">
        <v>385</v>
      </c>
      <c r="B239" s="195"/>
      <c r="C239" s="195"/>
      <c r="D239" s="196"/>
    </row>
    <row r="240" spans="1:4" hidden="1" x14ac:dyDescent="0.3">
      <c r="A240" s="44">
        <v>45309</v>
      </c>
      <c r="B240" s="44">
        <v>45460</v>
      </c>
      <c r="C240" s="21" t="s">
        <v>257</v>
      </c>
      <c r="D240" s="44" t="s">
        <v>264</v>
      </c>
    </row>
    <row r="241" spans="1:4" hidden="1" x14ac:dyDescent="0.3">
      <c r="A241" s="55" t="s">
        <v>504</v>
      </c>
      <c r="B241" s="183" t="s">
        <v>509</v>
      </c>
      <c r="C241" s="184"/>
      <c r="D241" s="49">
        <v>45579</v>
      </c>
    </row>
    <row r="242" spans="1:4" hidden="1" x14ac:dyDescent="0.3">
      <c r="A242" s="194" t="s">
        <v>385</v>
      </c>
      <c r="B242" s="195"/>
      <c r="C242" s="195"/>
      <c r="D242" s="196"/>
    </row>
    <row r="243" spans="1:4" hidden="1" x14ac:dyDescent="0.3">
      <c r="A243" s="44">
        <v>45397</v>
      </c>
      <c r="B243" s="44">
        <v>45579</v>
      </c>
      <c r="C243" s="21" t="s">
        <v>257</v>
      </c>
      <c r="D243" s="44" t="s">
        <v>264</v>
      </c>
    </row>
    <row r="244" spans="1:4" x14ac:dyDescent="0.3">
      <c r="A244" s="55" t="s">
        <v>513</v>
      </c>
      <c r="B244" s="183" t="s">
        <v>523</v>
      </c>
      <c r="C244" s="184"/>
      <c r="D244" s="49">
        <v>46167</v>
      </c>
    </row>
    <row r="245" spans="1:4" x14ac:dyDescent="0.3">
      <c r="A245" s="43"/>
      <c r="B245" s="43"/>
      <c r="C245" s="19"/>
      <c r="D245" s="43"/>
    </row>
    <row r="246" spans="1:4" x14ac:dyDescent="0.3">
      <c r="A246" s="43">
        <v>45803</v>
      </c>
      <c r="B246" s="43">
        <v>46167</v>
      </c>
      <c r="C246" s="19" t="s">
        <v>258</v>
      </c>
      <c r="D246" s="43"/>
    </row>
    <row r="247" spans="1:4" x14ac:dyDescent="0.3">
      <c r="A247" s="45">
        <v>45622</v>
      </c>
      <c r="B247" s="45">
        <v>45802</v>
      </c>
      <c r="C247" s="20" t="s">
        <v>263</v>
      </c>
      <c r="D247" s="45"/>
    </row>
    <row r="248" spans="1:4" x14ac:dyDescent="0.3">
      <c r="A248" s="44">
        <v>45438</v>
      </c>
      <c r="B248" s="44">
        <v>45621</v>
      </c>
      <c r="C248" s="21" t="s">
        <v>257</v>
      </c>
      <c r="D248" s="44" t="s">
        <v>264</v>
      </c>
    </row>
    <row r="249" spans="1:4" x14ac:dyDescent="0.3">
      <c r="A249" s="55" t="s">
        <v>526</v>
      </c>
      <c r="B249" s="183" t="s">
        <v>528</v>
      </c>
      <c r="C249" s="184"/>
      <c r="D249" s="49">
        <v>46234</v>
      </c>
    </row>
    <row r="250" spans="1:4" x14ac:dyDescent="0.3">
      <c r="A250" s="43"/>
      <c r="B250" s="43"/>
      <c r="C250" s="19"/>
      <c r="D250" s="43"/>
    </row>
    <row r="251" spans="1:4" x14ac:dyDescent="0.3">
      <c r="A251" s="43">
        <v>45870</v>
      </c>
      <c r="B251" s="43">
        <v>46234</v>
      </c>
      <c r="C251" s="19" t="s">
        <v>258</v>
      </c>
      <c r="D251" s="43"/>
    </row>
    <row r="252" spans="1:4" x14ac:dyDescent="0.3">
      <c r="A252" s="45">
        <v>45689</v>
      </c>
      <c r="B252" s="45">
        <v>45869</v>
      </c>
      <c r="C252" s="20" t="s">
        <v>263</v>
      </c>
      <c r="D252" s="45"/>
    </row>
    <row r="253" spans="1:4" x14ac:dyDescent="0.3">
      <c r="A253" s="44">
        <v>45505</v>
      </c>
      <c r="B253" s="44">
        <v>45688</v>
      </c>
      <c r="C253" s="21" t="s">
        <v>257</v>
      </c>
      <c r="D253" s="44" t="s">
        <v>264</v>
      </c>
    </row>
    <row r="254" spans="1:4" x14ac:dyDescent="0.3">
      <c r="A254" s="55" t="s">
        <v>607</v>
      </c>
      <c r="B254" s="183" t="s">
        <v>608</v>
      </c>
      <c r="C254" s="184"/>
      <c r="D254" s="49">
        <v>46194</v>
      </c>
    </row>
    <row r="255" spans="1:4" x14ac:dyDescent="0.3">
      <c r="A255" s="43"/>
      <c r="B255" s="43"/>
      <c r="C255" s="19"/>
      <c r="D255" s="43"/>
    </row>
    <row r="256" spans="1:4" x14ac:dyDescent="0.3">
      <c r="A256" s="44">
        <v>46012</v>
      </c>
      <c r="B256" s="44">
        <v>46193</v>
      </c>
      <c r="C256" s="21" t="s">
        <v>257</v>
      </c>
      <c r="D256" s="44" t="s">
        <v>264</v>
      </c>
    </row>
  </sheetData>
  <mergeCells count="31">
    <mergeCell ref="B254:C254"/>
    <mergeCell ref="B146:C146"/>
    <mergeCell ref="B162:C162"/>
    <mergeCell ref="B182:C182"/>
    <mergeCell ref="B132:C132"/>
    <mergeCell ref="B244:C244"/>
    <mergeCell ref="B210:C210"/>
    <mergeCell ref="B224:C224"/>
    <mergeCell ref="B219:C219"/>
    <mergeCell ref="B198:C198"/>
    <mergeCell ref="B241:C241"/>
    <mergeCell ref="B238:C238"/>
    <mergeCell ref="B230:C230"/>
    <mergeCell ref="A239:D239"/>
    <mergeCell ref="A242:D242"/>
    <mergeCell ref="B249:C249"/>
    <mergeCell ref="D1:D2"/>
    <mergeCell ref="A1:B1"/>
    <mergeCell ref="C1:C2"/>
    <mergeCell ref="B116:C116"/>
    <mergeCell ref="B33:C33"/>
    <mergeCell ref="B64:C64"/>
    <mergeCell ref="B52:C52"/>
    <mergeCell ref="B3:C3"/>
    <mergeCell ref="B45:C45"/>
    <mergeCell ref="B82:C82"/>
    <mergeCell ref="B18:C18"/>
    <mergeCell ref="B96:C96"/>
    <mergeCell ref="A46:D46"/>
    <mergeCell ref="B74:C74"/>
    <mergeCell ref="B109:C109"/>
  </mergeCells>
  <conditionalFormatting sqref="D3">
    <cfRule type="timePeriod" dxfId="24" priority="34" timePeriod="nextWeek">
      <formula>AND(ROUNDDOWN(D3,0)-TODAY()&gt;(7-WEEKDAY(TODAY())),ROUNDDOWN(D3,0)-TODAY()&lt;(15-WEEKDAY(TODAY())))</formula>
    </cfRule>
  </conditionalFormatting>
  <conditionalFormatting sqref="D18">
    <cfRule type="timePeriod" dxfId="23" priority="31" timePeriod="nextWeek">
      <formula>AND(ROUNDDOWN(D18,0)-TODAY()&gt;(7-WEEKDAY(TODAY())),ROUNDDOWN(D18,0)-TODAY()&lt;(15-WEEKDAY(TODAY())))</formula>
    </cfRule>
  </conditionalFormatting>
  <conditionalFormatting sqref="D33">
    <cfRule type="timePeriod" dxfId="22" priority="23" timePeriod="nextWeek">
      <formula>AND(ROUNDDOWN(D33,0)-TODAY()&gt;(7-WEEKDAY(TODAY())),ROUNDDOWN(D33,0)-TODAY()&lt;(15-WEEKDAY(TODAY())))</formula>
    </cfRule>
  </conditionalFormatting>
  <conditionalFormatting sqref="D45">
    <cfRule type="timePeriod" dxfId="21" priority="14" timePeriod="nextWeek">
      <formula>AND(ROUNDDOWN(D45,0)-TODAY()&gt;(7-WEEKDAY(TODAY())),ROUNDDOWN(D45,0)-TODAY()&lt;(15-WEEKDAY(TODAY())))</formula>
    </cfRule>
  </conditionalFormatting>
  <conditionalFormatting sqref="D52">
    <cfRule type="timePeriod" dxfId="20" priority="21" timePeriod="nextWeek">
      <formula>AND(ROUNDDOWN(D52,0)-TODAY()&gt;(7-WEEKDAY(TODAY())),ROUNDDOWN(D52,0)-TODAY()&lt;(15-WEEKDAY(TODAY())))</formula>
    </cfRule>
  </conditionalFormatting>
  <conditionalFormatting sqref="D64">
    <cfRule type="timePeriod" dxfId="19" priority="22" timePeriod="nextWeek">
      <formula>AND(ROUNDDOWN(D64,0)-TODAY()&gt;(7-WEEKDAY(TODAY())),ROUNDDOWN(D64,0)-TODAY()&lt;(15-WEEKDAY(TODAY())))</formula>
    </cfRule>
  </conditionalFormatting>
  <conditionalFormatting sqref="D74">
    <cfRule type="timePeriod" dxfId="18" priority="29" timePeriod="nextWeek">
      <formula>AND(ROUNDDOWN(D74,0)-TODAY()&gt;(7-WEEKDAY(TODAY())),ROUNDDOWN(D74,0)-TODAY()&lt;(15-WEEKDAY(TODAY())))</formula>
    </cfRule>
  </conditionalFormatting>
  <conditionalFormatting sqref="D82">
    <cfRule type="timePeriod" dxfId="17" priority="32" timePeriod="nextWeek">
      <formula>AND(ROUNDDOWN(D82,0)-TODAY()&gt;(7-WEEKDAY(TODAY())),ROUNDDOWN(D82,0)-TODAY()&lt;(15-WEEKDAY(TODAY())))</formula>
    </cfRule>
  </conditionalFormatting>
  <conditionalFormatting sqref="D96">
    <cfRule type="timePeriod" dxfId="16" priority="30" timePeriod="nextWeek">
      <formula>AND(ROUNDDOWN(D96,0)-TODAY()&gt;(7-WEEKDAY(TODAY())),ROUNDDOWN(D96,0)-TODAY()&lt;(15-WEEKDAY(TODAY())))</formula>
    </cfRule>
  </conditionalFormatting>
  <conditionalFormatting sqref="D109">
    <cfRule type="timePeriod" dxfId="15" priority="15" timePeriod="nextWeek">
      <formula>AND(ROUNDDOWN(D109,0)-TODAY()&gt;(7-WEEKDAY(TODAY())),ROUNDDOWN(D109,0)-TODAY()&lt;(15-WEEKDAY(TODAY())))</formula>
    </cfRule>
  </conditionalFormatting>
  <conditionalFormatting sqref="D116">
    <cfRule type="timePeriod" dxfId="14" priority="24" timePeriod="nextWeek">
      <formula>AND(ROUNDDOWN(D116,0)-TODAY()&gt;(7-WEEKDAY(TODAY())),ROUNDDOWN(D116,0)-TODAY()&lt;(15-WEEKDAY(TODAY())))</formula>
    </cfRule>
  </conditionalFormatting>
  <conditionalFormatting sqref="D132">
    <cfRule type="timePeriod" dxfId="13" priority="25" timePeriod="nextWeek">
      <formula>AND(ROUNDDOWN(D132,0)-TODAY()&gt;(7-WEEKDAY(TODAY())),ROUNDDOWN(D132,0)-TODAY()&lt;(15-WEEKDAY(TODAY())))</formula>
    </cfRule>
  </conditionalFormatting>
  <conditionalFormatting sqref="D146">
    <cfRule type="timePeriod" dxfId="12" priority="28" timePeriod="nextWeek">
      <formula>AND(ROUNDDOWN(D146,0)-TODAY()&gt;(7-WEEKDAY(TODAY())),ROUNDDOWN(D146,0)-TODAY()&lt;(15-WEEKDAY(TODAY())))</formula>
    </cfRule>
  </conditionalFormatting>
  <conditionalFormatting sqref="D162">
    <cfRule type="timePeriod" dxfId="11" priority="27" timePeriod="nextWeek">
      <formula>AND(ROUNDDOWN(D162,0)-TODAY()&gt;(7-WEEKDAY(TODAY())),ROUNDDOWN(D162,0)-TODAY()&lt;(15-WEEKDAY(TODAY())))</formula>
    </cfRule>
  </conditionalFormatting>
  <conditionalFormatting sqref="D182">
    <cfRule type="timePeriod" dxfId="10" priority="3" timePeriod="nextWeek">
      <formula>AND(ROUNDDOWN(D182,0)-TODAY()&gt;(7-WEEKDAY(TODAY())),ROUNDDOWN(D182,0)-TODAY()&lt;(15-WEEKDAY(TODAY())))</formula>
    </cfRule>
  </conditionalFormatting>
  <conditionalFormatting sqref="D198">
    <cfRule type="timePeriod" dxfId="9" priority="20" timePeriod="nextWeek">
      <formula>AND(ROUNDDOWN(D198,0)-TODAY()&gt;(7-WEEKDAY(TODAY())),ROUNDDOWN(D198,0)-TODAY()&lt;(15-WEEKDAY(TODAY())))</formula>
    </cfRule>
  </conditionalFormatting>
  <conditionalFormatting sqref="D210">
    <cfRule type="timePeriod" dxfId="8" priority="18" timePeriod="nextWeek">
      <formula>AND(ROUNDDOWN(D210,0)-TODAY()&gt;(7-WEEKDAY(TODAY())),ROUNDDOWN(D210,0)-TODAY()&lt;(15-WEEKDAY(TODAY())))</formula>
    </cfRule>
  </conditionalFormatting>
  <conditionalFormatting sqref="D219">
    <cfRule type="timePeriod" dxfId="7" priority="16" timePeriod="nextWeek">
      <formula>AND(ROUNDDOWN(D219,0)-TODAY()&gt;(7-WEEKDAY(TODAY())),ROUNDDOWN(D219,0)-TODAY()&lt;(15-WEEKDAY(TODAY())))</formula>
    </cfRule>
  </conditionalFormatting>
  <conditionalFormatting sqref="D224">
    <cfRule type="timePeriod" dxfId="6" priority="11" timePeriod="nextWeek">
      <formula>AND(ROUNDDOWN(D224,0)-TODAY()&gt;(7-WEEKDAY(TODAY())),ROUNDDOWN(D224,0)-TODAY()&lt;(15-WEEKDAY(TODAY())))</formula>
    </cfRule>
  </conditionalFormatting>
  <conditionalFormatting sqref="D230">
    <cfRule type="timePeriod" dxfId="5" priority="2" timePeriod="nextWeek">
      <formula>AND(ROUNDDOWN(D230,0)-TODAY()&gt;(7-WEEKDAY(TODAY())),ROUNDDOWN(D230,0)-TODAY()&lt;(15-WEEKDAY(TODAY())))</formula>
    </cfRule>
  </conditionalFormatting>
  <conditionalFormatting sqref="D238">
    <cfRule type="timePeriod" dxfId="4" priority="9" timePeriod="nextWeek">
      <formula>AND(ROUNDDOWN(D238,0)-TODAY()&gt;(7-WEEKDAY(TODAY())),ROUNDDOWN(D238,0)-TODAY()&lt;(15-WEEKDAY(TODAY())))</formula>
    </cfRule>
  </conditionalFormatting>
  <conditionalFormatting sqref="D241">
    <cfRule type="timePeriod" dxfId="3" priority="8" timePeriod="nextWeek">
      <formula>AND(ROUNDDOWN(D241,0)-TODAY()&gt;(7-WEEKDAY(TODAY())),ROUNDDOWN(D241,0)-TODAY()&lt;(15-WEEKDAY(TODAY())))</formula>
    </cfRule>
  </conditionalFormatting>
  <conditionalFormatting sqref="D244">
    <cfRule type="timePeriod" dxfId="2" priority="7" timePeriod="nextWeek">
      <formula>AND(ROUNDDOWN(D244,0)-TODAY()&gt;(7-WEEKDAY(TODAY())),ROUNDDOWN(D244,0)-TODAY()&lt;(15-WEEKDAY(TODAY())))</formula>
    </cfRule>
  </conditionalFormatting>
  <conditionalFormatting sqref="D249">
    <cfRule type="timePeriod" dxfId="1" priority="6" timePeriod="nextWeek">
      <formula>AND(ROUNDDOWN(D249,0)-TODAY()&gt;(7-WEEKDAY(TODAY())),ROUNDDOWN(D249,0)-TODAY()&lt;(15-WEEKDAY(TODAY())))</formula>
    </cfRule>
  </conditionalFormatting>
  <conditionalFormatting sqref="D254">
    <cfRule type="timePeriod" dxfId="0" priority="1" timePeriod="nextWeek">
      <formula>AND(ROUNDDOWN(D254,0)-TODAY()&gt;(7-WEEKDAY(TODAY())),ROUNDDOWN(D254,0)-TODAY()&lt;(15-WEEKDAY(TODAY())))</formula>
    </cfRule>
  </conditionalFormatting>
  <pageMargins left="0.7" right="0.7" top="0.75" bottom="0.75" header="0.3" footer="0.3"/>
  <pageSetup paperSize="9" scale="8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50"/>
  <sheetViews>
    <sheetView zoomScale="85" zoomScaleNormal="85" workbookViewId="0">
      <pane ySplit="1" topLeftCell="A26" activePane="bottomLeft" state="frozen"/>
      <selection pane="bottomLeft" activeCell="B49" sqref="B49"/>
    </sheetView>
  </sheetViews>
  <sheetFormatPr defaultRowHeight="14.4" x14ac:dyDescent="0.3"/>
  <cols>
    <col min="1" max="1" width="9" style="118" customWidth="1"/>
    <col min="2" max="2" width="56" style="18" customWidth="1"/>
    <col min="3" max="9" width="12.33203125" style="18" customWidth="1"/>
    <col min="10" max="11" width="11.77734375" style="18" customWidth="1"/>
    <col min="12" max="12" width="12.77734375" style="18" customWidth="1"/>
    <col min="13" max="13" width="17.6640625" style="18" customWidth="1"/>
    <col min="14" max="14" width="12.33203125" style="18" customWidth="1"/>
    <col min="15" max="15" width="16.77734375" style="48" customWidth="1"/>
    <col min="16" max="16" width="10.77734375" style="18" bestFit="1" customWidth="1"/>
    <col min="17" max="16384" width="8.88671875" style="18"/>
  </cols>
  <sheetData>
    <row r="1" spans="1:16" ht="57.6" x14ac:dyDescent="0.3">
      <c r="A1" s="108" t="s">
        <v>619</v>
      </c>
      <c r="B1" s="108" t="s">
        <v>34</v>
      </c>
      <c r="C1" s="108" t="s">
        <v>261</v>
      </c>
      <c r="D1" s="108" t="s">
        <v>315</v>
      </c>
      <c r="E1" s="108" t="s">
        <v>316</v>
      </c>
      <c r="F1" s="108" t="s">
        <v>328</v>
      </c>
      <c r="G1" s="108" t="s">
        <v>262</v>
      </c>
      <c r="H1" s="108" t="s">
        <v>319</v>
      </c>
      <c r="I1" s="108" t="s">
        <v>317</v>
      </c>
      <c r="J1" s="108" t="s">
        <v>174</v>
      </c>
      <c r="K1" s="108" t="s">
        <v>325</v>
      </c>
      <c r="L1" s="108" t="s">
        <v>318</v>
      </c>
      <c r="M1" s="108" t="s">
        <v>468</v>
      </c>
      <c r="N1" s="108" t="s">
        <v>327</v>
      </c>
      <c r="O1" s="109" t="s">
        <v>267</v>
      </c>
      <c r="P1" s="108" t="s">
        <v>383</v>
      </c>
    </row>
    <row r="2" spans="1:16" x14ac:dyDescent="0.3">
      <c r="A2" s="116" t="s">
        <v>277</v>
      </c>
      <c r="B2" s="107" t="s">
        <v>16</v>
      </c>
      <c r="C2" s="24" t="s">
        <v>321</v>
      </c>
      <c r="D2" s="22" t="s">
        <v>323</v>
      </c>
      <c r="E2" s="23" t="s">
        <v>320</v>
      </c>
      <c r="F2" s="22" t="s">
        <v>323</v>
      </c>
      <c r="G2" s="22" t="s">
        <v>323</v>
      </c>
      <c r="H2" s="24" t="s">
        <v>321</v>
      </c>
      <c r="I2" s="23" t="s">
        <v>320</v>
      </c>
      <c r="J2" s="23" t="s">
        <v>320</v>
      </c>
      <c r="K2" s="23" t="s">
        <v>320</v>
      </c>
      <c r="L2" s="105" t="s">
        <v>129</v>
      </c>
      <c r="M2" s="105" t="s">
        <v>322</v>
      </c>
      <c r="N2" s="105" t="s">
        <v>129</v>
      </c>
      <c r="O2" s="110" t="s">
        <v>129</v>
      </c>
      <c r="P2" s="112" t="s">
        <v>384</v>
      </c>
    </row>
    <row r="3" spans="1:16" x14ac:dyDescent="0.3">
      <c r="A3" s="116" t="s">
        <v>278</v>
      </c>
      <c r="B3" s="107" t="s">
        <v>167</v>
      </c>
      <c r="C3" s="24" t="s">
        <v>321</v>
      </c>
      <c r="D3" s="105" t="s">
        <v>129</v>
      </c>
      <c r="E3" s="23" t="s">
        <v>320</v>
      </c>
      <c r="F3" s="22" t="s">
        <v>323</v>
      </c>
      <c r="G3" s="22" t="s">
        <v>323</v>
      </c>
      <c r="H3" s="24" t="s">
        <v>321</v>
      </c>
      <c r="I3" s="24" t="s">
        <v>321</v>
      </c>
      <c r="J3" s="23" t="s">
        <v>320</v>
      </c>
      <c r="K3" s="23" t="s">
        <v>320</v>
      </c>
      <c r="L3" s="105" t="s">
        <v>129</v>
      </c>
      <c r="M3" s="105" t="s">
        <v>322</v>
      </c>
      <c r="N3" s="105" t="s">
        <v>129</v>
      </c>
      <c r="O3" s="110" t="s">
        <v>129</v>
      </c>
      <c r="P3" s="112" t="s">
        <v>384</v>
      </c>
    </row>
    <row r="4" spans="1:16" x14ac:dyDescent="0.3">
      <c r="A4" s="117" t="s">
        <v>279</v>
      </c>
      <c r="B4" s="105" t="s">
        <v>19</v>
      </c>
      <c r="C4" s="24" t="s">
        <v>321</v>
      </c>
      <c r="D4" s="22" t="s">
        <v>323</v>
      </c>
      <c r="E4" s="23" t="s">
        <v>320</v>
      </c>
      <c r="F4" s="22" t="s">
        <v>323</v>
      </c>
      <c r="G4" s="22" t="s">
        <v>323</v>
      </c>
      <c r="H4" s="24" t="s">
        <v>321</v>
      </c>
      <c r="I4" s="24" t="s">
        <v>321</v>
      </c>
      <c r="J4" s="23" t="s">
        <v>320</v>
      </c>
      <c r="K4" s="23" t="s">
        <v>320</v>
      </c>
      <c r="L4" s="105" t="s">
        <v>129</v>
      </c>
      <c r="M4" s="105" t="s">
        <v>322</v>
      </c>
      <c r="N4" s="105" t="s">
        <v>129</v>
      </c>
      <c r="O4" s="110" t="s">
        <v>129</v>
      </c>
      <c r="P4" s="112" t="s">
        <v>384</v>
      </c>
    </row>
    <row r="5" spans="1:16" x14ac:dyDescent="0.3">
      <c r="A5" s="117" t="s">
        <v>280</v>
      </c>
      <c r="B5" s="105" t="s">
        <v>22</v>
      </c>
      <c r="C5" s="24" t="s">
        <v>321</v>
      </c>
      <c r="D5" s="23" t="s">
        <v>324</v>
      </c>
      <c r="E5" s="23" t="s">
        <v>320</v>
      </c>
      <c r="F5" s="22" t="s">
        <v>323</v>
      </c>
      <c r="G5" s="23" t="s">
        <v>324</v>
      </c>
      <c r="H5" s="24" t="s">
        <v>321</v>
      </c>
      <c r="I5" s="23" t="s">
        <v>320</v>
      </c>
      <c r="J5" s="23" t="s">
        <v>320</v>
      </c>
      <c r="K5" s="23" t="s">
        <v>320</v>
      </c>
      <c r="L5" s="105" t="s">
        <v>129</v>
      </c>
      <c r="M5" s="105" t="s">
        <v>322</v>
      </c>
      <c r="N5" s="105" t="s">
        <v>129</v>
      </c>
      <c r="O5" s="110" t="s">
        <v>129</v>
      </c>
      <c r="P5" s="112" t="s">
        <v>384</v>
      </c>
    </row>
    <row r="6" spans="1:16" x14ac:dyDescent="0.3">
      <c r="A6" s="117" t="s">
        <v>281</v>
      </c>
      <c r="B6" s="105" t="s">
        <v>17</v>
      </c>
      <c r="C6" s="24" t="s">
        <v>321</v>
      </c>
      <c r="D6" s="105" t="s">
        <v>129</v>
      </c>
      <c r="E6" s="23" t="s">
        <v>320</v>
      </c>
      <c r="F6" s="24" t="s">
        <v>321</v>
      </c>
      <c r="G6" s="24" t="s">
        <v>321</v>
      </c>
      <c r="H6" s="24" t="s">
        <v>321</v>
      </c>
      <c r="I6" s="24" t="s">
        <v>321</v>
      </c>
      <c r="J6" s="23" t="s">
        <v>320</v>
      </c>
      <c r="K6" s="23" t="s">
        <v>320</v>
      </c>
      <c r="L6" s="105" t="s">
        <v>129</v>
      </c>
      <c r="M6" s="105" t="s">
        <v>322</v>
      </c>
      <c r="N6" s="105" t="s">
        <v>129</v>
      </c>
      <c r="O6" s="110" t="s">
        <v>129</v>
      </c>
      <c r="P6" s="112" t="s">
        <v>384</v>
      </c>
    </row>
    <row r="7" spans="1:16" x14ac:dyDescent="0.3">
      <c r="A7" s="117" t="s">
        <v>282</v>
      </c>
      <c r="B7" s="105" t="s">
        <v>20</v>
      </c>
      <c r="C7" s="24" t="s">
        <v>321</v>
      </c>
      <c r="D7" s="22" t="s">
        <v>323</v>
      </c>
      <c r="E7" s="23" t="s">
        <v>320</v>
      </c>
      <c r="F7" s="23" t="s">
        <v>324</v>
      </c>
      <c r="G7" s="23" t="s">
        <v>324</v>
      </c>
      <c r="H7" s="24" t="s">
        <v>321</v>
      </c>
      <c r="I7" s="24" t="s">
        <v>321</v>
      </c>
      <c r="J7" s="23" t="s">
        <v>320</v>
      </c>
      <c r="K7" s="23" t="s">
        <v>320</v>
      </c>
      <c r="L7" s="105" t="s">
        <v>129</v>
      </c>
      <c r="M7" s="105" t="s">
        <v>322</v>
      </c>
      <c r="N7" s="105" t="s">
        <v>129</v>
      </c>
      <c r="O7" s="110" t="s">
        <v>129</v>
      </c>
      <c r="P7" s="112" t="s">
        <v>384</v>
      </c>
    </row>
    <row r="8" spans="1:16" x14ac:dyDescent="0.3">
      <c r="A8" s="117" t="s">
        <v>283</v>
      </c>
      <c r="B8" s="105" t="s">
        <v>23</v>
      </c>
      <c r="C8" s="23" t="s">
        <v>320</v>
      </c>
      <c r="D8" s="105" t="s">
        <v>129</v>
      </c>
      <c r="E8" s="23" t="s">
        <v>320</v>
      </c>
      <c r="F8" s="23" t="s">
        <v>324</v>
      </c>
      <c r="G8" s="22" t="s">
        <v>323</v>
      </c>
      <c r="H8" s="24" t="s">
        <v>321</v>
      </c>
      <c r="I8" s="24" t="s">
        <v>321</v>
      </c>
      <c r="J8" s="23" t="s">
        <v>320</v>
      </c>
      <c r="K8" s="23" t="s">
        <v>320</v>
      </c>
      <c r="L8" s="105" t="s">
        <v>129</v>
      </c>
      <c r="M8" s="105" t="s">
        <v>322</v>
      </c>
      <c r="N8" s="105" t="s">
        <v>129</v>
      </c>
      <c r="O8" s="110" t="s">
        <v>129</v>
      </c>
      <c r="P8" s="112" t="s">
        <v>384</v>
      </c>
    </row>
    <row r="9" spans="1:16" x14ac:dyDescent="0.3">
      <c r="A9" s="117" t="s">
        <v>284</v>
      </c>
      <c r="B9" s="105" t="s">
        <v>18</v>
      </c>
      <c r="C9" s="24" t="s">
        <v>321</v>
      </c>
      <c r="D9" s="22" t="s">
        <v>323</v>
      </c>
      <c r="E9" s="23" t="s">
        <v>320</v>
      </c>
      <c r="F9" s="22" t="s">
        <v>323</v>
      </c>
      <c r="G9" s="22" t="s">
        <v>323</v>
      </c>
      <c r="H9" s="23" t="s">
        <v>320</v>
      </c>
      <c r="I9" s="24" t="s">
        <v>321</v>
      </c>
      <c r="J9" s="23" t="s">
        <v>320</v>
      </c>
      <c r="K9" s="23" t="s">
        <v>320</v>
      </c>
      <c r="L9" s="105" t="s">
        <v>129</v>
      </c>
      <c r="M9" s="105" t="s">
        <v>326</v>
      </c>
      <c r="N9" s="105" t="s">
        <v>129</v>
      </c>
      <c r="O9" s="110" t="s">
        <v>129</v>
      </c>
      <c r="P9" s="112" t="s">
        <v>384</v>
      </c>
    </row>
    <row r="10" spans="1:16" x14ac:dyDescent="0.3">
      <c r="A10" s="117" t="s">
        <v>285</v>
      </c>
      <c r="B10" s="105" t="s">
        <v>25</v>
      </c>
      <c r="C10" s="23" t="s">
        <v>320</v>
      </c>
      <c r="D10" s="22" t="s">
        <v>323</v>
      </c>
      <c r="E10" s="23" t="s">
        <v>320</v>
      </c>
      <c r="F10" s="23" t="s">
        <v>324</v>
      </c>
      <c r="G10" s="22" t="s">
        <v>323</v>
      </c>
      <c r="H10" s="24" t="s">
        <v>321</v>
      </c>
      <c r="I10" s="24" t="s">
        <v>321</v>
      </c>
      <c r="J10" s="23" t="s">
        <v>320</v>
      </c>
      <c r="K10" s="23" t="s">
        <v>320</v>
      </c>
      <c r="L10" s="105" t="s">
        <v>129</v>
      </c>
      <c r="M10" s="105" t="s">
        <v>326</v>
      </c>
      <c r="N10" s="105" t="s">
        <v>129</v>
      </c>
      <c r="O10" s="110" t="s">
        <v>129</v>
      </c>
      <c r="P10" s="112" t="s">
        <v>384</v>
      </c>
    </row>
    <row r="11" spans="1:16" x14ac:dyDescent="0.3">
      <c r="A11" s="117" t="s">
        <v>286</v>
      </c>
      <c r="B11" s="105" t="s">
        <v>24</v>
      </c>
      <c r="C11" s="23" t="s">
        <v>320</v>
      </c>
      <c r="D11" s="24" t="s">
        <v>321</v>
      </c>
      <c r="E11" s="23" t="s">
        <v>320</v>
      </c>
      <c r="F11" s="22" t="s">
        <v>323</v>
      </c>
      <c r="G11" s="23" t="s">
        <v>324</v>
      </c>
      <c r="H11" s="23" t="s">
        <v>320</v>
      </c>
      <c r="I11" s="23" t="s">
        <v>320</v>
      </c>
      <c r="J11" s="24" t="s">
        <v>321</v>
      </c>
      <c r="K11" s="24" t="s">
        <v>321</v>
      </c>
      <c r="L11" s="105" t="s">
        <v>129</v>
      </c>
      <c r="M11" s="105" t="s">
        <v>322</v>
      </c>
      <c r="N11" s="105" t="s">
        <v>129</v>
      </c>
      <c r="O11" s="110">
        <v>44197</v>
      </c>
      <c r="P11" s="112" t="s">
        <v>384</v>
      </c>
    </row>
    <row r="12" spans="1:16" x14ac:dyDescent="0.3">
      <c r="A12" s="117" t="s">
        <v>287</v>
      </c>
      <c r="B12" s="105" t="s">
        <v>21</v>
      </c>
      <c r="C12" s="24" t="s">
        <v>321</v>
      </c>
      <c r="D12" s="24" t="s">
        <v>321</v>
      </c>
      <c r="E12" s="23" t="s">
        <v>320</v>
      </c>
      <c r="F12" s="22" t="s">
        <v>323</v>
      </c>
      <c r="G12" s="22" t="s">
        <v>323</v>
      </c>
      <c r="H12" s="24" t="s">
        <v>321</v>
      </c>
      <c r="I12" s="23" t="s">
        <v>320</v>
      </c>
      <c r="J12" s="23" t="s">
        <v>320</v>
      </c>
      <c r="K12" s="23" t="s">
        <v>320</v>
      </c>
      <c r="L12" s="105" t="s">
        <v>129</v>
      </c>
      <c r="M12" s="105" t="s">
        <v>322</v>
      </c>
      <c r="N12" s="105" t="s">
        <v>129</v>
      </c>
      <c r="O12" s="110" t="s">
        <v>129</v>
      </c>
      <c r="P12" s="112" t="s">
        <v>384</v>
      </c>
    </row>
    <row r="13" spans="1:16" x14ac:dyDescent="0.3">
      <c r="A13" s="57" t="s">
        <v>288</v>
      </c>
      <c r="B13" s="57" t="s">
        <v>26</v>
      </c>
      <c r="C13" s="57" t="s">
        <v>320</v>
      </c>
      <c r="D13" s="57" t="s">
        <v>323</v>
      </c>
      <c r="E13" s="57" t="s">
        <v>320</v>
      </c>
      <c r="F13" s="57" t="s">
        <v>324</v>
      </c>
      <c r="G13" s="57" t="s">
        <v>324</v>
      </c>
      <c r="H13" s="57" t="s">
        <v>321</v>
      </c>
      <c r="I13" s="57" t="s">
        <v>320</v>
      </c>
      <c r="J13" s="57" t="s">
        <v>320</v>
      </c>
      <c r="K13" s="57" t="s">
        <v>320</v>
      </c>
      <c r="L13" s="57" t="s">
        <v>129</v>
      </c>
      <c r="M13" s="57" t="s">
        <v>326</v>
      </c>
      <c r="N13" s="57" t="s">
        <v>129</v>
      </c>
      <c r="O13" s="113" t="s">
        <v>129</v>
      </c>
      <c r="P13" s="114" t="s">
        <v>385</v>
      </c>
    </row>
    <row r="14" spans="1:16" x14ac:dyDescent="0.3">
      <c r="A14" s="57" t="s">
        <v>289</v>
      </c>
      <c r="B14" s="57" t="s">
        <v>27</v>
      </c>
      <c r="C14" s="57" t="s">
        <v>320</v>
      </c>
      <c r="D14" s="57" t="s">
        <v>324</v>
      </c>
      <c r="E14" s="57" t="s">
        <v>320</v>
      </c>
      <c r="F14" s="57" t="s">
        <v>324</v>
      </c>
      <c r="G14" s="57" t="s">
        <v>324</v>
      </c>
      <c r="H14" s="57" t="s">
        <v>321</v>
      </c>
      <c r="I14" s="57" t="s">
        <v>320</v>
      </c>
      <c r="J14" s="57" t="s">
        <v>320</v>
      </c>
      <c r="K14" s="57" t="s">
        <v>320</v>
      </c>
      <c r="L14" s="57" t="s">
        <v>129</v>
      </c>
      <c r="M14" s="57" t="s">
        <v>322</v>
      </c>
      <c r="N14" s="57" t="s">
        <v>129</v>
      </c>
      <c r="O14" s="113" t="s">
        <v>129</v>
      </c>
      <c r="P14" s="114" t="s">
        <v>385</v>
      </c>
    </row>
    <row r="15" spans="1:16" x14ac:dyDescent="0.3">
      <c r="A15" s="57" t="s">
        <v>290</v>
      </c>
      <c r="B15" s="57" t="s">
        <v>28</v>
      </c>
      <c r="C15" s="57" t="s">
        <v>320</v>
      </c>
      <c r="D15" s="57" t="s">
        <v>324</v>
      </c>
      <c r="E15" s="57" t="s">
        <v>320</v>
      </c>
      <c r="F15" s="57" t="s">
        <v>324</v>
      </c>
      <c r="G15" s="57" t="s">
        <v>324</v>
      </c>
      <c r="H15" s="57" t="s">
        <v>321</v>
      </c>
      <c r="I15" s="57" t="s">
        <v>320</v>
      </c>
      <c r="J15" s="57" t="s">
        <v>321</v>
      </c>
      <c r="K15" s="57" t="s">
        <v>320</v>
      </c>
      <c r="L15" s="57" t="s">
        <v>129</v>
      </c>
      <c r="M15" s="57" t="s">
        <v>322</v>
      </c>
      <c r="N15" s="57" t="s">
        <v>129</v>
      </c>
      <c r="O15" s="113" t="s">
        <v>129</v>
      </c>
      <c r="P15" s="114" t="s">
        <v>385</v>
      </c>
    </row>
    <row r="16" spans="1:16" x14ac:dyDescent="0.3">
      <c r="A16" s="143" t="s">
        <v>291</v>
      </c>
      <c r="B16" s="57" t="s">
        <v>29</v>
      </c>
      <c r="C16" s="57" t="s">
        <v>320</v>
      </c>
      <c r="D16" s="57" t="s">
        <v>129</v>
      </c>
      <c r="E16" s="57" t="s">
        <v>320</v>
      </c>
      <c r="F16" s="57" t="s">
        <v>324</v>
      </c>
      <c r="G16" s="57" t="s">
        <v>324</v>
      </c>
      <c r="H16" s="57" t="s">
        <v>320</v>
      </c>
      <c r="I16" s="57" t="s">
        <v>320</v>
      </c>
      <c r="J16" s="57" t="s">
        <v>321</v>
      </c>
      <c r="K16" s="57" t="s">
        <v>320</v>
      </c>
      <c r="L16" s="57" t="s">
        <v>129</v>
      </c>
      <c r="M16" s="57" t="s">
        <v>322</v>
      </c>
      <c r="N16" s="57" t="s">
        <v>129</v>
      </c>
      <c r="O16" s="113" t="s">
        <v>129</v>
      </c>
      <c r="P16" s="114" t="s">
        <v>385</v>
      </c>
    </row>
    <row r="17" spans="1:16" x14ac:dyDescent="0.3">
      <c r="A17" s="117" t="s">
        <v>292</v>
      </c>
      <c r="B17" s="105" t="s">
        <v>30</v>
      </c>
      <c r="C17" s="23" t="s">
        <v>320</v>
      </c>
      <c r="D17" s="105" t="s">
        <v>129</v>
      </c>
      <c r="E17" s="23" t="s">
        <v>320</v>
      </c>
      <c r="F17" s="23" t="s">
        <v>324</v>
      </c>
      <c r="G17" s="23" t="s">
        <v>324</v>
      </c>
      <c r="H17" s="24" t="s">
        <v>321</v>
      </c>
      <c r="I17" s="23" t="s">
        <v>320</v>
      </c>
      <c r="J17" s="24" t="s">
        <v>321</v>
      </c>
      <c r="K17" s="23" t="s">
        <v>320</v>
      </c>
      <c r="L17" s="105" t="s">
        <v>129</v>
      </c>
      <c r="M17" s="105" t="s">
        <v>322</v>
      </c>
      <c r="N17" s="105" t="s">
        <v>129</v>
      </c>
      <c r="O17" s="110" t="s">
        <v>129</v>
      </c>
      <c r="P17" s="112" t="s">
        <v>384</v>
      </c>
    </row>
    <row r="18" spans="1:16" x14ac:dyDescent="0.3">
      <c r="A18" s="143" t="s">
        <v>293</v>
      </c>
      <c r="B18" s="57" t="s">
        <v>31</v>
      </c>
      <c r="C18" s="57" t="s">
        <v>321</v>
      </c>
      <c r="D18" s="57" t="s">
        <v>129</v>
      </c>
      <c r="E18" s="57" t="s">
        <v>320</v>
      </c>
      <c r="F18" s="57" t="s">
        <v>323</v>
      </c>
      <c r="G18" s="57" t="s">
        <v>324</v>
      </c>
      <c r="H18" s="57" t="s">
        <v>321</v>
      </c>
      <c r="I18" s="57" t="s">
        <v>321</v>
      </c>
      <c r="J18" s="57" t="s">
        <v>320</v>
      </c>
      <c r="K18" s="57" t="s">
        <v>320</v>
      </c>
      <c r="L18" s="57" t="s">
        <v>129</v>
      </c>
      <c r="M18" s="57" t="s">
        <v>322</v>
      </c>
      <c r="N18" s="57" t="s">
        <v>129</v>
      </c>
      <c r="O18" s="113" t="s">
        <v>129</v>
      </c>
      <c r="P18" s="114" t="s">
        <v>385</v>
      </c>
    </row>
    <row r="19" spans="1:16" x14ac:dyDescent="0.3">
      <c r="A19" s="117" t="s">
        <v>294</v>
      </c>
      <c r="B19" s="105" t="s">
        <v>32</v>
      </c>
      <c r="C19" s="23" t="s">
        <v>320</v>
      </c>
      <c r="D19" s="23" t="s">
        <v>324</v>
      </c>
      <c r="E19" s="23" t="s">
        <v>320</v>
      </c>
      <c r="F19" s="23" t="s">
        <v>324</v>
      </c>
      <c r="G19" s="23" t="s">
        <v>324</v>
      </c>
      <c r="H19" s="24" t="s">
        <v>321</v>
      </c>
      <c r="I19" s="23" t="s">
        <v>320</v>
      </c>
      <c r="J19" s="23" t="s">
        <v>320</v>
      </c>
      <c r="K19" s="23" t="s">
        <v>320</v>
      </c>
      <c r="L19" s="105" t="s">
        <v>129</v>
      </c>
      <c r="M19" s="105" t="s">
        <v>326</v>
      </c>
      <c r="N19" s="105" t="s">
        <v>129</v>
      </c>
      <c r="O19" s="110" t="s">
        <v>129</v>
      </c>
      <c r="P19" s="112" t="s">
        <v>384</v>
      </c>
    </row>
    <row r="20" spans="1:16" x14ac:dyDescent="0.3">
      <c r="A20" s="117" t="s">
        <v>478</v>
      </c>
      <c r="B20" s="105" t="s">
        <v>479</v>
      </c>
      <c r="C20" s="23" t="s">
        <v>320</v>
      </c>
      <c r="D20" s="23" t="s">
        <v>324</v>
      </c>
      <c r="E20" s="23" t="s">
        <v>320</v>
      </c>
      <c r="F20" s="23" t="s">
        <v>324</v>
      </c>
      <c r="G20" s="23" t="s">
        <v>324</v>
      </c>
      <c r="H20" s="24" t="s">
        <v>321</v>
      </c>
      <c r="I20" s="23" t="s">
        <v>320</v>
      </c>
      <c r="J20" s="23" t="s">
        <v>320</v>
      </c>
      <c r="K20" s="23" t="s">
        <v>320</v>
      </c>
      <c r="L20" s="105" t="s">
        <v>129</v>
      </c>
      <c r="M20" s="105" t="s">
        <v>322</v>
      </c>
      <c r="N20" s="105" t="s">
        <v>129</v>
      </c>
      <c r="O20" s="110" t="s">
        <v>129</v>
      </c>
      <c r="P20" s="112" t="s">
        <v>384</v>
      </c>
    </row>
    <row r="21" spans="1:16" x14ac:dyDescent="0.3">
      <c r="A21" s="117" t="s">
        <v>489</v>
      </c>
      <c r="B21" s="105" t="s">
        <v>490</v>
      </c>
      <c r="C21" s="23" t="s">
        <v>320</v>
      </c>
      <c r="D21" s="105" t="s">
        <v>129</v>
      </c>
      <c r="E21" s="23" t="s">
        <v>320</v>
      </c>
      <c r="F21" s="23" t="s">
        <v>324</v>
      </c>
      <c r="G21" s="23" t="s">
        <v>324</v>
      </c>
      <c r="H21" s="24" t="s">
        <v>321</v>
      </c>
      <c r="I21" s="23" t="s">
        <v>320</v>
      </c>
      <c r="J21" s="23" t="s">
        <v>320</v>
      </c>
      <c r="K21" s="23" t="s">
        <v>320</v>
      </c>
      <c r="L21" s="105" t="s">
        <v>129</v>
      </c>
      <c r="M21" s="105" t="s">
        <v>322</v>
      </c>
      <c r="N21" s="105" t="s">
        <v>129</v>
      </c>
      <c r="O21" s="110" t="s">
        <v>129</v>
      </c>
      <c r="P21" s="112" t="s">
        <v>384</v>
      </c>
    </row>
    <row r="22" spans="1:16" x14ac:dyDescent="0.3">
      <c r="A22" s="143" t="s">
        <v>496</v>
      </c>
      <c r="B22" s="146" t="s">
        <v>497</v>
      </c>
      <c r="C22" s="57" t="s">
        <v>321</v>
      </c>
      <c r="D22" s="57" t="s">
        <v>324</v>
      </c>
      <c r="E22" s="57" t="s">
        <v>320</v>
      </c>
      <c r="F22" s="57" t="s">
        <v>324</v>
      </c>
      <c r="G22" s="57" t="s">
        <v>324</v>
      </c>
      <c r="H22" s="57" t="s">
        <v>321</v>
      </c>
      <c r="I22" s="57" t="s">
        <v>320</v>
      </c>
      <c r="J22" s="57" t="s">
        <v>320</v>
      </c>
      <c r="K22" s="57" t="s">
        <v>320</v>
      </c>
      <c r="L22" s="57" t="s">
        <v>129</v>
      </c>
      <c r="M22" s="57" t="s">
        <v>322</v>
      </c>
      <c r="N22" s="57" t="s">
        <v>129</v>
      </c>
      <c r="O22" s="113" t="s">
        <v>129</v>
      </c>
      <c r="P22" s="114" t="s">
        <v>385</v>
      </c>
    </row>
    <row r="23" spans="1:16" x14ac:dyDescent="0.3">
      <c r="A23" s="117" t="s">
        <v>533</v>
      </c>
      <c r="B23" s="119" t="s">
        <v>534</v>
      </c>
      <c r="C23" s="23" t="s">
        <v>320</v>
      </c>
      <c r="D23" s="22" t="s">
        <v>323</v>
      </c>
      <c r="E23" s="23" t="s">
        <v>320</v>
      </c>
      <c r="F23" s="23" t="s">
        <v>324</v>
      </c>
      <c r="G23" s="23" t="s">
        <v>324</v>
      </c>
      <c r="H23" s="23" t="s">
        <v>320</v>
      </c>
      <c r="I23" s="23" t="s">
        <v>320</v>
      </c>
      <c r="J23" s="23" t="s">
        <v>320</v>
      </c>
      <c r="K23" s="23" t="s">
        <v>320</v>
      </c>
      <c r="L23" s="105" t="s">
        <v>129</v>
      </c>
      <c r="M23" s="105" t="s">
        <v>322</v>
      </c>
      <c r="N23" s="105" t="s">
        <v>129</v>
      </c>
      <c r="O23" s="110" t="s">
        <v>129</v>
      </c>
      <c r="P23" s="112" t="s">
        <v>384</v>
      </c>
    </row>
    <row r="24" spans="1:16" x14ac:dyDescent="0.3">
      <c r="A24" s="117" t="s">
        <v>543</v>
      </c>
      <c r="B24" s="119" t="s">
        <v>544</v>
      </c>
      <c r="C24" s="23" t="s">
        <v>320</v>
      </c>
      <c r="D24" s="23" t="s">
        <v>324</v>
      </c>
      <c r="E24" s="23" t="s">
        <v>320</v>
      </c>
      <c r="F24" s="23" t="s">
        <v>324</v>
      </c>
      <c r="G24" s="23" t="s">
        <v>324</v>
      </c>
      <c r="H24" s="23" t="s">
        <v>320</v>
      </c>
      <c r="I24" s="23" t="s">
        <v>320</v>
      </c>
      <c r="J24" s="23" t="s">
        <v>320</v>
      </c>
      <c r="K24" s="23" t="s">
        <v>320</v>
      </c>
      <c r="L24" s="105" t="s">
        <v>129</v>
      </c>
      <c r="M24" s="105" t="s">
        <v>322</v>
      </c>
      <c r="N24" s="105" t="s">
        <v>129</v>
      </c>
      <c r="O24" s="110" t="s">
        <v>129</v>
      </c>
      <c r="P24" s="112" t="s">
        <v>384</v>
      </c>
    </row>
    <row r="25" spans="1:16" x14ac:dyDescent="0.3">
      <c r="A25" s="117" t="s">
        <v>589</v>
      </c>
      <c r="B25" s="119" t="s">
        <v>590</v>
      </c>
      <c r="C25" s="23" t="s">
        <v>320</v>
      </c>
      <c r="D25" s="23" t="s">
        <v>324</v>
      </c>
      <c r="E25" s="23" t="s">
        <v>320</v>
      </c>
      <c r="F25" s="23" t="s">
        <v>324</v>
      </c>
      <c r="G25" s="23" t="s">
        <v>324</v>
      </c>
      <c r="H25" s="24" t="s">
        <v>321</v>
      </c>
      <c r="I25" s="23" t="s">
        <v>320</v>
      </c>
      <c r="J25" s="24" t="s">
        <v>321</v>
      </c>
      <c r="K25" s="23" t="s">
        <v>320</v>
      </c>
      <c r="L25" s="105" t="s">
        <v>129</v>
      </c>
      <c r="M25" s="105" t="s">
        <v>326</v>
      </c>
      <c r="N25" s="105" t="s">
        <v>129</v>
      </c>
      <c r="O25" s="110" t="s">
        <v>129</v>
      </c>
      <c r="P25" s="112" t="s">
        <v>384</v>
      </c>
    </row>
    <row r="26" spans="1:16" x14ac:dyDescent="0.3">
      <c r="A26" s="116" t="s">
        <v>295</v>
      </c>
      <c r="B26" s="107" t="s">
        <v>168</v>
      </c>
      <c r="C26" s="24" t="s">
        <v>321</v>
      </c>
      <c r="D26" s="105" t="s">
        <v>129</v>
      </c>
      <c r="E26" s="23" t="s">
        <v>320</v>
      </c>
      <c r="F26" s="23" t="s">
        <v>324</v>
      </c>
      <c r="G26" s="23" t="s">
        <v>324</v>
      </c>
      <c r="H26" s="23" t="s">
        <v>320</v>
      </c>
      <c r="I26" s="24" t="s">
        <v>321</v>
      </c>
      <c r="J26" s="105" t="s">
        <v>129</v>
      </c>
      <c r="K26" s="105" t="s">
        <v>129</v>
      </c>
      <c r="L26" s="23" t="s">
        <v>320</v>
      </c>
      <c r="M26" s="105" t="s">
        <v>322</v>
      </c>
      <c r="N26" s="24" t="s">
        <v>321</v>
      </c>
      <c r="O26" s="110">
        <v>41122</v>
      </c>
      <c r="P26" s="112" t="s">
        <v>384</v>
      </c>
    </row>
    <row r="27" spans="1:16" x14ac:dyDescent="0.3">
      <c r="A27" s="117" t="s">
        <v>296</v>
      </c>
      <c r="B27" s="105" t="s">
        <v>0</v>
      </c>
      <c r="C27" s="24" t="s">
        <v>321</v>
      </c>
      <c r="D27" s="22" t="s">
        <v>323</v>
      </c>
      <c r="E27" s="23" t="s">
        <v>320</v>
      </c>
      <c r="F27" s="23" t="s">
        <v>324</v>
      </c>
      <c r="G27" s="22" t="s">
        <v>323</v>
      </c>
      <c r="H27" s="24" t="s">
        <v>321</v>
      </c>
      <c r="I27" s="23" t="s">
        <v>320</v>
      </c>
      <c r="J27" s="105" t="s">
        <v>129</v>
      </c>
      <c r="K27" s="23" t="s">
        <v>320</v>
      </c>
      <c r="L27" s="24" t="s">
        <v>321</v>
      </c>
      <c r="M27" s="105" t="s">
        <v>322</v>
      </c>
      <c r="N27" s="23" t="s">
        <v>320</v>
      </c>
      <c r="O27" s="110">
        <v>41699</v>
      </c>
      <c r="P27" s="112" t="s">
        <v>384</v>
      </c>
    </row>
    <row r="28" spans="1:16" x14ac:dyDescent="0.3">
      <c r="A28" s="117" t="s">
        <v>297</v>
      </c>
      <c r="B28" s="105" t="s">
        <v>1</v>
      </c>
      <c r="C28" s="23" t="s">
        <v>320</v>
      </c>
      <c r="D28" s="23" t="s">
        <v>324</v>
      </c>
      <c r="E28" s="23" t="s">
        <v>320</v>
      </c>
      <c r="F28" s="23" t="s">
        <v>324</v>
      </c>
      <c r="G28" s="23" t="s">
        <v>324</v>
      </c>
      <c r="H28" s="23" t="s">
        <v>320</v>
      </c>
      <c r="I28" s="23" t="s">
        <v>320</v>
      </c>
      <c r="J28" s="105" t="s">
        <v>129</v>
      </c>
      <c r="K28" s="23" t="s">
        <v>320</v>
      </c>
      <c r="L28" s="23" t="s">
        <v>320</v>
      </c>
      <c r="M28" s="105" t="s">
        <v>326</v>
      </c>
      <c r="N28" s="23" t="s">
        <v>320</v>
      </c>
      <c r="O28" s="110">
        <v>43009</v>
      </c>
      <c r="P28" s="112" t="s">
        <v>384</v>
      </c>
    </row>
    <row r="29" spans="1:16" x14ac:dyDescent="0.3">
      <c r="A29" s="57" t="s">
        <v>298</v>
      </c>
      <c r="B29" s="105" t="s">
        <v>2</v>
      </c>
      <c r="C29" s="57" t="s">
        <v>320</v>
      </c>
      <c r="D29" s="57" t="s">
        <v>129</v>
      </c>
      <c r="E29" s="57" t="s">
        <v>320</v>
      </c>
      <c r="F29" s="57" t="s">
        <v>324</v>
      </c>
      <c r="G29" s="57" t="s">
        <v>324</v>
      </c>
      <c r="H29" s="57" t="s">
        <v>320</v>
      </c>
      <c r="I29" s="57" t="s">
        <v>320</v>
      </c>
      <c r="J29" s="57" t="s">
        <v>129</v>
      </c>
      <c r="K29" s="57" t="s">
        <v>129</v>
      </c>
      <c r="L29" s="57" t="s">
        <v>320</v>
      </c>
      <c r="M29" s="57" t="s">
        <v>326</v>
      </c>
      <c r="N29" s="57" t="s">
        <v>320</v>
      </c>
      <c r="O29" s="113">
        <v>43831</v>
      </c>
      <c r="P29" s="57" t="s">
        <v>385</v>
      </c>
    </row>
    <row r="30" spans="1:16" x14ac:dyDescent="0.3">
      <c r="A30" s="117" t="s">
        <v>299</v>
      </c>
      <c r="B30" s="105" t="s">
        <v>3</v>
      </c>
      <c r="C30" s="23" t="s">
        <v>320</v>
      </c>
      <c r="D30" s="105" t="s">
        <v>129</v>
      </c>
      <c r="E30" s="23" t="s">
        <v>320</v>
      </c>
      <c r="F30" s="23" t="s">
        <v>324</v>
      </c>
      <c r="G30" s="23" t="s">
        <v>324</v>
      </c>
      <c r="H30" s="23" t="s">
        <v>320</v>
      </c>
      <c r="I30" s="23" t="s">
        <v>320</v>
      </c>
      <c r="J30" s="105" t="s">
        <v>129</v>
      </c>
      <c r="K30" s="105" t="s">
        <v>129</v>
      </c>
      <c r="L30" s="23" t="s">
        <v>320</v>
      </c>
      <c r="M30" s="105" t="s">
        <v>326</v>
      </c>
      <c r="N30" s="23" t="s">
        <v>320</v>
      </c>
      <c r="O30" s="110">
        <v>43252</v>
      </c>
      <c r="P30" s="112" t="s">
        <v>384</v>
      </c>
    </row>
    <row r="31" spans="1:16" x14ac:dyDescent="0.3">
      <c r="A31" s="117" t="s">
        <v>300</v>
      </c>
      <c r="B31" s="105" t="s">
        <v>4</v>
      </c>
      <c r="C31" s="23" t="s">
        <v>320</v>
      </c>
      <c r="D31" s="105" t="s">
        <v>129</v>
      </c>
      <c r="E31" s="23" t="s">
        <v>320</v>
      </c>
      <c r="F31" s="23" t="s">
        <v>324</v>
      </c>
      <c r="G31" s="23" t="s">
        <v>324</v>
      </c>
      <c r="H31" s="23" t="s">
        <v>320</v>
      </c>
      <c r="I31" s="23" t="s">
        <v>320</v>
      </c>
      <c r="J31" s="105" t="s">
        <v>129</v>
      </c>
      <c r="K31" s="105" t="s">
        <v>129</v>
      </c>
      <c r="L31" s="23" t="s">
        <v>320</v>
      </c>
      <c r="M31" s="105" t="s">
        <v>487</v>
      </c>
      <c r="N31" s="23" t="s">
        <v>320</v>
      </c>
      <c r="O31" s="110">
        <v>43556</v>
      </c>
      <c r="P31" s="112" t="s">
        <v>384</v>
      </c>
    </row>
    <row r="32" spans="1:16" x14ac:dyDescent="0.3">
      <c r="A32" s="117" t="s">
        <v>301</v>
      </c>
      <c r="B32" s="105" t="s">
        <v>5</v>
      </c>
      <c r="C32" s="23" t="s">
        <v>320</v>
      </c>
      <c r="D32" s="23" t="s">
        <v>324</v>
      </c>
      <c r="E32" s="23" t="s">
        <v>320</v>
      </c>
      <c r="F32" s="23" t="s">
        <v>324</v>
      </c>
      <c r="G32" s="23" t="s">
        <v>324</v>
      </c>
      <c r="H32" s="23" t="s">
        <v>320</v>
      </c>
      <c r="I32" s="23" t="s">
        <v>320</v>
      </c>
      <c r="J32" s="105" t="s">
        <v>129</v>
      </c>
      <c r="K32" s="105" t="s">
        <v>129</v>
      </c>
      <c r="L32" s="24" t="s">
        <v>321</v>
      </c>
      <c r="M32" s="105" t="s">
        <v>326</v>
      </c>
      <c r="N32" s="23" t="s">
        <v>320</v>
      </c>
      <c r="O32" s="110">
        <v>44409</v>
      </c>
      <c r="P32" s="112" t="s">
        <v>384</v>
      </c>
    </row>
    <row r="33" spans="1:16" x14ac:dyDescent="0.3">
      <c r="A33" s="117" t="s">
        <v>302</v>
      </c>
      <c r="B33" s="105" t="s">
        <v>33</v>
      </c>
      <c r="C33" s="24" t="s">
        <v>321</v>
      </c>
      <c r="D33" s="105" t="s">
        <v>129</v>
      </c>
      <c r="E33" s="23" t="s">
        <v>320</v>
      </c>
      <c r="F33" s="23" t="s">
        <v>324</v>
      </c>
      <c r="G33" s="24" t="s">
        <v>321</v>
      </c>
      <c r="H33" s="23" t="s">
        <v>320</v>
      </c>
      <c r="I33" s="24" t="s">
        <v>321</v>
      </c>
      <c r="J33" s="105" t="s">
        <v>129</v>
      </c>
      <c r="K33" s="105" t="s">
        <v>129</v>
      </c>
      <c r="L33" s="106" t="s">
        <v>329</v>
      </c>
      <c r="M33" s="105" t="s">
        <v>322</v>
      </c>
      <c r="N33" s="24" t="s">
        <v>321</v>
      </c>
      <c r="O33" s="111" t="s">
        <v>329</v>
      </c>
      <c r="P33" s="112" t="s">
        <v>384</v>
      </c>
    </row>
    <row r="34" spans="1:16" x14ac:dyDescent="0.3">
      <c r="A34" s="117" t="s">
        <v>303</v>
      </c>
      <c r="B34" s="105" t="s">
        <v>6</v>
      </c>
      <c r="C34" s="23" t="s">
        <v>320</v>
      </c>
      <c r="D34" s="22" t="s">
        <v>323</v>
      </c>
      <c r="E34" s="23" t="s">
        <v>320</v>
      </c>
      <c r="F34" s="22" t="s">
        <v>323</v>
      </c>
      <c r="G34" s="22" t="s">
        <v>323</v>
      </c>
      <c r="H34" s="23" t="s">
        <v>320</v>
      </c>
      <c r="I34" s="24" t="s">
        <v>321</v>
      </c>
      <c r="J34" s="105" t="s">
        <v>129</v>
      </c>
      <c r="K34" s="105" t="s">
        <v>129</v>
      </c>
      <c r="L34" s="23" t="s">
        <v>320</v>
      </c>
      <c r="M34" s="105" t="s">
        <v>326</v>
      </c>
      <c r="N34" s="23" t="s">
        <v>320</v>
      </c>
      <c r="O34" s="110">
        <v>42401</v>
      </c>
      <c r="P34" s="112" t="s">
        <v>384</v>
      </c>
    </row>
    <row r="35" spans="1:16" x14ac:dyDescent="0.3">
      <c r="A35" s="117" t="s">
        <v>304</v>
      </c>
      <c r="B35" s="105" t="s">
        <v>7</v>
      </c>
      <c r="C35" s="23" t="s">
        <v>320</v>
      </c>
      <c r="D35" s="23" t="s">
        <v>324</v>
      </c>
      <c r="E35" s="23" t="s">
        <v>320</v>
      </c>
      <c r="F35" s="23" t="s">
        <v>324</v>
      </c>
      <c r="G35" s="23" t="s">
        <v>324</v>
      </c>
      <c r="H35" s="23" t="s">
        <v>320</v>
      </c>
      <c r="I35" s="23" t="s">
        <v>320</v>
      </c>
      <c r="J35" s="105" t="s">
        <v>129</v>
      </c>
      <c r="K35" s="105" t="s">
        <v>129</v>
      </c>
      <c r="L35" s="23" t="s">
        <v>320</v>
      </c>
      <c r="M35" s="105" t="s">
        <v>322</v>
      </c>
      <c r="N35" s="23" t="s">
        <v>320</v>
      </c>
      <c r="O35" s="110">
        <v>45093</v>
      </c>
      <c r="P35" s="112" t="s">
        <v>384</v>
      </c>
    </row>
    <row r="36" spans="1:16" x14ac:dyDescent="0.3">
      <c r="A36" s="117" t="s">
        <v>305</v>
      </c>
      <c r="B36" s="105" t="s">
        <v>8</v>
      </c>
      <c r="C36" s="24" t="s">
        <v>321</v>
      </c>
      <c r="D36" s="24" t="s">
        <v>321</v>
      </c>
      <c r="E36" s="23" t="s">
        <v>320</v>
      </c>
      <c r="F36" s="23" t="s">
        <v>324</v>
      </c>
      <c r="G36" s="23" t="s">
        <v>324</v>
      </c>
      <c r="H36" s="23" t="s">
        <v>320</v>
      </c>
      <c r="I36" s="24" t="s">
        <v>321</v>
      </c>
      <c r="J36" s="105" t="s">
        <v>129</v>
      </c>
      <c r="K36" s="105" t="s">
        <v>129</v>
      </c>
      <c r="L36" s="23" t="s">
        <v>320</v>
      </c>
      <c r="M36" s="105" t="s">
        <v>326</v>
      </c>
      <c r="N36" s="24" t="s">
        <v>321</v>
      </c>
      <c r="O36" s="110">
        <v>39814</v>
      </c>
      <c r="P36" s="112" t="s">
        <v>384</v>
      </c>
    </row>
    <row r="37" spans="1:16" x14ac:dyDescent="0.3">
      <c r="A37" s="117" t="s">
        <v>306</v>
      </c>
      <c r="B37" s="105" t="s">
        <v>620</v>
      </c>
      <c r="C37" s="23" t="s">
        <v>320</v>
      </c>
      <c r="D37" s="105" t="s">
        <v>129</v>
      </c>
      <c r="E37" s="23" t="s">
        <v>320</v>
      </c>
      <c r="F37" s="23" t="s">
        <v>324</v>
      </c>
      <c r="G37" s="23" t="s">
        <v>324</v>
      </c>
      <c r="H37" s="23" t="s">
        <v>320</v>
      </c>
      <c r="I37" s="24" t="s">
        <v>321</v>
      </c>
      <c r="J37" s="105" t="s">
        <v>129</v>
      </c>
      <c r="K37" s="105" t="s">
        <v>129</v>
      </c>
      <c r="L37" s="23" t="s">
        <v>320</v>
      </c>
      <c r="M37" s="105" t="s">
        <v>69</v>
      </c>
      <c r="N37" s="23" t="s">
        <v>320</v>
      </c>
      <c r="O37" s="110">
        <v>42222</v>
      </c>
      <c r="P37" s="112" t="s">
        <v>384</v>
      </c>
    </row>
    <row r="38" spans="1:16" x14ac:dyDescent="0.3">
      <c r="A38" s="117" t="s">
        <v>307</v>
      </c>
      <c r="B38" s="105" t="s">
        <v>55</v>
      </c>
      <c r="C38" s="23" t="s">
        <v>320</v>
      </c>
      <c r="D38" s="23" t="s">
        <v>324</v>
      </c>
      <c r="E38" s="23" t="s">
        <v>320</v>
      </c>
      <c r="F38" s="23" t="s">
        <v>324</v>
      </c>
      <c r="G38" s="23" t="s">
        <v>324</v>
      </c>
      <c r="H38" s="24" t="s">
        <v>321</v>
      </c>
      <c r="I38" s="24" t="s">
        <v>321</v>
      </c>
      <c r="J38" s="105" t="s">
        <v>129</v>
      </c>
      <c r="K38" s="105" t="s">
        <v>129</v>
      </c>
      <c r="L38" s="24" t="s">
        <v>321</v>
      </c>
      <c r="M38" s="105" t="s">
        <v>322</v>
      </c>
      <c r="N38" s="24" t="s">
        <v>321</v>
      </c>
      <c r="O38" s="110">
        <v>43313</v>
      </c>
      <c r="P38" s="112" t="s">
        <v>384</v>
      </c>
    </row>
    <row r="39" spans="1:16" x14ac:dyDescent="0.3">
      <c r="A39" s="117" t="s">
        <v>309</v>
      </c>
      <c r="B39" s="105" t="s">
        <v>10</v>
      </c>
      <c r="C39" s="23" t="s">
        <v>320</v>
      </c>
      <c r="D39" s="22" t="s">
        <v>323</v>
      </c>
      <c r="E39" s="23" t="s">
        <v>320</v>
      </c>
      <c r="F39" s="22" t="s">
        <v>323</v>
      </c>
      <c r="G39" s="24" t="s">
        <v>321</v>
      </c>
      <c r="H39" s="24" t="s">
        <v>321</v>
      </c>
      <c r="I39" s="24" t="s">
        <v>321</v>
      </c>
      <c r="J39" s="105" t="s">
        <v>129</v>
      </c>
      <c r="K39" s="105" t="s">
        <v>129</v>
      </c>
      <c r="L39" s="24" t="s">
        <v>321</v>
      </c>
      <c r="M39" s="105" t="s">
        <v>69</v>
      </c>
      <c r="N39" s="24" t="s">
        <v>321</v>
      </c>
      <c r="O39" s="110">
        <v>39814</v>
      </c>
      <c r="P39" s="112" t="s">
        <v>384</v>
      </c>
    </row>
    <row r="40" spans="1:16" x14ac:dyDescent="0.3">
      <c r="A40" s="117" t="s">
        <v>310</v>
      </c>
      <c r="B40" s="105" t="s">
        <v>11</v>
      </c>
      <c r="C40" s="24" t="s">
        <v>321</v>
      </c>
      <c r="D40" s="22" t="s">
        <v>323</v>
      </c>
      <c r="E40" s="23" t="s">
        <v>320</v>
      </c>
      <c r="F40" s="22" t="s">
        <v>323</v>
      </c>
      <c r="G40" s="22" t="s">
        <v>323</v>
      </c>
      <c r="H40" s="24" t="s">
        <v>321</v>
      </c>
      <c r="I40" s="24" t="s">
        <v>321</v>
      </c>
      <c r="J40" s="105" t="s">
        <v>129</v>
      </c>
      <c r="K40" s="105" t="s">
        <v>129</v>
      </c>
      <c r="L40" s="24" t="s">
        <v>321</v>
      </c>
      <c r="M40" s="105" t="s">
        <v>69</v>
      </c>
      <c r="N40" s="24" t="s">
        <v>321</v>
      </c>
      <c r="O40" s="110">
        <v>40848</v>
      </c>
      <c r="P40" s="112" t="s">
        <v>384</v>
      </c>
    </row>
    <row r="41" spans="1:16" x14ac:dyDescent="0.3">
      <c r="A41" s="117" t="s">
        <v>311</v>
      </c>
      <c r="B41" s="105" t="s">
        <v>12</v>
      </c>
      <c r="C41" s="23" t="s">
        <v>320</v>
      </c>
      <c r="D41" s="23" t="s">
        <v>324</v>
      </c>
      <c r="E41" s="23" t="s">
        <v>320</v>
      </c>
      <c r="F41" s="23" t="s">
        <v>324</v>
      </c>
      <c r="G41" s="23" t="s">
        <v>324</v>
      </c>
      <c r="H41" s="24" t="s">
        <v>321</v>
      </c>
      <c r="I41" s="23" t="s">
        <v>320</v>
      </c>
      <c r="J41" s="105" t="s">
        <v>129</v>
      </c>
      <c r="K41" s="105" t="s">
        <v>129</v>
      </c>
      <c r="L41" s="23" t="s">
        <v>320</v>
      </c>
      <c r="M41" s="105" t="s">
        <v>69</v>
      </c>
      <c r="N41" s="23" t="s">
        <v>320</v>
      </c>
      <c r="O41" s="110">
        <v>43252</v>
      </c>
      <c r="P41" s="112" t="s">
        <v>384</v>
      </c>
    </row>
    <row r="42" spans="1:16" x14ac:dyDescent="0.3">
      <c r="A42" s="143" t="s">
        <v>312</v>
      </c>
      <c r="B42" s="57" t="s">
        <v>13</v>
      </c>
      <c r="C42" s="57" t="s">
        <v>321</v>
      </c>
      <c r="D42" s="57" t="s">
        <v>321</v>
      </c>
      <c r="E42" s="57" t="s">
        <v>320</v>
      </c>
      <c r="F42" s="57" t="s">
        <v>323</v>
      </c>
      <c r="G42" s="57" t="s">
        <v>321</v>
      </c>
      <c r="H42" s="57" t="s">
        <v>321</v>
      </c>
      <c r="I42" s="57" t="s">
        <v>321</v>
      </c>
      <c r="J42" s="57" t="s">
        <v>129</v>
      </c>
      <c r="K42" s="57" t="s">
        <v>129</v>
      </c>
      <c r="L42" s="150" t="s">
        <v>378</v>
      </c>
      <c r="M42" s="57" t="s">
        <v>69</v>
      </c>
      <c r="N42" s="57" t="s">
        <v>321</v>
      </c>
      <c r="O42" s="151" t="s">
        <v>378</v>
      </c>
      <c r="P42" s="114" t="s">
        <v>385</v>
      </c>
    </row>
    <row r="43" spans="1:16" x14ac:dyDescent="0.3">
      <c r="A43" s="117" t="s">
        <v>313</v>
      </c>
      <c r="B43" s="105" t="s">
        <v>14</v>
      </c>
      <c r="C43" s="23" t="s">
        <v>320</v>
      </c>
      <c r="D43" s="23" t="s">
        <v>324</v>
      </c>
      <c r="E43" s="23" t="s">
        <v>320</v>
      </c>
      <c r="F43" s="23" t="s">
        <v>324</v>
      </c>
      <c r="G43" s="23" t="s">
        <v>324</v>
      </c>
      <c r="H43" s="24" t="s">
        <v>321</v>
      </c>
      <c r="I43" s="23" t="s">
        <v>320</v>
      </c>
      <c r="J43" s="105" t="s">
        <v>129</v>
      </c>
      <c r="K43" s="105" t="s">
        <v>129</v>
      </c>
      <c r="L43" s="23" t="s">
        <v>320</v>
      </c>
      <c r="M43" s="105" t="s">
        <v>69</v>
      </c>
      <c r="N43" s="23" t="s">
        <v>320</v>
      </c>
      <c r="O43" s="110">
        <v>43856</v>
      </c>
      <c r="P43" s="112" t="s">
        <v>384</v>
      </c>
    </row>
    <row r="44" spans="1:16" x14ac:dyDescent="0.3">
      <c r="A44" s="117" t="s">
        <v>308</v>
      </c>
      <c r="B44" s="105" t="s">
        <v>15</v>
      </c>
      <c r="C44" s="23" t="s">
        <v>320</v>
      </c>
      <c r="D44" s="105" t="s">
        <v>129</v>
      </c>
      <c r="E44" s="23" t="s">
        <v>320</v>
      </c>
      <c r="F44" s="23" t="s">
        <v>324</v>
      </c>
      <c r="G44" s="23" t="s">
        <v>324</v>
      </c>
      <c r="H44" s="23" t="s">
        <v>320</v>
      </c>
      <c r="I44" s="23" t="s">
        <v>320</v>
      </c>
      <c r="J44" s="105" t="s">
        <v>129</v>
      </c>
      <c r="K44" s="105" t="s">
        <v>129</v>
      </c>
      <c r="L44" s="23" t="s">
        <v>320</v>
      </c>
      <c r="M44" s="105" t="s">
        <v>322</v>
      </c>
      <c r="N44" s="23" t="s">
        <v>320</v>
      </c>
      <c r="O44" s="110">
        <v>45173</v>
      </c>
      <c r="P44" s="112" t="s">
        <v>384</v>
      </c>
    </row>
    <row r="45" spans="1:16" x14ac:dyDescent="0.3">
      <c r="A45" s="117" t="s">
        <v>314</v>
      </c>
      <c r="B45" s="105" t="s">
        <v>164</v>
      </c>
      <c r="C45" s="23" t="s">
        <v>320</v>
      </c>
      <c r="D45" s="105" t="s">
        <v>129</v>
      </c>
      <c r="E45" s="23" t="s">
        <v>320</v>
      </c>
      <c r="F45" s="22" t="s">
        <v>323</v>
      </c>
      <c r="G45" s="22" t="s">
        <v>323</v>
      </c>
      <c r="H45" s="24" t="s">
        <v>321</v>
      </c>
      <c r="I45" s="24" t="s">
        <v>321</v>
      </c>
      <c r="J45" s="105" t="s">
        <v>129</v>
      </c>
      <c r="K45" s="105" t="s">
        <v>129</v>
      </c>
      <c r="L45" s="24" t="s">
        <v>321</v>
      </c>
      <c r="M45" s="105" t="s">
        <v>69</v>
      </c>
      <c r="N45" s="23" t="s">
        <v>320</v>
      </c>
      <c r="O45" s="110">
        <v>44910</v>
      </c>
      <c r="P45" s="112" t="s">
        <v>384</v>
      </c>
    </row>
    <row r="46" spans="1:16" x14ac:dyDescent="0.3">
      <c r="A46" s="143" t="s">
        <v>471</v>
      </c>
      <c r="B46" s="57" t="s">
        <v>472</v>
      </c>
      <c r="C46" s="57" t="s">
        <v>320</v>
      </c>
      <c r="D46" s="57" t="s">
        <v>129</v>
      </c>
      <c r="E46" s="57" t="s">
        <v>320</v>
      </c>
      <c r="F46" s="57" t="s">
        <v>324</v>
      </c>
      <c r="G46" s="57" t="s">
        <v>324</v>
      </c>
      <c r="H46" s="57" t="s">
        <v>320</v>
      </c>
      <c r="I46" s="57" t="s">
        <v>320</v>
      </c>
      <c r="J46" s="57" t="s">
        <v>129</v>
      </c>
      <c r="K46" s="57" t="s">
        <v>129</v>
      </c>
      <c r="L46" s="57" t="s">
        <v>321</v>
      </c>
      <c r="M46" s="57" t="s">
        <v>326</v>
      </c>
      <c r="N46" s="57" t="s">
        <v>320</v>
      </c>
      <c r="O46" s="113">
        <v>45302</v>
      </c>
      <c r="P46" s="57" t="s">
        <v>385</v>
      </c>
    </row>
    <row r="47" spans="1:16" x14ac:dyDescent="0.3">
      <c r="A47" s="143" t="s">
        <v>504</v>
      </c>
      <c r="B47" s="57" t="s">
        <v>511</v>
      </c>
      <c r="C47" s="57" t="s">
        <v>320</v>
      </c>
      <c r="D47" s="57" t="s">
        <v>324</v>
      </c>
      <c r="E47" s="57" t="s">
        <v>320</v>
      </c>
      <c r="F47" s="57" t="s">
        <v>324</v>
      </c>
      <c r="G47" s="57" t="s">
        <v>324</v>
      </c>
      <c r="H47" s="57" t="s">
        <v>321</v>
      </c>
      <c r="I47" s="57" t="s">
        <v>320</v>
      </c>
      <c r="J47" s="57" t="s">
        <v>129</v>
      </c>
      <c r="K47" s="57" t="s">
        <v>320</v>
      </c>
      <c r="L47" s="57" t="s">
        <v>321</v>
      </c>
      <c r="M47" s="57" t="s">
        <v>326</v>
      </c>
      <c r="N47" s="57" t="s">
        <v>320</v>
      </c>
      <c r="O47" s="113">
        <v>45397</v>
      </c>
      <c r="P47" s="57" t="s">
        <v>385</v>
      </c>
    </row>
    <row r="48" spans="1:16" x14ac:dyDescent="0.3">
      <c r="A48" s="117" t="s">
        <v>513</v>
      </c>
      <c r="B48" s="105" t="s">
        <v>524</v>
      </c>
      <c r="C48" s="23" t="s">
        <v>320</v>
      </c>
      <c r="D48" s="24" t="s">
        <v>321</v>
      </c>
      <c r="E48" s="23" t="s">
        <v>320</v>
      </c>
      <c r="F48" s="23" t="s">
        <v>324</v>
      </c>
      <c r="G48" s="23" t="s">
        <v>324</v>
      </c>
      <c r="H48" s="24" t="s">
        <v>321</v>
      </c>
      <c r="I48" s="24" t="s">
        <v>321</v>
      </c>
      <c r="J48" s="105" t="s">
        <v>129</v>
      </c>
      <c r="K48" s="105" t="s">
        <v>129</v>
      </c>
      <c r="L48" s="23" t="s">
        <v>320</v>
      </c>
      <c r="M48" s="105" t="s">
        <v>326</v>
      </c>
      <c r="N48" s="23" t="s">
        <v>320</v>
      </c>
      <c r="O48" s="110">
        <v>45438</v>
      </c>
      <c r="P48" s="105" t="s">
        <v>384</v>
      </c>
    </row>
    <row r="49" spans="1:16" x14ac:dyDescent="0.3">
      <c r="A49" s="117" t="s">
        <v>526</v>
      </c>
      <c r="B49" s="105" t="s">
        <v>538</v>
      </c>
      <c r="C49" s="23" t="s">
        <v>320</v>
      </c>
      <c r="D49" s="23" t="s">
        <v>320</v>
      </c>
      <c r="E49" s="23" t="s">
        <v>320</v>
      </c>
      <c r="F49" s="23" t="s">
        <v>324</v>
      </c>
      <c r="G49" s="23" t="s">
        <v>324</v>
      </c>
      <c r="H49" s="24" t="s">
        <v>321</v>
      </c>
      <c r="I49" s="23" t="s">
        <v>324</v>
      </c>
      <c r="J49" s="105" t="s">
        <v>129</v>
      </c>
      <c r="K49" s="105" t="s">
        <v>129</v>
      </c>
      <c r="L49" s="24" t="s">
        <v>321</v>
      </c>
      <c r="M49" s="105" t="s">
        <v>326</v>
      </c>
      <c r="N49" s="23" t="s">
        <v>320</v>
      </c>
      <c r="O49" s="110">
        <v>45505</v>
      </c>
      <c r="P49" s="105" t="s">
        <v>384</v>
      </c>
    </row>
    <row r="50" spans="1:16" x14ac:dyDescent="0.3">
      <c r="A50" s="117" t="s">
        <v>607</v>
      </c>
      <c r="B50" s="105" t="s">
        <v>608</v>
      </c>
      <c r="C50" s="23" t="s">
        <v>320</v>
      </c>
      <c r="D50" s="23" t="s">
        <v>320</v>
      </c>
      <c r="E50" s="23" t="s">
        <v>320</v>
      </c>
      <c r="F50" s="23" t="s">
        <v>324</v>
      </c>
      <c r="G50" s="23" t="s">
        <v>324</v>
      </c>
      <c r="H50" s="24" t="s">
        <v>321</v>
      </c>
      <c r="I50" s="23" t="s">
        <v>324</v>
      </c>
      <c r="J50" s="105" t="s">
        <v>129</v>
      </c>
      <c r="K50" s="105" t="s">
        <v>129</v>
      </c>
      <c r="L50" s="24" t="s">
        <v>321</v>
      </c>
      <c r="M50" s="105" t="s">
        <v>326</v>
      </c>
      <c r="N50" s="23" t="s">
        <v>320</v>
      </c>
      <c r="O50" s="110">
        <v>46012</v>
      </c>
      <c r="P50" s="105" t="s">
        <v>384</v>
      </c>
    </row>
  </sheetData>
  <autoFilter ref="A1:P50" xr:uid="{00000000-0009-0000-0000-000002000000}"/>
  <pageMargins left="0.25" right="0.25" top="0.75" bottom="0.75" header="0.3" footer="0.3"/>
  <pageSetup paperSize="9" scale="59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9"/>
  <sheetViews>
    <sheetView topLeftCell="C1" zoomScale="80" zoomScaleNormal="80" workbookViewId="0">
      <pane ySplit="1" topLeftCell="A2" activePane="bottomLeft" state="frozen"/>
      <selection pane="bottomLeft" activeCell="I3" sqref="I3"/>
    </sheetView>
  </sheetViews>
  <sheetFormatPr defaultRowHeight="14.4" x14ac:dyDescent="0.3"/>
  <cols>
    <col min="1" max="1" width="7" customWidth="1"/>
    <col min="2" max="2" width="13.5546875" customWidth="1"/>
    <col min="3" max="3" width="53" customWidth="1"/>
    <col min="4" max="4" width="36" bestFit="1" customWidth="1"/>
    <col min="5" max="5" width="20.21875" customWidth="1"/>
    <col min="6" max="6" width="19.109375" customWidth="1"/>
    <col min="7" max="7" width="16.6640625" bestFit="1" customWidth="1"/>
    <col min="8" max="8" width="20.44140625" customWidth="1"/>
    <col min="9" max="9" width="15.6640625" customWidth="1"/>
    <col min="10" max="10" width="12.77734375" customWidth="1"/>
    <col min="11" max="12" width="15.77734375" style="54" customWidth="1"/>
  </cols>
  <sheetData>
    <row r="1" spans="1:12" s="168" customFormat="1" ht="55.2" x14ac:dyDescent="0.3">
      <c r="A1" s="164" t="s">
        <v>67</v>
      </c>
      <c r="B1" s="165" t="s">
        <v>35</v>
      </c>
      <c r="C1" s="165" t="s">
        <v>34</v>
      </c>
      <c r="D1" s="165" t="s">
        <v>64</v>
      </c>
      <c r="E1" s="165" t="s">
        <v>621</v>
      </c>
      <c r="F1" s="165" t="s">
        <v>71</v>
      </c>
      <c r="G1" s="166" t="s">
        <v>622</v>
      </c>
      <c r="H1" s="166" t="s">
        <v>623</v>
      </c>
      <c r="I1" s="166" t="s">
        <v>624</v>
      </c>
      <c r="J1" s="166" t="s">
        <v>625</v>
      </c>
      <c r="K1" s="167" t="s">
        <v>65</v>
      </c>
      <c r="L1" s="52" t="s">
        <v>380</v>
      </c>
    </row>
    <row r="2" spans="1:12" s="1" customFormat="1" ht="13.8" x14ac:dyDescent="0.25">
      <c r="A2" s="7"/>
      <c r="B2" s="3" t="s">
        <v>37</v>
      </c>
      <c r="C2" s="4" t="s">
        <v>414</v>
      </c>
      <c r="D2" s="5" t="s">
        <v>416</v>
      </c>
      <c r="E2" s="5" t="s">
        <v>75</v>
      </c>
      <c r="F2" s="26"/>
      <c r="G2" s="6"/>
      <c r="H2" s="26"/>
      <c r="I2" s="6" t="s">
        <v>129</v>
      </c>
      <c r="J2" s="6" t="s">
        <v>129</v>
      </c>
      <c r="K2" s="51">
        <v>41821</v>
      </c>
      <c r="L2" s="53">
        <v>42461</v>
      </c>
    </row>
    <row r="3" spans="1:12" s="1" customFormat="1" ht="13.8" x14ac:dyDescent="0.25">
      <c r="A3" s="7"/>
      <c r="B3" s="3" t="s">
        <v>36</v>
      </c>
      <c r="C3" s="4" t="s">
        <v>431</v>
      </c>
      <c r="D3" s="5" t="s">
        <v>423</v>
      </c>
      <c r="E3" s="5"/>
      <c r="F3" s="26">
        <v>27281</v>
      </c>
      <c r="G3" s="6">
        <v>27409092102758</v>
      </c>
      <c r="H3" s="26">
        <v>43837</v>
      </c>
      <c r="I3" s="6"/>
      <c r="J3" s="6"/>
      <c r="K3" s="51"/>
      <c r="L3" s="53">
        <v>42614</v>
      </c>
    </row>
    <row r="4" spans="1:12" x14ac:dyDescent="0.3">
      <c r="A4" s="7"/>
      <c r="B4" s="3" t="s">
        <v>36</v>
      </c>
      <c r="C4" s="4" t="s">
        <v>452</v>
      </c>
      <c r="D4" s="5" t="s">
        <v>60</v>
      </c>
      <c r="E4" s="5"/>
      <c r="F4" s="26"/>
      <c r="G4" s="6">
        <v>28501230101617</v>
      </c>
      <c r="H4" s="26"/>
      <c r="I4" s="6"/>
      <c r="J4" s="6"/>
      <c r="K4" s="51">
        <v>42309</v>
      </c>
      <c r="L4" s="53">
        <v>42675</v>
      </c>
    </row>
    <row r="5" spans="1:12" x14ac:dyDescent="0.3">
      <c r="A5" s="7"/>
      <c r="B5" s="3" t="s">
        <v>37</v>
      </c>
      <c r="C5" s="4" t="s">
        <v>415</v>
      </c>
      <c r="D5" s="5" t="s">
        <v>417</v>
      </c>
      <c r="E5" s="5" t="s">
        <v>189</v>
      </c>
      <c r="F5" s="26"/>
      <c r="G5" s="6"/>
      <c r="H5" s="26"/>
      <c r="I5" s="6" t="s">
        <v>129</v>
      </c>
      <c r="J5" s="6" t="s">
        <v>129</v>
      </c>
      <c r="K5" s="51"/>
      <c r="L5" s="53">
        <v>42675</v>
      </c>
    </row>
    <row r="6" spans="1:12" x14ac:dyDescent="0.3">
      <c r="A6" s="7"/>
      <c r="B6" s="3" t="s">
        <v>37</v>
      </c>
      <c r="C6" s="4" t="s">
        <v>411</v>
      </c>
      <c r="D6" s="5" t="s">
        <v>413</v>
      </c>
      <c r="E6" s="5" t="s">
        <v>74</v>
      </c>
      <c r="F6" s="26">
        <v>23565</v>
      </c>
      <c r="G6" s="6">
        <v>26407072101392</v>
      </c>
      <c r="H6" s="26">
        <v>45263</v>
      </c>
      <c r="I6" s="6" t="s">
        <v>129</v>
      </c>
      <c r="J6" s="6" t="s">
        <v>129</v>
      </c>
      <c r="K6" s="51">
        <v>39448</v>
      </c>
      <c r="L6" s="53">
        <v>42742</v>
      </c>
    </row>
    <row r="7" spans="1:12" x14ac:dyDescent="0.3">
      <c r="A7" s="7"/>
      <c r="B7" s="3" t="s">
        <v>36</v>
      </c>
      <c r="C7" s="4" t="s">
        <v>445</v>
      </c>
      <c r="D7" s="5" t="s">
        <v>61</v>
      </c>
      <c r="E7" s="5"/>
      <c r="F7" s="26"/>
      <c r="G7" s="6"/>
      <c r="H7" s="26"/>
      <c r="I7" s="6"/>
      <c r="J7" s="6"/>
      <c r="K7" s="51">
        <v>42239</v>
      </c>
      <c r="L7" s="53">
        <v>42804</v>
      </c>
    </row>
    <row r="8" spans="1:12" x14ac:dyDescent="0.3">
      <c r="A8" s="7"/>
      <c r="B8" s="3" t="s">
        <v>37</v>
      </c>
      <c r="C8" s="4" t="s">
        <v>408</v>
      </c>
      <c r="D8" s="5" t="s">
        <v>45</v>
      </c>
      <c r="E8" s="5" t="s">
        <v>189</v>
      </c>
      <c r="F8" s="26">
        <v>31358</v>
      </c>
      <c r="G8" s="6">
        <v>28511070100304</v>
      </c>
      <c r="H8" s="26">
        <v>45144</v>
      </c>
      <c r="I8" s="6" t="s">
        <v>129</v>
      </c>
      <c r="J8" s="6" t="s">
        <v>129</v>
      </c>
      <c r="K8" s="51">
        <v>42562</v>
      </c>
      <c r="L8" s="53">
        <v>42831</v>
      </c>
    </row>
    <row r="9" spans="1:12" x14ac:dyDescent="0.3">
      <c r="A9" s="7"/>
      <c r="B9" s="3" t="s">
        <v>36</v>
      </c>
      <c r="C9" s="4" t="s">
        <v>446</v>
      </c>
      <c r="D9" s="5" t="s">
        <v>447</v>
      </c>
      <c r="E9" s="5"/>
      <c r="F9" s="26">
        <v>30922</v>
      </c>
      <c r="G9" s="6">
        <v>28408282103413</v>
      </c>
      <c r="H9" s="26" t="s">
        <v>450</v>
      </c>
      <c r="I9" s="6"/>
      <c r="J9" s="6"/>
      <c r="K9" s="51">
        <v>40125</v>
      </c>
      <c r="L9" s="53">
        <v>42950</v>
      </c>
    </row>
    <row r="10" spans="1:12" x14ac:dyDescent="0.3">
      <c r="A10" s="7"/>
      <c r="B10" s="3" t="s">
        <v>37</v>
      </c>
      <c r="C10" s="4" t="s">
        <v>409</v>
      </c>
      <c r="D10" s="5" t="s">
        <v>45</v>
      </c>
      <c r="E10" s="5" t="s">
        <v>189</v>
      </c>
      <c r="F10" s="26">
        <v>26007</v>
      </c>
      <c r="G10" s="6">
        <v>27103150101668</v>
      </c>
      <c r="H10" s="26">
        <v>45349</v>
      </c>
      <c r="I10" s="6" t="s">
        <v>129</v>
      </c>
      <c r="J10" s="6" t="s">
        <v>129</v>
      </c>
      <c r="K10" s="51">
        <v>41251</v>
      </c>
      <c r="L10" s="53">
        <v>42956</v>
      </c>
    </row>
    <row r="11" spans="1:12" x14ac:dyDescent="0.3">
      <c r="A11" s="7"/>
      <c r="B11" s="3" t="s">
        <v>37</v>
      </c>
      <c r="C11" s="4" t="s">
        <v>410</v>
      </c>
      <c r="D11" s="5" t="s">
        <v>412</v>
      </c>
      <c r="E11" s="5" t="s">
        <v>74</v>
      </c>
      <c r="F11" s="26">
        <v>31921</v>
      </c>
      <c r="G11" s="6">
        <v>28705242100041</v>
      </c>
      <c r="H11" s="26">
        <v>44593</v>
      </c>
      <c r="I11" s="6" t="s">
        <v>129</v>
      </c>
      <c r="J11" s="6" t="s">
        <v>129</v>
      </c>
      <c r="K11" s="51">
        <v>41642</v>
      </c>
      <c r="L11" s="53">
        <v>42981</v>
      </c>
    </row>
    <row r="12" spans="1:12" x14ac:dyDescent="0.3">
      <c r="A12" s="7"/>
      <c r="B12" s="3" t="s">
        <v>36</v>
      </c>
      <c r="C12" s="4" t="s">
        <v>448</v>
      </c>
      <c r="D12" s="5" t="s">
        <v>60</v>
      </c>
      <c r="E12" s="5"/>
      <c r="F12" s="26">
        <v>32279</v>
      </c>
      <c r="G12" s="6">
        <v>28805160103942</v>
      </c>
      <c r="H12" s="26" t="s">
        <v>451</v>
      </c>
      <c r="I12" s="6"/>
      <c r="J12" s="6"/>
      <c r="K12" s="51">
        <v>41875</v>
      </c>
      <c r="L12" s="53">
        <v>43009</v>
      </c>
    </row>
    <row r="13" spans="1:12" x14ac:dyDescent="0.3">
      <c r="A13" s="7"/>
      <c r="B13" s="3" t="s">
        <v>36</v>
      </c>
      <c r="C13" s="4" t="s">
        <v>449</v>
      </c>
      <c r="D13" s="5" t="s">
        <v>423</v>
      </c>
      <c r="E13" s="5"/>
      <c r="F13" s="26"/>
      <c r="G13" s="6"/>
      <c r="H13" s="26"/>
      <c r="I13" s="6"/>
      <c r="J13" s="6"/>
      <c r="K13" s="51">
        <v>40179</v>
      </c>
      <c r="L13" s="53">
        <v>43100</v>
      </c>
    </row>
    <row r="14" spans="1:12" x14ac:dyDescent="0.3">
      <c r="A14" s="7"/>
      <c r="B14" s="3" t="s">
        <v>37</v>
      </c>
      <c r="C14" s="4" t="s">
        <v>401</v>
      </c>
      <c r="D14" s="5" t="s">
        <v>436</v>
      </c>
      <c r="E14" s="5" t="s">
        <v>189</v>
      </c>
      <c r="F14" s="26">
        <v>24712</v>
      </c>
      <c r="G14" s="6">
        <v>26708280100804</v>
      </c>
      <c r="H14" s="26">
        <v>45160</v>
      </c>
      <c r="I14" s="6" t="s">
        <v>129</v>
      </c>
      <c r="J14" s="6" t="s">
        <v>129</v>
      </c>
      <c r="K14" s="51">
        <v>42418</v>
      </c>
      <c r="L14" s="53">
        <v>43131</v>
      </c>
    </row>
    <row r="15" spans="1:12" x14ac:dyDescent="0.3">
      <c r="A15" s="7"/>
      <c r="B15" s="3" t="s">
        <v>37</v>
      </c>
      <c r="C15" s="4" t="s">
        <v>402</v>
      </c>
      <c r="D15" s="5" t="s">
        <v>45</v>
      </c>
      <c r="E15" s="5" t="s">
        <v>189</v>
      </c>
      <c r="F15" s="26">
        <v>32325</v>
      </c>
      <c r="G15" s="6">
        <v>28807012110789</v>
      </c>
      <c r="H15" s="26">
        <v>43903</v>
      </c>
      <c r="I15" s="6" t="s">
        <v>129</v>
      </c>
      <c r="J15" s="6" t="s">
        <v>129</v>
      </c>
      <c r="K15" s="51">
        <v>42824</v>
      </c>
      <c r="L15" s="53">
        <v>43226</v>
      </c>
    </row>
    <row r="16" spans="1:12" x14ac:dyDescent="0.3">
      <c r="A16" s="7"/>
      <c r="B16" s="3" t="s">
        <v>37</v>
      </c>
      <c r="C16" s="4" t="s">
        <v>403</v>
      </c>
      <c r="D16" s="5" t="s">
        <v>52</v>
      </c>
      <c r="E16" s="5" t="s">
        <v>78</v>
      </c>
      <c r="F16" s="26">
        <v>33366</v>
      </c>
      <c r="G16" s="6">
        <v>29105081401115</v>
      </c>
      <c r="H16" s="26">
        <v>45298</v>
      </c>
      <c r="I16" s="6" t="s">
        <v>129</v>
      </c>
      <c r="J16" s="6" t="s">
        <v>129</v>
      </c>
      <c r="K16" s="51">
        <v>42544</v>
      </c>
      <c r="L16" s="53">
        <v>43251</v>
      </c>
    </row>
    <row r="17" spans="1:12" x14ac:dyDescent="0.3">
      <c r="A17" s="7"/>
      <c r="B17" s="3" t="s">
        <v>37</v>
      </c>
      <c r="C17" s="4" t="s">
        <v>404</v>
      </c>
      <c r="D17" s="5" t="s">
        <v>406</v>
      </c>
      <c r="E17" s="5" t="s">
        <v>407</v>
      </c>
      <c r="F17" s="26">
        <v>33468</v>
      </c>
      <c r="G17" s="6">
        <v>29108182103106</v>
      </c>
      <c r="H17" s="26">
        <v>44573</v>
      </c>
      <c r="I17" s="6" t="s">
        <v>129</v>
      </c>
      <c r="J17" s="6" t="s">
        <v>129</v>
      </c>
      <c r="K17" s="51">
        <v>42983</v>
      </c>
      <c r="L17" s="53">
        <v>43258</v>
      </c>
    </row>
    <row r="18" spans="1:12" x14ac:dyDescent="0.3">
      <c r="A18" s="7"/>
      <c r="B18" s="3" t="s">
        <v>37</v>
      </c>
      <c r="C18" s="4" t="s">
        <v>405</v>
      </c>
      <c r="D18" s="5" t="s">
        <v>53</v>
      </c>
      <c r="E18" s="5" t="s">
        <v>78</v>
      </c>
      <c r="F18" s="26">
        <v>23556</v>
      </c>
      <c r="G18" s="6">
        <v>26406280100174</v>
      </c>
      <c r="H18" s="26">
        <v>43314</v>
      </c>
      <c r="I18" s="6" t="s">
        <v>129</v>
      </c>
      <c r="J18" s="6" t="s">
        <v>129</v>
      </c>
      <c r="K18" s="51">
        <v>40543</v>
      </c>
      <c r="L18" s="53">
        <v>43272</v>
      </c>
    </row>
    <row r="19" spans="1:12" x14ac:dyDescent="0.3">
      <c r="A19" s="7"/>
      <c r="B19" s="3" t="s">
        <v>37</v>
      </c>
      <c r="C19" s="4" t="s">
        <v>397</v>
      </c>
      <c r="D19" s="5" t="s">
        <v>43</v>
      </c>
      <c r="E19" s="5" t="s">
        <v>189</v>
      </c>
      <c r="F19" s="26">
        <v>32899</v>
      </c>
      <c r="G19" s="6">
        <v>29001262101709</v>
      </c>
      <c r="H19" s="26">
        <v>45361</v>
      </c>
      <c r="I19" s="6" t="s">
        <v>129</v>
      </c>
      <c r="J19" s="6" t="s">
        <v>129</v>
      </c>
      <c r="K19" s="51">
        <v>43177</v>
      </c>
      <c r="L19" s="53">
        <v>43527</v>
      </c>
    </row>
    <row r="20" spans="1:12" x14ac:dyDescent="0.3">
      <c r="A20" s="7"/>
      <c r="B20" s="3" t="s">
        <v>36</v>
      </c>
      <c r="C20" s="4" t="s">
        <v>440</v>
      </c>
      <c r="D20" s="5" t="s">
        <v>444</v>
      </c>
      <c r="E20" s="5"/>
      <c r="F20" s="26">
        <v>31623</v>
      </c>
      <c r="G20" s="6">
        <v>28607300201196</v>
      </c>
      <c r="H20" s="26">
        <v>45621</v>
      </c>
      <c r="I20" s="6"/>
      <c r="J20" s="6" t="s">
        <v>125</v>
      </c>
      <c r="K20" s="51">
        <v>40848</v>
      </c>
      <c r="L20" s="53">
        <v>43534</v>
      </c>
    </row>
    <row r="21" spans="1:12" x14ac:dyDescent="0.3">
      <c r="A21" s="7"/>
      <c r="B21" s="3" t="s">
        <v>36</v>
      </c>
      <c r="C21" s="4" t="s">
        <v>441</v>
      </c>
      <c r="D21" s="5" t="s">
        <v>60</v>
      </c>
      <c r="E21" s="5"/>
      <c r="F21" s="26">
        <v>32336</v>
      </c>
      <c r="G21" s="6">
        <v>28812072102509</v>
      </c>
      <c r="H21" s="26">
        <v>44984</v>
      </c>
      <c r="I21" s="6"/>
      <c r="J21" s="6" t="s">
        <v>127</v>
      </c>
      <c r="K21" s="51">
        <v>42370</v>
      </c>
      <c r="L21" s="53">
        <v>43593</v>
      </c>
    </row>
    <row r="22" spans="1:12" x14ac:dyDescent="0.3">
      <c r="A22" s="7"/>
      <c r="B22" s="3" t="s">
        <v>36</v>
      </c>
      <c r="C22" s="4" t="s">
        <v>442</v>
      </c>
      <c r="D22" s="5" t="s">
        <v>60</v>
      </c>
      <c r="E22" s="5"/>
      <c r="F22" s="26">
        <v>34115</v>
      </c>
      <c r="G22" s="6">
        <v>29305260201128</v>
      </c>
      <c r="H22" s="26">
        <v>45641</v>
      </c>
      <c r="I22" s="6"/>
      <c r="J22" s="6" t="s">
        <v>124</v>
      </c>
      <c r="K22" s="51">
        <v>43102</v>
      </c>
      <c r="L22" s="53">
        <v>43608</v>
      </c>
    </row>
    <row r="23" spans="1:12" x14ac:dyDescent="0.3">
      <c r="A23" s="7"/>
      <c r="B23" s="3" t="s">
        <v>36</v>
      </c>
      <c r="C23" s="4" t="s">
        <v>428</v>
      </c>
      <c r="D23" s="5" t="s">
        <v>429</v>
      </c>
      <c r="E23" s="5"/>
      <c r="F23" s="26">
        <v>34680</v>
      </c>
      <c r="G23" s="6">
        <v>29412120102597</v>
      </c>
      <c r="H23" s="26">
        <v>46050</v>
      </c>
      <c r="I23" s="6"/>
      <c r="J23" s="6" t="s">
        <v>127</v>
      </c>
      <c r="K23" s="51">
        <v>43482</v>
      </c>
      <c r="L23" s="53">
        <v>43643</v>
      </c>
    </row>
    <row r="24" spans="1:12" x14ac:dyDescent="0.3">
      <c r="A24" s="7"/>
      <c r="B24" s="3" t="s">
        <v>37</v>
      </c>
      <c r="C24" s="4" t="s">
        <v>398</v>
      </c>
      <c r="D24" s="5" t="s">
        <v>400</v>
      </c>
      <c r="E24" s="5" t="s">
        <v>189</v>
      </c>
      <c r="F24" s="26">
        <v>31201</v>
      </c>
      <c r="G24" s="6">
        <v>28506032103509</v>
      </c>
      <c r="H24" s="26">
        <v>45604</v>
      </c>
      <c r="I24" s="6" t="s">
        <v>129</v>
      </c>
      <c r="J24" s="6" t="s">
        <v>129</v>
      </c>
      <c r="K24" s="51">
        <v>42217</v>
      </c>
      <c r="L24" s="53">
        <v>43683</v>
      </c>
    </row>
    <row r="25" spans="1:12" x14ac:dyDescent="0.3">
      <c r="A25" s="7"/>
      <c r="B25" s="3" t="s">
        <v>36</v>
      </c>
      <c r="C25" s="4" t="s">
        <v>443</v>
      </c>
      <c r="D25" s="5" t="s">
        <v>60</v>
      </c>
      <c r="E25" s="5"/>
      <c r="F25" s="26">
        <v>32518</v>
      </c>
      <c r="G25" s="6">
        <v>28910011337475</v>
      </c>
      <c r="H25" s="26">
        <v>45461</v>
      </c>
      <c r="I25" s="6"/>
      <c r="J25" s="6" t="s">
        <v>434</v>
      </c>
      <c r="K25" s="51">
        <v>43135</v>
      </c>
      <c r="L25" s="53">
        <v>43727</v>
      </c>
    </row>
    <row r="26" spans="1:12" x14ac:dyDescent="0.3">
      <c r="A26" s="7"/>
      <c r="B26" s="3" t="s">
        <v>37</v>
      </c>
      <c r="C26" s="4" t="s">
        <v>399</v>
      </c>
      <c r="D26" s="5" t="s">
        <v>43</v>
      </c>
      <c r="E26" s="5" t="s">
        <v>189</v>
      </c>
      <c r="F26" s="26">
        <v>25052</v>
      </c>
      <c r="G26" s="6">
        <v>26808020200605</v>
      </c>
      <c r="H26" s="26">
        <v>45110</v>
      </c>
      <c r="I26" s="6" t="s">
        <v>129</v>
      </c>
      <c r="J26" s="6" t="s">
        <v>129</v>
      </c>
      <c r="K26" s="51">
        <v>43753</v>
      </c>
      <c r="L26" s="53">
        <v>43811</v>
      </c>
    </row>
    <row r="27" spans="1:12" x14ac:dyDescent="0.3">
      <c r="A27" s="7"/>
      <c r="B27" s="3" t="s">
        <v>37</v>
      </c>
      <c r="C27" s="4" t="s">
        <v>396</v>
      </c>
      <c r="D27" s="5" t="s">
        <v>54</v>
      </c>
      <c r="E27" s="5" t="s">
        <v>189</v>
      </c>
      <c r="F27" s="26">
        <v>33264</v>
      </c>
      <c r="G27" s="6">
        <v>29101262103242</v>
      </c>
      <c r="H27" s="26">
        <v>45634</v>
      </c>
      <c r="I27" s="6" t="s">
        <v>129</v>
      </c>
      <c r="J27" s="6" t="s">
        <v>129</v>
      </c>
      <c r="K27" s="51">
        <v>42738</v>
      </c>
      <c r="L27" s="53">
        <v>43921</v>
      </c>
    </row>
    <row r="28" spans="1:12" x14ac:dyDescent="0.3">
      <c r="A28" s="7"/>
      <c r="B28" s="3" t="s">
        <v>36</v>
      </c>
      <c r="C28" s="4" t="s">
        <v>437</v>
      </c>
      <c r="D28" s="5" t="s">
        <v>60</v>
      </c>
      <c r="E28" s="5"/>
      <c r="F28" s="26">
        <v>33248</v>
      </c>
      <c r="G28" s="6">
        <v>29101100201119</v>
      </c>
      <c r="H28" s="26">
        <v>46322</v>
      </c>
      <c r="I28" s="6"/>
      <c r="J28" s="6" t="s">
        <v>434</v>
      </c>
      <c r="K28" s="51">
        <v>43625</v>
      </c>
      <c r="L28" s="53">
        <v>44077</v>
      </c>
    </row>
    <row r="29" spans="1:12" x14ac:dyDescent="0.3">
      <c r="A29" s="7"/>
      <c r="B29" s="3" t="s">
        <v>36</v>
      </c>
      <c r="C29" s="4" t="s">
        <v>438</v>
      </c>
      <c r="D29" s="5" t="s">
        <v>60</v>
      </c>
      <c r="E29" s="5"/>
      <c r="F29" s="26">
        <v>33813</v>
      </c>
      <c r="G29" s="6">
        <v>29207282102253</v>
      </c>
      <c r="H29" s="26">
        <v>44825</v>
      </c>
      <c r="I29" s="6"/>
      <c r="J29" s="6" t="s">
        <v>124</v>
      </c>
      <c r="K29" s="51">
        <v>42644</v>
      </c>
      <c r="L29" s="53">
        <v>44180</v>
      </c>
    </row>
    <row r="30" spans="1:12" x14ac:dyDescent="0.3">
      <c r="A30" s="7"/>
      <c r="B30" s="3" t="s">
        <v>36</v>
      </c>
      <c r="C30" s="4" t="s">
        <v>439</v>
      </c>
      <c r="D30" s="5" t="s">
        <v>57</v>
      </c>
      <c r="E30" s="5"/>
      <c r="F30" s="26">
        <v>32406</v>
      </c>
      <c r="G30" s="6">
        <v>28809202106071</v>
      </c>
      <c r="H30" s="26">
        <v>44379</v>
      </c>
      <c r="I30" s="6"/>
      <c r="J30" s="6" t="s">
        <v>124</v>
      </c>
      <c r="K30" s="51">
        <v>42983</v>
      </c>
      <c r="L30" s="53">
        <v>44195</v>
      </c>
    </row>
    <row r="31" spans="1:12" x14ac:dyDescent="0.3">
      <c r="A31" s="7"/>
      <c r="B31" s="3" t="s">
        <v>37</v>
      </c>
      <c r="C31" s="4" t="s">
        <v>392</v>
      </c>
      <c r="D31" s="5" t="s">
        <v>53</v>
      </c>
      <c r="E31" s="5" t="s">
        <v>78</v>
      </c>
      <c r="F31" s="26">
        <v>30569</v>
      </c>
      <c r="G31" s="6">
        <v>28309102102432</v>
      </c>
      <c r="H31" s="148">
        <v>45787</v>
      </c>
      <c r="I31" s="149" t="s">
        <v>129</v>
      </c>
      <c r="J31" s="149" t="s">
        <v>129</v>
      </c>
      <c r="K31" s="51">
        <v>43446</v>
      </c>
      <c r="L31" s="53">
        <v>44227</v>
      </c>
    </row>
    <row r="32" spans="1:12" x14ac:dyDescent="0.3">
      <c r="A32" s="7"/>
      <c r="B32" s="3" t="s">
        <v>36</v>
      </c>
      <c r="C32" s="4" t="s">
        <v>430</v>
      </c>
      <c r="D32" s="5" t="s">
        <v>62</v>
      </c>
      <c r="E32" s="5"/>
      <c r="F32" s="26">
        <v>35658</v>
      </c>
      <c r="G32" s="6">
        <v>29708162100761</v>
      </c>
      <c r="H32" s="148">
        <v>44117</v>
      </c>
      <c r="I32" s="149">
        <v>672465</v>
      </c>
      <c r="J32" s="149" t="s">
        <v>128</v>
      </c>
      <c r="K32" s="51">
        <v>43983</v>
      </c>
      <c r="L32" s="53">
        <v>44423</v>
      </c>
    </row>
    <row r="33" spans="1:12" x14ac:dyDescent="0.3">
      <c r="A33" s="7"/>
      <c r="B33" s="3" t="s">
        <v>37</v>
      </c>
      <c r="C33" s="4" t="s">
        <v>393</v>
      </c>
      <c r="D33" s="5" t="s">
        <v>45</v>
      </c>
      <c r="E33" s="5" t="s">
        <v>189</v>
      </c>
      <c r="F33" s="26">
        <v>29432</v>
      </c>
      <c r="G33" s="6">
        <v>28007300100112</v>
      </c>
      <c r="H33" s="148">
        <v>45701</v>
      </c>
      <c r="I33" s="149" t="s">
        <v>129</v>
      </c>
      <c r="J33" s="149" t="s">
        <v>129</v>
      </c>
      <c r="K33" s="51">
        <v>41939</v>
      </c>
      <c r="L33" s="53">
        <v>44439</v>
      </c>
    </row>
    <row r="34" spans="1:12" x14ac:dyDescent="0.3">
      <c r="A34" s="7"/>
      <c r="B34" s="3" t="s">
        <v>36</v>
      </c>
      <c r="C34" s="4" t="s">
        <v>431</v>
      </c>
      <c r="D34" s="5" t="s">
        <v>423</v>
      </c>
      <c r="E34" s="5"/>
      <c r="F34" s="26">
        <v>27281</v>
      </c>
      <c r="G34" s="6">
        <v>27409092102758</v>
      </c>
      <c r="H34" s="148">
        <v>46212</v>
      </c>
      <c r="I34" s="149"/>
      <c r="J34" s="149" t="s">
        <v>435</v>
      </c>
      <c r="K34" s="51">
        <v>43661</v>
      </c>
      <c r="L34" s="53">
        <v>44439</v>
      </c>
    </row>
    <row r="35" spans="1:12" x14ac:dyDescent="0.3">
      <c r="A35" s="7"/>
      <c r="B35" s="3" t="s">
        <v>36</v>
      </c>
      <c r="C35" s="4" t="s">
        <v>432</v>
      </c>
      <c r="D35" s="5" t="s">
        <v>62</v>
      </c>
      <c r="E35" s="5"/>
      <c r="F35" s="26">
        <v>35037</v>
      </c>
      <c r="G35" s="6">
        <v>29512042100498</v>
      </c>
      <c r="H35" s="148">
        <v>46321</v>
      </c>
      <c r="I35" s="149">
        <v>636830</v>
      </c>
      <c r="J35" s="149" t="s">
        <v>128</v>
      </c>
      <c r="K35" s="51"/>
      <c r="L35" s="53">
        <v>44501</v>
      </c>
    </row>
    <row r="36" spans="1:12" x14ac:dyDescent="0.3">
      <c r="A36" s="7"/>
      <c r="B36" s="3" t="s">
        <v>36</v>
      </c>
      <c r="C36" s="4" t="s">
        <v>427</v>
      </c>
      <c r="D36" s="5" t="s">
        <v>60</v>
      </c>
      <c r="E36" s="5"/>
      <c r="F36" s="26">
        <v>31532</v>
      </c>
      <c r="G36" s="6">
        <v>28604300102652</v>
      </c>
      <c r="H36" s="148">
        <v>44524</v>
      </c>
      <c r="I36" s="149">
        <v>509550</v>
      </c>
      <c r="J36" s="149" t="s">
        <v>434</v>
      </c>
      <c r="K36" s="51">
        <v>43619</v>
      </c>
      <c r="L36" s="53">
        <v>44538</v>
      </c>
    </row>
    <row r="37" spans="1:12" x14ac:dyDescent="0.3">
      <c r="A37" s="7"/>
      <c r="B37" s="3" t="s">
        <v>36</v>
      </c>
      <c r="C37" s="4" t="s">
        <v>428</v>
      </c>
      <c r="D37" s="5" t="s">
        <v>429</v>
      </c>
      <c r="E37" s="5"/>
      <c r="F37" s="26">
        <v>34680</v>
      </c>
      <c r="G37" s="6">
        <v>29412120102597</v>
      </c>
      <c r="H37" s="148">
        <v>46050</v>
      </c>
      <c r="I37" s="149">
        <v>651901</v>
      </c>
      <c r="J37" s="149" t="s">
        <v>128</v>
      </c>
      <c r="K37" s="51">
        <v>44087</v>
      </c>
      <c r="L37" s="53">
        <v>44538</v>
      </c>
    </row>
    <row r="38" spans="1:12" x14ac:dyDescent="0.3">
      <c r="A38" s="7"/>
      <c r="B38" s="3" t="s">
        <v>36</v>
      </c>
      <c r="C38" s="4" t="s">
        <v>433</v>
      </c>
      <c r="D38" s="5" t="s">
        <v>60</v>
      </c>
      <c r="E38" s="5"/>
      <c r="F38" s="26">
        <v>33180</v>
      </c>
      <c r="G38" s="6">
        <v>29011030102275</v>
      </c>
      <c r="H38" s="148">
        <v>46459</v>
      </c>
      <c r="I38" s="149">
        <v>595593</v>
      </c>
      <c r="J38" s="149" t="s">
        <v>124</v>
      </c>
      <c r="K38" s="51">
        <v>43716</v>
      </c>
      <c r="L38" s="53">
        <v>44551</v>
      </c>
    </row>
    <row r="39" spans="1:12" x14ac:dyDescent="0.3">
      <c r="A39" s="7"/>
      <c r="B39" s="3" t="s">
        <v>37</v>
      </c>
      <c r="C39" s="4" t="s">
        <v>394</v>
      </c>
      <c r="D39" s="5" t="s">
        <v>395</v>
      </c>
      <c r="E39" s="5" t="s">
        <v>189</v>
      </c>
      <c r="F39" s="26">
        <v>34409</v>
      </c>
      <c r="G39" s="6">
        <v>29403168800351</v>
      </c>
      <c r="H39" s="148">
        <v>46822</v>
      </c>
      <c r="I39" s="149" t="s">
        <v>129</v>
      </c>
      <c r="J39" s="149" t="s">
        <v>129</v>
      </c>
      <c r="K39" s="51">
        <v>43916</v>
      </c>
      <c r="L39" s="53">
        <v>44560</v>
      </c>
    </row>
    <row r="40" spans="1:12" x14ac:dyDescent="0.3">
      <c r="A40" s="7"/>
      <c r="B40" s="3" t="s">
        <v>36</v>
      </c>
      <c r="C40" s="4" t="s">
        <v>422</v>
      </c>
      <c r="D40" s="5" t="s">
        <v>423</v>
      </c>
      <c r="E40" s="5"/>
      <c r="F40" s="26">
        <v>31120</v>
      </c>
      <c r="G40" s="6">
        <v>28503142103033</v>
      </c>
      <c r="H40" s="26">
        <v>46106</v>
      </c>
      <c r="I40" s="6">
        <v>620384</v>
      </c>
      <c r="J40" s="6" t="s">
        <v>124</v>
      </c>
      <c r="K40" s="51">
        <v>41161</v>
      </c>
      <c r="L40" s="53">
        <v>44658</v>
      </c>
    </row>
    <row r="41" spans="1:12" x14ac:dyDescent="0.3">
      <c r="A41" s="7"/>
      <c r="B41" s="3" t="s">
        <v>36</v>
      </c>
      <c r="C41" s="4" t="s">
        <v>424</v>
      </c>
      <c r="D41" s="5" t="s">
        <v>425</v>
      </c>
      <c r="E41" s="5"/>
      <c r="F41" s="26">
        <v>33527</v>
      </c>
      <c r="G41" s="6">
        <v>29110160101732</v>
      </c>
      <c r="H41" s="26">
        <v>46845</v>
      </c>
      <c r="I41" s="6">
        <v>523982</v>
      </c>
      <c r="J41" s="6" t="s">
        <v>125</v>
      </c>
      <c r="K41" s="51">
        <v>43467</v>
      </c>
      <c r="L41" s="53">
        <v>44693</v>
      </c>
    </row>
    <row r="42" spans="1:12" x14ac:dyDescent="0.3">
      <c r="A42" s="7"/>
      <c r="B42" s="3" t="s">
        <v>36</v>
      </c>
      <c r="C42" s="4" t="s">
        <v>426</v>
      </c>
      <c r="D42" s="5" t="s">
        <v>62</v>
      </c>
      <c r="E42" s="5"/>
      <c r="F42" s="26">
        <v>34100</v>
      </c>
      <c r="G42" s="6">
        <v>29305118800162</v>
      </c>
      <c r="H42" s="26">
        <v>46543</v>
      </c>
      <c r="I42" s="6">
        <v>564015</v>
      </c>
      <c r="J42" s="6" t="s">
        <v>124</v>
      </c>
      <c r="K42" s="51">
        <v>43359</v>
      </c>
      <c r="L42" s="53">
        <v>44767</v>
      </c>
    </row>
    <row r="43" spans="1:12" x14ac:dyDescent="0.3">
      <c r="A43" s="7"/>
      <c r="B43" s="3" t="s">
        <v>36</v>
      </c>
      <c r="C43" s="4" t="s">
        <v>418</v>
      </c>
      <c r="D43" s="5" t="s">
        <v>421</v>
      </c>
      <c r="E43" s="5"/>
      <c r="F43" s="26">
        <v>34897</v>
      </c>
      <c r="G43" s="6">
        <v>29507170104575</v>
      </c>
      <c r="H43" s="26">
        <v>46098</v>
      </c>
      <c r="I43" s="6">
        <v>626770</v>
      </c>
      <c r="J43" s="6" t="s">
        <v>124</v>
      </c>
      <c r="K43" s="51">
        <v>44593</v>
      </c>
      <c r="L43" s="53">
        <v>44966</v>
      </c>
    </row>
    <row r="44" spans="1:12" x14ac:dyDescent="0.3">
      <c r="A44" s="7"/>
      <c r="B44" s="3" t="s">
        <v>36</v>
      </c>
      <c r="C44" s="4" t="s">
        <v>419</v>
      </c>
      <c r="D44" s="5" t="s">
        <v>62</v>
      </c>
      <c r="E44" s="5"/>
      <c r="F44" s="26">
        <v>36499</v>
      </c>
      <c r="G44" s="6">
        <v>29912052100486</v>
      </c>
      <c r="H44" s="26">
        <v>45918</v>
      </c>
      <c r="I44" s="6">
        <v>711081</v>
      </c>
      <c r="J44" s="6" t="s">
        <v>128</v>
      </c>
      <c r="K44" s="51">
        <v>44563</v>
      </c>
      <c r="L44" s="53">
        <v>45032</v>
      </c>
    </row>
    <row r="45" spans="1:12" x14ac:dyDescent="0.3">
      <c r="A45" s="7"/>
      <c r="B45" s="3" t="s">
        <v>36</v>
      </c>
      <c r="C45" s="4" t="s">
        <v>420</v>
      </c>
      <c r="D45" s="5" t="s">
        <v>62</v>
      </c>
      <c r="E45" s="5" t="s">
        <v>81</v>
      </c>
      <c r="F45" s="26">
        <v>35719</v>
      </c>
      <c r="G45" s="6">
        <v>29710162101401</v>
      </c>
      <c r="H45" s="26">
        <v>46903</v>
      </c>
      <c r="I45" s="6">
        <v>685301</v>
      </c>
      <c r="J45" s="6" t="s">
        <v>128</v>
      </c>
      <c r="K45" s="51">
        <v>44423</v>
      </c>
      <c r="L45" s="53">
        <v>45092</v>
      </c>
    </row>
    <row r="46" spans="1:12" x14ac:dyDescent="0.3">
      <c r="A46" s="7"/>
      <c r="B46" s="3" t="s">
        <v>37</v>
      </c>
      <c r="C46" s="4" t="s">
        <v>381</v>
      </c>
      <c r="D46" s="5" t="s">
        <v>382</v>
      </c>
      <c r="E46" s="5" t="s">
        <v>75</v>
      </c>
      <c r="F46" s="26">
        <v>32930</v>
      </c>
      <c r="G46" s="6">
        <v>29002260100108</v>
      </c>
      <c r="H46" s="26">
        <v>47043</v>
      </c>
      <c r="I46" s="6" t="s">
        <v>129</v>
      </c>
      <c r="J46" s="6" t="s">
        <v>129</v>
      </c>
      <c r="K46" s="51">
        <v>42095</v>
      </c>
      <c r="L46" s="53">
        <v>45107</v>
      </c>
    </row>
    <row r="47" spans="1:12" x14ac:dyDescent="0.3">
      <c r="A47" s="7"/>
      <c r="B47" s="3" t="s">
        <v>37</v>
      </c>
      <c r="C47" s="4" t="s">
        <v>387</v>
      </c>
      <c r="D47" s="5" t="s">
        <v>388</v>
      </c>
      <c r="E47" s="5" t="s">
        <v>74</v>
      </c>
      <c r="F47" s="26">
        <v>19260</v>
      </c>
      <c r="G47" s="6">
        <v>25209230100919</v>
      </c>
      <c r="H47" s="26">
        <v>45438</v>
      </c>
      <c r="I47" s="6" t="s">
        <v>129</v>
      </c>
      <c r="J47" s="6" t="s">
        <v>129</v>
      </c>
      <c r="K47" s="51">
        <v>42743</v>
      </c>
      <c r="L47" s="53">
        <v>45107</v>
      </c>
    </row>
    <row r="48" spans="1:12" x14ac:dyDescent="0.3">
      <c r="A48" s="7"/>
      <c r="B48" s="3" t="s">
        <v>37</v>
      </c>
      <c r="C48" s="4" t="s">
        <v>386</v>
      </c>
      <c r="D48" s="5" t="s">
        <v>389</v>
      </c>
      <c r="E48" s="5" t="s">
        <v>189</v>
      </c>
      <c r="F48" s="26">
        <v>32901</v>
      </c>
      <c r="G48" s="6">
        <v>29001280200901</v>
      </c>
      <c r="H48" s="26">
        <v>45990</v>
      </c>
      <c r="I48" s="6" t="s">
        <v>129</v>
      </c>
      <c r="J48" s="6" t="s">
        <v>129</v>
      </c>
      <c r="K48" s="51">
        <v>44382</v>
      </c>
      <c r="L48" s="53">
        <v>45148</v>
      </c>
    </row>
    <row r="49" spans="1:12" x14ac:dyDescent="0.3">
      <c r="A49" s="7" t="s">
        <v>290</v>
      </c>
      <c r="B49" s="3" t="s">
        <v>36</v>
      </c>
      <c r="C49" s="4" t="s">
        <v>28</v>
      </c>
      <c r="D49" s="5" t="s">
        <v>60</v>
      </c>
      <c r="E49" s="5" t="s">
        <v>76</v>
      </c>
      <c r="F49" s="26">
        <v>33307</v>
      </c>
      <c r="G49" s="6">
        <v>29103102303116</v>
      </c>
      <c r="H49" s="26">
        <v>46988</v>
      </c>
      <c r="I49" s="6">
        <v>585163</v>
      </c>
      <c r="J49" s="6" t="s">
        <v>124</v>
      </c>
      <c r="K49" s="51">
        <v>44563</v>
      </c>
      <c r="L49" s="53">
        <v>45209</v>
      </c>
    </row>
    <row r="50" spans="1:12" x14ac:dyDescent="0.3">
      <c r="A50" s="7" t="s">
        <v>289</v>
      </c>
      <c r="B50" s="3" t="s">
        <v>36</v>
      </c>
      <c r="C50" s="4" t="s">
        <v>27</v>
      </c>
      <c r="D50" s="5" t="s">
        <v>62</v>
      </c>
      <c r="E50" s="5" t="s">
        <v>81</v>
      </c>
      <c r="F50" s="26">
        <v>36167</v>
      </c>
      <c r="G50" s="6">
        <v>29901070103172</v>
      </c>
      <c r="H50" s="26">
        <v>11098</v>
      </c>
      <c r="I50" s="6">
        <v>654196</v>
      </c>
      <c r="J50" s="6" t="s">
        <v>124</v>
      </c>
      <c r="K50" s="51">
        <v>44409</v>
      </c>
      <c r="L50" s="53">
        <v>45211</v>
      </c>
    </row>
    <row r="51" spans="1:12" x14ac:dyDescent="0.3">
      <c r="A51" s="7" t="s">
        <v>298</v>
      </c>
      <c r="B51" s="3" t="s">
        <v>37</v>
      </c>
      <c r="C51" s="4" t="s">
        <v>2</v>
      </c>
      <c r="D51" s="5" t="s">
        <v>43</v>
      </c>
      <c r="E51" s="5" t="s">
        <v>81</v>
      </c>
      <c r="F51" s="26">
        <v>29779</v>
      </c>
      <c r="G51" s="6">
        <v>28107122101805</v>
      </c>
      <c r="H51" s="26"/>
      <c r="I51" s="6"/>
      <c r="J51" s="6"/>
      <c r="K51" s="51">
        <v>43814</v>
      </c>
      <c r="L51" s="53">
        <v>45309</v>
      </c>
    </row>
    <row r="52" spans="1:12" x14ac:dyDescent="0.3">
      <c r="A52" s="7" t="s">
        <v>288</v>
      </c>
      <c r="B52" s="3" t="s">
        <v>36</v>
      </c>
      <c r="C52" s="4" t="s">
        <v>26</v>
      </c>
      <c r="D52" s="5" t="s">
        <v>61</v>
      </c>
      <c r="E52" s="5" t="s">
        <v>77</v>
      </c>
      <c r="F52" s="26">
        <v>34357</v>
      </c>
      <c r="G52" s="6">
        <v>29401232101796</v>
      </c>
      <c r="K52" s="51">
        <v>44236</v>
      </c>
      <c r="L52" s="53">
        <v>45335</v>
      </c>
    </row>
    <row r="53" spans="1:12" x14ac:dyDescent="0.3">
      <c r="A53" s="7" t="s">
        <v>471</v>
      </c>
      <c r="B53" s="3" t="s">
        <v>37</v>
      </c>
      <c r="C53" s="4" t="s">
        <v>472</v>
      </c>
      <c r="D53" s="5" t="s">
        <v>417</v>
      </c>
      <c r="E53" s="5" t="s">
        <v>189</v>
      </c>
      <c r="F53" s="26">
        <v>45302</v>
      </c>
      <c r="G53" s="6">
        <v>28609300107346</v>
      </c>
      <c r="K53" s="51">
        <v>45302</v>
      </c>
      <c r="L53" s="53">
        <v>45442</v>
      </c>
    </row>
    <row r="54" spans="1:12" x14ac:dyDescent="0.3">
      <c r="A54" s="7" t="s">
        <v>504</v>
      </c>
      <c r="B54" s="3" t="s">
        <v>37</v>
      </c>
      <c r="C54" s="4" t="s">
        <v>515</v>
      </c>
      <c r="D54" s="5" t="s">
        <v>505</v>
      </c>
      <c r="E54" s="5" t="s">
        <v>74</v>
      </c>
      <c r="F54" s="26">
        <v>36856</v>
      </c>
      <c r="G54" s="6">
        <v>30011262103079</v>
      </c>
      <c r="K54" s="51">
        <v>45397</v>
      </c>
      <c r="L54" s="53">
        <v>45442</v>
      </c>
    </row>
    <row r="55" spans="1:12" x14ac:dyDescent="0.3">
      <c r="A55" s="7" t="s">
        <v>496</v>
      </c>
      <c r="B55" s="3" t="s">
        <v>36</v>
      </c>
      <c r="C55" s="4" t="s">
        <v>497</v>
      </c>
      <c r="D55" s="5" t="s">
        <v>60</v>
      </c>
      <c r="E55" s="5" t="s">
        <v>76</v>
      </c>
      <c r="F55" s="26">
        <v>35383</v>
      </c>
      <c r="G55" s="6">
        <v>29611142103697</v>
      </c>
      <c r="K55" s="51">
        <v>45397</v>
      </c>
      <c r="L55" s="53">
        <v>45557</v>
      </c>
    </row>
    <row r="56" spans="1:12" x14ac:dyDescent="0.3">
      <c r="A56" s="7" t="s">
        <v>293</v>
      </c>
      <c r="B56" s="3" t="s">
        <v>36</v>
      </c>
      <c r="C56" s="4" t="s">
        <v>31</v>
      </c>
      <c r="D56" s="5" t="s">
        <v>57</v>
      </c>
      <c r="E56" s="5" t="s">
        <v>81</v>
      </c>
      <c r="F56" s="26">
        <v>32903</v>
      </c>
      <c r="G56" s="6">
        <v>29001300100207</v>
      </c>
      <c r="K56" s="51">
        <v>45096</v>
      </c>
      <c r="L56" s="53">
        <v>45603</v>
      </c>
    </row>
    <row r="57" spans="1:12" x14ac:dyDescent="0.3">
      <c r="A57" s="7" t="s">
        <v>291</v>
      </c>
      <c r="B57" s="3" t="s">
        <v>36</v>
      </c>
      <c r="C57" s="4" t="s">
        <v>29</v>
      </c>
      <c r="D57" s="5" t="s">
        <v>62</v>
      </c>
      <c r="E57" s="5" t="s">
        <v>81</v>
      </c>
      <c r="F57" s="26">
        <v>35643</v>
      </c>
      <c r="G57" s="6">
        <v>29708012109701</v>
      </c>
      <c r="K57" s="51">
        <v>44850</v>
      </c>
      <c r="L57" s="53">
        <v>45624</v>
      </c>
    </row>
    <row r="58" spans="1:12" x14ac:dyDescent="0.3">
      <c r="A58" s="7"/>
      <c r="B58" s="3"/>
      <c r="C58" s="4"/>
      <c r="D58" s="5"/>
      <c r="E58" s="5"/>
      <c r="F58" s="26"/>
      <c r="G58" s="6"/>
      <c r="K58" s="51"/>
      <c r="L58" s="53"/>
    </row>
    <row r="59" spans="1:12" x14ac:dyDescent="0.3">
      <c r="A59" s="7"/>
      <c r="B59" s="3"/>
      <c r="C59" s="4"/>
      <c r="D59" s="5"/>
      <c r="E59" s="5"/>
      <c r="F59" s="26"/>
      <c r="G59" s="6"/>
      <c r="K59" s="51"/>
      <c r="L59" s="53"/>
    </row>
    <row r="60" spans="1:12" x14ac:dyDescent="0.3">
      <c r="A60" s="7"/>
      <c r="B60" s="3"/>
      <c r="C60" s="4"/>
      <c r="D60" s="5"/>
      <c r="E60" s="5"/>
      <c r="F60" s="26"/>
      <c r="G60" s="6"/>
      <c r="K60" s="51"/>
      <c r="L60" s="53"/>
    </row>
    <row r="61" spans="1:12" x14ac:dyDescent="0.3">
      <c r="A61" s="7"/>
      <c r="B61" s="3"/>
      <c r="C61" s="4"/>
      <c r="D61" s="5"/>
      <c r="E61" s="5"/>
      <c r="F61" s="26"/>
      <c r="G61" s="6"/>
      <c r="K61" s="51"/>
      <c r="L61" s="53"/>
    </row>
    <row r="62" spans="1:12" x14ac:dyDescent="0.3">
      <c r="A62" s="7"/>
      <c r="B62" s="3"/>
      <c r="C62" s="4"/>
      <c r="D62" s="5"/>
      <c r="E62" s="5"/>
      <c r="F62" s="26"/>
      <c r="G62" s="6"/>
      <c r="K62" s="51"/>
      <c r="L62" s="53"/>
    </row>
    <row r="63" spans="1:12" x14ac:dyDescent="0.3">
      <c r="A63" s="7"/>
      <c r="B63" s="3"/>
      <c r="C63" s="4"/>
      <c r="D63" s="5"/>
      <c r="E63" s="5"/>
      <c r="F63" s="26"/>
      <c r="G63" s="6"/>
      <c r="K63" s="51"/>
      <c r="L63" s="53"/>
    </row>
    <row r="64" spans="1:12" x14ac:dyDescent="0.3">
      <c r="A64" s="7"/>
      <c r="B64" s="3"/>
      <c r="C64" s="4"/>
      <c r="D64" s="5"/>
      <c r="E64" s="5"/>
      <c r="F64" s="26"/>
      <c r="G64" s="6"/>
      <c r="K64" s="51"/>
      <c r="L64" s="53"/>
    </row>
    <row r="65" spans="1:12" x14ac:dyDescent="0.3">
      <c r="A65" s="7"/>
      <c r="B65" s="3"/>
      <c r="C65" s="4"/>
      <c r="D65" s="5"/>
      <c r="E65" s="5"/>
      <c r="F65" s="26"/>
      <c r="G65" s="6"/>
      <c r="K65" s="51"/>
      <c r="L65" s="53"/>
    </row>
    <row r="66" spans="1:12" x14ac:dyDescent="0.3">
      <c r="A66" s="7"/>
      <c r="B66" s="3"/>
      <c r="C66" s="4"/>
      <c r="D66" s="5"/>
      <c r="E66" s="5"/>
      <c r="F66" s="26"/>
      <c r="G66" s="6"/>
      <c r="K66" s="51"/>
      <c r="L66" s="53"/>
    </row>
    <row r="67" spans="1:12" x14ac:dyDescent="0.3">
      <c r="A67" s="7"/>
      <c r="B67" s="3"/>
      <c r="C67" s="4"/>
      <c r="D67" s="5"/>
      <c r="E67" s="5"/>
      <c r="F67" s="26"/>
      <c r="G67" s="6"/>
      <c r="K67" s="51"/>
      <c r="L67" s="53"/>
    </row>
    <row r="68" spans="1:12" x14ac:dyDescent="0.3">
      <c r="A68" s="7"/>
      <c r="B68" s="3"/>
      <c r="C68" s="4"/>
      <c r="D68" s="5"/>
      <c r="E68" s="5"/>
      <c r="F68" s="26"/>
      <c r="G68" s="6"/>
      <c r="K68" s="51"/>
      <c r="L68" s="53"/>
    </row>
    <row r="69" spans="1:12" x14ac:dyDescent="0.3">
      <c r="A69" s="7"/>
      <c r="B69" s="3"/>
      <c r="C69" s="4"/>
      <c r="D69" s="5"/>
      <c r="E69" s="5"/>
      <c r="F69" s="26"/>
      <c r="G69" s="6"/>
      <c r="K69" s="51"/>
      <c r="L69" s="53"/>
    </row>
  </sheetData>
  <autoFilter ref="A1:L57" xr:uid="{00000000-0001-0000-0300-000000000000}">
    <filterColumn colId="6" showButton="0"/>
    <filterColumn colId="8" showButton="0"/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8"/>
  <sheetViews>
    <sheetView zoomScaleNormal="100" workbookViewId="0">
      <selection activeCell="B2" sqref="B2:E2"/>
    </sheetView>
  </sheetViews>
  <sheetFormatPr defaultRowHeight="14.4" x14ac:dyDescent="0.3"/>
  <cols>
    <col min="1" max="2" width="12.77734375" style="18" customWidth="1"/>
    <col min="3" max="20" width="5.77734375" style="18" customWidth="1"/>
    <col min="21" max="16384" width="8.88671875" style="18"/>
  </cols>
  <sheetData>
    <row r="1" spans="1:15" ht="21.6" thickBot="1" x14ac:dyDescent="0.45">
      <c r="A1" s="248" t="s">
        <v>373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50"/>
    </row>
    <row r="2" spans="1:15" ht="25.2" customHeight="1" thickBot="1" x14ac:dyDescent="0.35">
      <c r="A2" s="27" t="s">
        <v>374</v>
      </c>
      <c r="B2" s="251" t="s">
        <v>496</v>
      </c>
      <c r="C2" s="251"/>
      <c r="D2" s="251"/>
      <c r="E2" s="252"/>
      <c r="F2" s="253" t="s">
        <v>35</v>
      </c>
      <c r="G2" s="254"/>
      <c r="H2" s="255"/>
      <c r="I2" s="256" t="str">
        <f>VLOOKUP(B2,AllOffice!A1:AD1005,2,)</f>
        <v>Lawyer</v>
      </c>
      <c r="J2" s="257"/>
      <c r="K2" s="257"/>
      <c r="L2" s="257"/>
      <c r="M2" s="257"/>
      <c r="N2" s="257"/>
      <c r="O2" s="258"/>
    </row>
    <row r="3" spans="1:15" ht="15" customHeight="1" thickBot="1" x14ac:dyDescent="0.35">
      <c r="A3" s="33"/>
      <c r="B3" s="34"/>
      <c r="C3" s="34"/>
      <c r="D3" s="35"/>
      <c r="E3" s="35"/>
      <c r="F3" s="36"/>
      <c r="G3" s="36"/>
      <c r="H3" s="36"/>
      <c r="I3" s="35"/>
      <c r="J3" s="35"/>
      <c r="K3" s="37"/>
      <c r="L3" s="37"/>
      <c r="M3" s="37"/>
      <c r="N3" s="34"/>
      <c r="O3" s="38"/>
    </row>
    <row r="4" spans="1:15" ht="15" customHeight="1" thickBot="1" x14ac:dyDescent="0.35">
      <c r="A4" s="259" t="s">
        <v>461</v>
      </c>
      <c r="B4" s="260"/>
      <c r="C4" s="30"/>
      <c r="D4" s="39"/>
      <c r="E4" s="39"/>
      <c r="F4" s="261"/>
      <c r="G4" s="261"/>
      <c r="H4" s="261"/>
      <c r="I4" s="262"/>
      <c r="J4" s="262"/>
      <c r="K4" s="31"/>
      <c r="L4" s="31"/>
      <c r="M4" s="31"/>
      <c r="N4" s="30"/>
      <c r="O4" s="40"/>
    </row>
    <row r="5" spans="1:15" ht="15" thickBot="1" x14ac:dyDescent="0.35">
      <c r="A5" s="219" t="s">
        <v>34</v>
      </c>
      <c r="B5" s="220"/>
      <c r="C5" s="242" t="str">
        <f>VLOOKUP(B2,AllOffice!A1:AD1005,3,)</f>
        <v>Hussien Sherif Mohamed Monier Amer</v>
      </c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4"/>
    </row>
    <row r="6" spans="1:15" x14ac:dyDescent="0.3">
      <c r="A6" s="226" t="s">
        <v>65</v>
      </c>
      <c r="B6" s="227"/>
      <c r="C6" s="245" t="str">
        <f>VLOOKUP(B2,AllOffice!A1:AD1005,17,)</f>
        <v>-</v>
      </c>
      <c r="D6" s="246"/>
      <c r="E6" s="246"/>
      <c r="F6" s="246"/>
      <c r="G6" s="246"/>
      <c r="H6" s="246"/>
      <c r="I6" s="246"/>
      <c r="J6" s="246"/>
      <c r="K6" s="246"/>
      <c r="L6" s="246"/>
      <c r="M6" s="246"/>
      <c r="N6" s="246"/>
      <c r="O6" s="247"/>
    </row>
    <row r="7" spans="1:15" x14ac:dyDescent="0.3">
      <c r="A7" s="226" t="s">
        <v>64</v>
      </c>
      <c r="B7" s="227"/>
      <c r="C7" s="238" t="str">
        <f>VLOOKUP(B2,AllOffice!A1:AD1005,4,)</f>
        <v>حسين شريف محمد منير عامر</v>
      </c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29"/>
      <c r="O7" s="230"/>
    </row>
    <row r="8" spans="1:15" x14ac:dyDescent="0.3">
      <c r="A8" s="226" t="s">
        <v>72</v>
      </c>
      <c r="B8" s="227"/>
      <c r="C8" s="238" t="str">
        <f>VLOOKUP(B2,AllOffice!A1:AD1005,5,)</f>
        <v xml:space="preserve">Associate </v>
      </c>
      <c r="D8" s="229"/>
      <c r="E8" s="229"/>
      <c r="F8" s="229"/>
      <c r="G8" s="229"/>
      <c r="H8" s="229"/>
      <c r="I8" s="229"/>
      <c r="J8" s="229"/>
      <c r="K8" s="229"/>
      <c r="L8" s="229"/>
      <c r="M8" s="229"/>
      <c r="N8" s="229"/>
      <c r="O8" s="230"/>
    </row>
    <row r="9" spans="1:15" x14ac:dyDescent="0.3">
      <c r="A9" s="226" t="s">
        <v>71</v>
      </c>
      <c r="B9" s="227"/>
      <c r="C9" s="239" t="str">
        <f>VLOOKUP(B2,AllOffice!A1:AD1005,6,)</f>
        <v>Banking &amp; Procedures</v>
      </c>
      <c r="D9" s="240"/>
      <c r="E9" s="240"/>
      <c r="F9" s="240"/>
      <c r="G9" s="240"/>
      <c r="H9" s="240"/>
      <c r="I9" s="240"/>
      <c r="J9" s="240"/>
      <c r="K9" s="240"/>
      <c r="L9" s="240"/>
      <c r="M9" s="240"/>
      <c r="N9" s="240"/>
      <c r="O9" s="241"/>
    </row>
    <row r="10" spans="1:15" ht="15" thickBot="1" x14ac:dyDescent="0.35">
      <c r="A10" s="214" t="s">
        <v>83</v>
      </c>
      <c r="B10" s="215"/>
      <c r="C10" s="203">
        <f>VLOOKUP(B2,AllOffice!A1:AD1005,22,)</f>
        <v>406</v>
      </c>
      <c r="D10" s="203"/>
      <c r="E10" s="203"/>
      <c r="F10" s="203"/>
      <c r="G10" s="203"/>
      <c r="H10" s="203"/>
      <c r="I10" s="203"/>
      <c r="J10" s="203"/>
      <c r="K10" s="203"/>
      <c r="L10" s="203"/>
      <c r="M10" s="203"/>
      <c r="N10" s="203"/>
      <c r="O10" s="204"/>
    </row>
    <row r="11" spans="1:15" ht="15" thickBot="1" x14ac:dyDescent="0.35">
      <c r="A11" s="29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2"/>
    </row>
    <row r="12" spans="1:15" ht="15" thickBot="1" x14ac:dyDescent="0.35">
      <c r="A12" s="205" t="s">
        <v>454</v>
      </c>
      <c r="B12" s="206"/>
      <c r="C12" s="235"/>
      <c r="D12" s="235"/>
      <c r="E12" s="235"/>
      <c r="F12" s="235"/>
      <c r="G12" s="235"/>
      <c r="H12" s="235"/>
      <c r="I12" s="235"/>
      <c r="J12" s="235"/>
      <c r="K12" s="235"/>
      <c r="L12" s="235"/>
      <c r="M12" s="235"/>
      <c r="N12" s="235"/>
      <c r="O12" s="236"/>
    </row>
    <row r="13" spans="1:15" x14ac:dyDescent="0.3">
      <c r="A13" s="219" t="s">
        <v>455</v>
      </c>
      <c r="B13" s="220"/>
      <c r="C13" s="237">
        <f>VLOOKUP(B2,AllOffice!A1:AD1005,7,)</f>
        <v>35383</v>
      </c>
      <c r="D13" s="222"/>
      <c r="E13" s="222"/>
      <c r="F13" s="222"/>
      <c r="G13" s="222"/>
      <c r="H13" s="222"/>
      <c r="I13" s="222"/>
      <c r="J13" s="222"/>
      <c r="K13" s="222"/>
      <c r="L13" s="222"/>
      <c r="M13" s="222"/>
      <c r="N13" s="222"/>
      <c r="O13" s="223"/>
    </row>
    <row r="14" spans="1:15" x14ac:dyDescent="0.3">
      <c r="A14" s="226" t="s">
        <v>150</v>
      </c>
      <c r="B14" s="227"/>
      <c r="C14" s="238" t="str">
        <f>VLOOKUP(B2,AllOffice!A1:AD1005,8,)</f>
        <v>Master of Laws</v>
      </c>
      <c r="D14" s="229"/>
      <c r="E14" s="229"/>
      <c r="F14" s="229"/>
      <c r="G14" s="229"/>
      <c r="H14" s="229"/>
      <c r="I14" s="229"/>
      <c r="J14" s="229"/>
      <c r="K14" s="229"/>
      <c r="L14" s="229"/>
      <c r="M14" s="229"/>
      <c r="N14" s="229"/>
      <c r="O14" s="230"/>
    </row>
    <row r="15" spans="1:15" x14ac:dyDescent="0.3">
      <c r="A15" s="211" t="s">
        <v>456</v>
      </c>
      <c r="B15" s="212"/>
      <c r="C15" s="213" t="str">
        <f>VLOOKUP(B2,AllOffice!A1:AD1005,9,)</f>
        <v>Professional Legal Practice</v>
      </c>
      <c r="D15" s="199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200"/>
    </row>
    <row r="16" spans="1:15" ht="15" thickBot="1" x14ac:dyDescent="0.35">
      <c r="A16" s="214" t="s">
        <v>463</v>
      </c>
      <c r="B16" s="215"/>
      <c r="C16" s="216" t="str">
        <f>VLOOKUP(B2,AllOffice!A1:AD1005,10,)</f>
        <v>University of Law</v>
      </c>
      <c r="D16" s="217"/>
      <c r="E16" s="217"/>
      <c r="F16" s="217"/>
      <c r="G16" s="217"/>
      <c r="H16" s="217"/>
      <c r="I16" s="217"/>
      <c r="J16" s="217"/>
      <c r="K16" s="217"/>
      <c r="L16" s="217"/>
      <c r="M16" s="217"/>
      <c r="N16" s="217"/>
      <c r="O16" s="218"/>
    </row>
    <row r="17" spans="1:15" ht="15" thickBot="1" x14ac:dyDescent="0.35">
      <c r="A17" s="29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2"/>
    </row>
    <row r="18" spans="1:15" ht="15" thickBot="1" x14ac:dyDescent="0.35">
      <c r="A18" s="205" t="s">
        <v>462</v>
      </c>
      <c r="B18" s="206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2"/>
    </row>
    <row r="19" spans="1:15" x14ac:dyDescent="0.3">
      <c r="A19" s="219" t="s">
        <v>376</v>
      </c>
      <c r="B19" s="220"/>
      <c r="C19" s="232" t="str">
        <f>VLOOKUP(B2,AllOffice!A1:AD1005,12,)</f>
        <v>-</v>
      </c>
      <c r="D19" s="233"/>
      <c r="E19" s="233"/>
      <c r="F19" s="233"/>
      <c r="G19" s="233"/>
      <c r="H19" s="233"/>
      <c r="I19" s="233"/>
      <c r="J19" s="233"/>
      <c r="K19" s="233"/>
      <c r="L19" s="233"/>
      <c r="M19" s="233"/>
      <c r="N19" s="233"/>
      <c r="O19" s="234"/>
    </row>
    <row r="20" spans="1:15" x14ac:dyDescent="0.3">
      <c r="A20" s="211" t="s">
        <v>457</v>
      </c>
      <c r="B20" s="212"/>
      <c r="C20" s="199">
        <f>VLOOKUP(B2,AllOffice!A1:AD1005,14,)</f>
        <v>47469</v>
      </c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200"/>
    </row>
    <row r="21" spans="1:15" x14ac:dyDescent="0.3">
      <c r="A21" s="211" t="s">
        <v>122</v>
      </c>
      <c r="B21" s="212"/>
      <c r="C21" s="213">
        <f>VLOOKUP(B2,AllOffice!A1:AD1005,15,)</f>
        <v>710391</v>
      </c>
      <c r="D21" s="199"/>
      <c r="E21" s="199"/>
      <c r="F21" s="199"/>
      <c r="G21" s="199"/>
      <c r="H21" s="199"/>
      <c r="I21" s="199"/>
      <c r="J21" s="199"/>
      <c r="K21" s="199"/>
      <c r="L21" s="199"/>
      <c r="M21" s="199"/>
      <c r="N21" s="199"/>
      <c r="O21" s="200"/>
    </row>
    <row r="22" spans="1:15" x14ac:dyDescent="0.3">
      <c r="A22" s="211" t="s">
        <v>458</v>
      </c>
      <c r="B22" s="212"/>
      <c r="C22" s="213" t="str">
        <f>VLOOKUP(B2,AllOffice!A1:AD1005,16,)</f>
        <v>جدول عام</v>
      </c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200"/>
    </row>
    <row r="23" spans="1:15" ht="15" thickBot="1" x14ac:dyDescent="0.35">
      <c r="A23" s="214" t="s">
        <v>265</v>
      </c>
      <c r="B23" s="215"/>
      <c r="C23" s="216" t="str">
        <f>VLOOKUP(B2,AllOffice!A1:AD1005,11,)</f>
        <v>2021</v>
      </c>
      <c r="D23" s="217"/>
      <c r="E23" s="217"/>
      <c r="F23" s="217"/>
      <c r="G23" s="217"/>
      <c r="H23" s="217"/>
      <c r="I23" s="217"/>
      <c r="J23" s="217"/>
      <c r="K23" s="217"/>
      <c r="L23" s="217"/>
      <c r="M23" s="217"/>
      <c r="N23" s="217"/>
      <c r="O23" s="218"/>
    </row>
    <row r="24" spans="1:15" ht="15" thickBot="1" x14ac:dyDescent="0.35">
      <c r="A24" s="29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2"/>
    </row>
    <row r="25" spans="1:15" ht="15" thickBot="1" x14ac:dyDescent="0.35">
      <c r="A25" s="205" t="s">
        <v>80</v>
      </c>
      <c r="B25" s="206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2"/>
    </row>
    <row r="26" spans="1:15" x14ac:dyDescent="0.3">
      <c r="A26" s="219" t="s">
        <v>121</v>
      </c>
      <c r="B26" s="220"/>
      <c r="C26" s="221">
        <f>VLOOKUP(B2,AllOffice!A1:AD1005,18,)</f>
        <v>45397</v>
      </c>
      <c r="D26" s="222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3"/>
    </row>
    <row r="27" spans="1:15" x14ac:dyDescent="0.3">
      <c r="A27" s="226" t="s">
        <v>459</v>
      </c>
      <c r="B27" s="227"/>
      <c r="C27" s="228" t="str">
        <f>VLOOKUP(B2,AllOffice!A1:AD1005,19,)</f>
        <v>Villa 26 Telal Al Guziera</v>
      </c>
      <c r="D27" s="229"/>
      <c r="E27" s="229"/>
      <c r="F27" s="229"/>
      <c r="G27" s="229"/>
      <c r="H27" s="229"/>
      <c r="I27" s="229"/>
      <c r="J27" s="229"/>
      <c r="K27" s="229"/>
      <c r="L27" s="229"/>
      <c r="M27" s="229"/>
      <c r="N27" s="229"/>
      <c r="O27" s="230"/>
    </row>
    <row r="28" spans="1:15" ht="15" thickBot="1" x14ac:dyDescent="0.35">
      <c r="A28" s="214" t="s">
        <v>120</v>
      </c>
      <c r="B28" s="215"/>
      <c r="C28" s="231" t="str">
        <f>VLOOKUP(B2,AllOffice!A1:AD1005,20,)</f>
        <v>Sheikh Zayed</v>
      </c>
      <c r="D28" s="217"/>
      <c r="E28" s="217"/>
      <c r="F28" s="217"/>
      <c r="G28" s="217"/>
      <c r="H28" s="217"/>
      <c r="I28" s="217"/>
      <c r="J28" s="217"/>
      <c r="K28" s="217"/>
      <c r="L28" s="217"/>
      <c r="M28" s="217"/>
      <c r="N28" s="217"/>
      <c r="O28" s="218"/>
    </row>
    <row r="29" spans="1:15" ht="15" thickBot="1" x14ac:dyDescent="0.35">
      <c r="A29" s="29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2"/>
    </row>
    <row r="30" spans="1:15" ht="15" thickBot="1" x14ac:dyDescent="0.35">
      <c r="A30" s="205" t="s">
        <v>464</v>
      </c>
      <c r="B30" s="206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2"/>
    </row>
    <row r="31" spans="1:15" ht="14.4" customHeight="1" x14ac:dyDescent="0.3">
      <c r="A31" s="207" t="s">
        <v>465</v>
      </c>
      <c r="B31" s="208"/>
      <c r="C31" s="209" t="str">
        <f>VLOOKUP(B2,AllOffice!A1:AD1005,23,)</f>
        <v>010-00969141</v>
      </c>
      <c r="D31" s="209"/>
      <c r="E31" s="209"/>
      <c r="F31" s="209"/>
      <c r="G31" s="209"/>
      <c r="H31" s="209"/>
      <c r="I31" s="209"/>
      <c r="J31" s="209"/>
      <c r="K31" s="209"/>
      <c r="L31" s="209"/>
      <c r="M31" s="209"/>
      <c r="N31" s="209"/>
      <c r="O31" s="210"/>
    </row>
    <row r="32" spans="1:15" ht="15" customHeight="1" thickBot="1" x14ac:dyDescent="0.35">
      <c r="A32" s="201" t="s">
        <v>466</v>
      </c>
      <c r="B32" s="202"/>
      <c r="C32" s="224" t="str">
        <f>VLOOKUP(B2,AllOffice!A1:AD1005,24,)</f>
        <v>Service Agreement</v>
      </c>
      <c r="D32" s="224"/>
      <c r="E32" s="224"/>
      <c r="F32" s="224"/>
      <c r="G32" s="224"/>
      <c r="H32" s="224"/>
      <c r="I32" s="224"/>
      <c r="J32" s="224"/>
      <c r="K32" s="224"/>
      <c r="L32" s="224"/>
      <c r="M32" s="224"/>
      <c r="N32" s="224"/>
      <c r="O32" s="225"/>
    </row>
    <row r="33" spans="1:15" ht="15" thickBot="1" x14ac:dyDescent="0.3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40"/>
    </row>
    <row r="34" spans="1:15" ht="15" thickBot="1" x14ac:dyDescent="0.35">
      <c r="A34" s="205" t="s">
        <v>460</v>
      </c>
      <c r="B34" s="206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2"/>
    </row>
    <row r="35" spans="1:15" x14ac:dyDescent="0.3">
      <c r="A35" s="207"/>
      <c r="B35" s="208"/>
      <c r="C35" s="209"/>
      <c r="D35" s="209"/>
      <c r="E35" s="209"/>
      <c r="F35" s="209"/>
      <c r="G35" s="209"/>
      <c r="H35" s="209"/>
      <c r="I35" s="209"/>
      <c r="J35" s="209"/>
      <c r="K35" s="209"/>
      <c r="L35" s="209"/>
      <c r="M35" s="209"/>
      <c r="N35" s="209"/>
      <c r="O35" s="210"/>
    </row>
    <row r="36" spans="1:15" x14ac:dyDescent="0.3">
      <c r="A36" s="197"/>
      <c r="B36" s="198"/>
      <c r="C36" s="199"/>
      <c r="D36" s="199"/>
      <c r="E36" s="199"/>
      <c r="F36" s="199"/>
      <c r="G36" s="199"/>
      <c r="H36" s="199"/>
      <c r="I36" s="199"/>
      <c r="J36" s="199"/>
      <c r="K36" s="199"/>
      <c r="L36" s="199"/>
      <c r="M36" s="199"/>
      <c r="N36" s="199"/>
      <c r="O36" s="200"/>
    </row>
    <row r="37" spans="1:15" x14ac:dyDescent="0.3">
      <c r="A37" s="197"/>
      <c r="B37" s="198"/>
      <c r="C37" s="199"/>
      <c r="D37" s="199"/>
      <c r="E37" s="199"/>
      <c r="F37" s="199"/>
      <c r="G37" s="199"/>
      <c r="H37" s="199"/>
      <c r="I37" s="199"/>
      <c r="J37" s="199"/>
      <c r="K37" s="199"/>
      <c r="L37" s="199"/>
      <c r="M37" s="199"/>
      <c r="N37" s="199"/>
      <c r="O37" s="200"/>
    </row>
    <row r="38" spans="1:15" ht="15" thickBot="1" x14ac:dyDescent="0.35">
      <c r="A38" s="201"/>
      <c r="B38" s="202"/>
      <c r="C38" s="203"/>
      <c r="D38" s="203"/>
      <c r="E38" s="203"/>
      <c r="F38" s="203"/>
      <c r="G38" s="203"/>
      <c r="H38" s="203"/>
      <c r="I38" s="203"/>
      <c r="J38" s="203"/>
      <c r="K38" s="203"/>
      <c r="L38" s="203"/>
      <c r="M38" s="203"/>
      <c r="N38" s="203"/>
      <c r="O38" s="204"/>
    </row>
  </sheetData>
  <mergeCells count="61">
    <mergeCell ref="A1:O1"/>
    <mergeCell ref="B2:E2"/>
    <mergeCell ref="F2:H2"/>
    <mergeCell ref="I2:O2"/>
    <mergeCell ref="A4:B4"/>
    <mergeCell ref="F4:H4"/>
    <mergeCell ref="I4:J4"/>
    <mergeCell ref="A5:B5"/>
    <mergeCell ref="C5:O5"/>
    <mergeCell ref="A6:B6"/>
    <mergeCell ref="C6:O6"/>
    <mergeCell ref="A7:B7"/>
    <mergeCell ref="C7:O7"/>
    <mergeCell ref="A8:B8"/>
    <mergeCell ref="C8:O8"/>
    <mergeCell ref="A9:B9"/>
    <mergeCell ref="C9:O9"/>
    <mergeCell ref="A10:B10"/>
    <mergeCell ref="C10:O10"/>
    <mergeCell ref="A19:B19"/>
    <mergeCell ref="C19:O19"/>
    <mergeCell ref="A20:B20"/>
    <mergeCell ref="C20:O20"/>
    <mergeCell ref="A12:B12"/>
    <mergeCell ref="C12:O12"/>
    <mergeCell ref="A13:B13"/>
    <mergeCell ref="C13:O13"/>
    <mergeCell ref="A14:B14"/>
    <mergeCell ref="C14:O14"/>
    <mergeCell ref="A15:B15"/>
    <mergeCell ref="C15:O15"/>
    <mergeCell ref="A16:B16"/>
    <mergeCell ref="C16:O16"/>
    <mergeCell ref="A18:B18"/>
    <mergeCell ref="A25:B25"/>
    <mergeCell ref="A26:B26"/>
    <mergeCell ref="C26:O26"/>
    <mergeCell ref="A32:B32"/>
    <mergeCell ref="C32:O32"/>
    <mergeCell ref="A27:B27"/>
    <mergeCell ref="C27:O27"/>
    <mergeCell ref="A28:B28"/>
    <mergeCell ref="C28:O28"/>
    <mergeCell ref="A30:B30"/>
    <mergeCell ref="A31:B31"/>
    <mergeCell ref="C31:O31"/>
    <mergeCell ref="A21:B21"/>
    <mergeCell ref="C21:O21"/>
    <mergeCell ref="A22:B22"/>
    <mergeCell ref="C22:O22"/>
    <mergeCell ref="A23:B23"/>
    <mergeCell ref="C23:O23"/>
    <mergeCell ref="A37:B37"/>
    <mergeCell ref="C37:O37"/>
    <mergeCell ref="A38:B38"/>
    <mergeCell ref="C38:O38"/>
    <mergeCell ref="A34:B34"/>
    <mergeCell ref="A35:B35"/>
    <mergeCell ref="C35:O35"/>
    <mergeCell ref="A36:B36"/>
    <mergeCell ref="C36:O36"/>
  </mergeCells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AllOffice</vt:lpstr>
      <vt:lpstr>Contracts</vt:lpstr>
      <vt:lpstr>Personnel</vt:lpstr>
      <vt:lpstr>Resigned</vt:lpstr>
      <vt:lpstr>Employee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2026-01-06T08:52:14Z</dcterms:modified>
</cp:coreProperties>
</file>