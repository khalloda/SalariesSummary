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Claude\SalariesSummary\"/>
    </mc:Choice>
  </mc:AlternateContent>
  <xr:revisionPtr revIDLastSave="0" documentId="13_ncr:1_{A45B95D6-9105-43F3-8404-4CE67D3B51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4" r:id="rId1"/>
    <sheet name="AnnualSlip" sheetId="6" r:id="rId2"/>
  </sheets>
  <definedNames>
    <definedName name="_xlnm.Print_Area" localSheetId="0">'2026'!$A$1:$L$50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4" l="1"/>
  <c r="H45" i="4"/>
  <c r="H46" i="4"/>
  <c r="H47" i="4"/>
  <c r="H43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22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7" i="4"/>
  <c r="H5" i="4"/>
  <c r="H4" i="4"/>
  <c r="M6" i="4"/>
  <c r="M21" i="4"/>
  <c r="M48" i="4"/>
  <c r="M49" i="4" s="1"/>
  <c r="M42" i="4"/>
  <c r="M50" i="4" s="1"/>
  <c r="P3" i="4"/>
  <c r="P44" i="4"/>
  <c r="P45" i="4"/>
  <c r="P46" i="4"/>
  <c r="P47" i="4"/>
  <c r="P43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22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7" i="4"/>
  <c r="P5" i="4"/>
  <c r="P4" i="4"/>
  <c r="C4" i="6" l="1"/>
  <c r="N47" i="4" l="1"/>
  <c r="O47" i="4"/>
  <c r="O46" i="4"/>
  <c r="N46" i="4"/>
  <c r="N45" i="4"/>
  <c r="O45" i="4"/>
  <c r="O44" i="4"/>
  <c r="N44" i="4"/>
  <c r="O43" i="4"/>
  <c r="N43" i="4"/>
  <c r="N41" i="4"/>
  <c r="O40" i="4"/>
  <c r="N40" i="4"/>
  <c r="O39" i="4"/>
  <c r="N38" i="4"/>
  <c r="O38" i="4"/>
  <c r="O37" i="4"/>
  <c r="N37" i="4"/>
  <c r="O36" i="4"/>
  <c r="O35" i="4"/>
  <c r="N34" i="4"/>
  <c r="O34" i="4"/>
  <c r="O33" i="4"/>
  <c r="O32" i="4"/>
  <c r="O31" i="4"/>
  <c r="O30" i="4"/>
  <c r="O29" i="4"/>
  <c r="O28" i="4"/>
  <c r="N28" i="4"/>
  <c r="O27" i="4"/>
  <c r="O26" i="4"/>
  <c r="O25" i="4"/>
  <c r="O24" i="4"/>
  <c r="O22" i="4"/>
  <c r="O20" i="4"/>
  <c r="N20" i="4"/>
  <c r="O19" i="4"/>
  <c r="O18" i="4"/>
  <c r="O17" i="4"/>
  <c r="N16" i="4"/>
  <c r="N15" i="4"/>
  <c r="N14" i="4"/>
  <c r="O13" i="4"/>
  <c r="O12" i="4"/>
  <c r="N12" i="4"/>
  <c r="N11" i="4"/>
  <c r="N10" i="4"/>
  <c r="O9" i="4"/>
  <c r="N8" i="4"/>
  <c r="O4" i="4"/>
  <c r="O3" i="4"/>
  <c r="G59" i="4"/>
  <c r="G55" i="4"/>
  <c r="L48" i="4"/>
  <c r="H48" i="4"/>
  <c r="F48" i="4"/>
  <c r="E48" i="4"/>
  <c r="J47" i="4"/>
  <c r="I47" i="4"/>
  <c r="K47" i="4" s="1"/>
  <c r="G47" i="4"/>
  <c r="J46" i="4"/>
  <c r="I46" i="4"/>
  <c r="K46" i="4" s="1"/>
  <c r="G46" i="4"/>
  <c r="J45" i="4"/>
  <c r="I45" i="4"/>
  <c r="K45" i="4" s="1"/>
  <c r="G45" i="4"/>
  <c r="J44" i="4"/>
  <c r="I44" i="4"/>
  <c r="K44" i="4" s="1"/>
  <c r="G44" i="4"/>
  <c r="J43" i="4"/>
  <c r="I43" i="4"/>
  <c r="K43" i="4" s="1"/>
  <c r="G43" i="4"/>
  <c r="L42" i="4"/>
  <c r="H42" i="4"/>
  <c r="F42" i="4"/>
  <c r="E42" i="4"/>
  <c r="J41" i="4"/>
  <c r="I41" i="4"/>
  <c r="K41" i="4" s="1"/>
  <c r="G41" i="4"/>
  <c r="J40" i="4"/>
  <c r="I40" i="4"/>
  <c r="K40" i="4" s="1"/>
  <c r="G40" i="4"/>
  <c r="J39" i="4"/>
  <c r="I39" i="4"/>
  <c r="K39" i="4" s="1"/>
  <c r="G39" i="4"/>
  <c r="J38" i="4"/>
  <c r="I38" i="4"/>
  <c r="K38" i="4" s="1"/>
  <c r="G38" i="4"/>
  <c r="J37" i="4"/>
  <c r="I37" i="4"/>
  <c r="K37" i="4" s="1"/>
  <c r="G37" i="4"/>
  <c r="J36" i="4"/>
  <c r="I36" i="4"/>
  <c r="K36" i="4" s="1"/>
  <c r="G36" i="4"/>
  <c r="J35" i="4"/>
  <c r="I35" i="4"/>
  <c r="K35" i="4" s="1"/>
  <c r="G35" i="4"/>
  <c r="J34" i="4"/>
  <c r="I34" i="4"/>
  <c r="K34" i="4" s="1"/>
  <c r="G34" i="4"/>
  <c r="J33" i="4"/>
  <c r="I33" i="4"/>
  <c r="K33" i="4" s="1"/>
  <c r="G33" i="4"/>
  <c r="J32" i="4"/>
  <c r="I32" i="4"/>
  <c r="K32" i="4" s="1"/>
  <c r="G32" i="4"/>
  <c r="J31" i="4"/>
  <c r="I31" i="4"/>
  <c r="K31" i="4" s="1"/>
  <c r="G31" i="4"/>
  <c r="J30" i="4"/>
  <c r="I30" i="4"/>
  <c r="K30" i="4" s="1"/>
  <c r="G30" i="4"/>
  <c r="J29" i="4"/>
  <c r="I29" i="4"/>
  <c r="K29" i="4" s="1"/>
  <c r="G29" i="4"/>
  <c r="J28" i="4"/>
  <c r="I28" i="4"/>
  <c r="K28" i="4" s="1"/>
  <c r="G28" i="4"/>
  <c r="J27" i="4"/>
  <c r="I27" i="4"/>
  <c r="K27" i="4" s="1"/>
  <c r="G27" i="4"/>
  <c r="J26" i="4"/>
  <c r="I26" i="4"/>
  <c r="K26" i="4" s="1"/>
  <c r="G26" i="4"/>
  <c r="J25" i="4"/>
  <c r="I25" i="4"/>
  <c r="K25" i="4" s="1"/>
  <c r="G25" i="4"/>
  <c r="J24" i="4"/>
  <c r="I24" i="4"/>
  <c r="K24" i="4" s="1"/>
  <c r="G24" i="4"/>
  <c r="J23" i="4"/>
  <c r="I23" i="4"/>
  <c r="G23" i="4"/>
  <c r="J22" i="4"/>
  <c r="I22" i="4"/>
  <c r="K22" i="4" s="1"/>
  <c r="G22" i="4"/>
  <c r="L21" i="4"/>
  <c r="H21" i="4"/>
  <c r="F21" i="4"/>
  <c r="E21" i="4"/>
  <c r="J20" i="4"/>
  <c r="I20" i="4"/>
  <c r="K20" i="4" s="1"/>
  <c r="G20" i="4"/>
  <c r="J19" i="4"/>
  <c r="I19" i="4"/>
  <c r="K19" i="4" s="1"/>
  <c r="G19" i="4"/>
  <c r="J18" i="4"/>
  <c r="I18" i="4"/>
  <c r="K18" i="4" s="1"/>
  <c r="G18" i="4"/>
  <c r="J17" i="4"/>
  <c r="I17" i="4"/>
  <c r="K17" i="4" s="1"/>
  <c r="G17" i="4"/>
  <c r="J16" i="4"/>
  <c r="I16" i="4"/>
  <c r="K16" i="4" s="1"/>
  <c r="G16" i="4"/>
  <c r="J15" i="4"/>
  <c r="I15" i="4"/>
  <c r="G15" i="4"/>
  <c r="J14" i="4"/>
  <c r="I14" i="4"/>
  <c r="K14" i="4" s="1"/>
  <c r="G14" i="4"/>
  <c r="J13" i="4"/>
  <c r="I13" i="4"/>
  <c r="K13" i="4" s="1"/>
  <c r="G13" i="4"/>
  <c r="J12" i="4"/>
  <c r="I12" i="4"/>
  <c r="K12" i="4" s="1"/>
  <c r="G12" i="4"/>
  <c r="J11" i="4"/>
  <c r="I11" i="4"/>
  <c r="K11" i="4" s="1"/>
  <c r="G11" i="4"/>
  <c r="J10" i="4"/>
  <c r="I10" i="4"/>
  <c r="K10" i="4" s="1"/>
  <c r="G10" i="4"/>
  <c r="J9" i="4"/>
  <c r="I9" i="4"/>
  <c r="K9" i="4" s="1"/>
  <c r="G9" i="4"/>
  <c r="J8" i="4"/>
  <c r="I8" i="4"/>
  <c r="K8" i="4" s="1"/>
  <c r="G8" i="4"/>
  <c r="J7" i="4"/>
  <c r="I7" i="4"/>
  <c r="K7" i="4" s="1"/>
  <c r="G7" i="4"/>
  <c r="L6" i="4"/>
  <c r="H6" i="4"/>
  <c r="F6" i="4"/>
  <c r="E6" i="4"/>
  <c r="J5" i="4"/>
  <c r="I5" i="4"/>
  <c r="K5" i="4" s="1"/>
  <c r="G5" i="4"/>
  <c r="J4" i="4"/>
  <c r="I4" i="4"/>
  <c r="K4" i="4" s="1"/>
  <c r="G4" i="4"/>
  <c r="J3" i="4"/>
  <c r="I3" i="4"/>
  <c r="K3" i="4" s="1"/>
  <c r="G3" i="4"/>
  <c r="J48" i="4" l="1"/>
  <c r="G42" i="4"/>
  <c r="L50" i="4"/>
  <c r="P48" i="4"/>
  <c r="L49" i="4"/>
  <c r="P6" i="4"/>
  <c r="H50" i="4"/>
  <c r="G6" i="4"/>
  <c r="J42" i="4"/>
  <c r="H49" i="4"/>
  <c r="D54" i="4" s="1"/>
  <c r="K23" i="4"/>
  <c r="B6" i="6"/>
  <c r="C6" i="6" s="1"/>
  <c r="J6" i="4"/>
  <c r="J21" i="4"/>
  <c r="G21" i="4"/>
  <c r="E49" i="4"/>
  <c r="C54" i="4" s="1"/>
  <c r="E50" i="4"/>
  <c r="C58" i="4" s="1"/>
  <c r="O41" i="4"/>
  <c r="N36" i="4"/>
  <c r="N33" i="4"/>
  <c r="N32" i="4"/>
  <c r="N30" i="4"/>
  <c r="N29" i="4"/>
  <c r="N26" i="4"/>
  <c r="N25" i="4"/>
  <c r="N24" i="4"/>
  <c r="P42" i="4"/>
  <c r="N17" i="4"/>
  <c r="O15" i="4"/>
  <c r="O16" i="4"/>
  <c r="O14" i="4"/>
  <c r="N13" i="4"/>
  <c r="O11" i="4"/>
  <c r="N22" i="4"/>
  <c r="O10" i="4"/>
  <c r="N9" i="4"/>
  <c r="P21" i="4"/>
  <c r="O8" i="4"/>
  <c r="O7" i="4"/>
  <c r="O5" i="4"/>
  <c r="D6" i="6"/>
  <c r="F49" i="4"/>
  <c r="E54" i="4" s="1"/>
  <c r="F50" i="4"/>
  <c r="E58" i="4" s="1"/>
  <c r="I21" i="4"/>
  <c r="K6" i="4"/>
  <c r="I42" i="4"/>
  <c r="I48" i="4"/>
  <c r="N3" i="4"/>
  <c r="N23" i="4"/>
  <c r="N27" i="4"/>
  <c r="N31" i="4"/>
  <c r="N35" i="4"/>
  <c r="N39" i="4"/>
  <c r="O23" i="4"/>
  <c r="N5" i="4"/>
  <c r="N7" i="4"/>
  <c r="N19" i="4"/>
  <c r="N4" i="4"/>
  <c r="N18" i="4"/>
  <c r="K42" i="4"/>
  <c r="K48" i="4"/>
  <c r="D58" i="4"/>
  <c r="K15" i="4"/>
  <c r="K21" i="4" s="1"/>
  <c r="I6" i="4"/>
  <c r="G48" i="4"/>
  <c r="J50" i="4" l="1"/>
  <c r="G49" i="4"/>
  <c r="J49" i="4"/>
  <c r="C55" i="4"/>
  <c r="C59" i="4"/>
  <c r="G50" i="4"/>
  <c r="B7" i="6"/>
  <c r="P50" i="4"/>
  <c r="P49" i="4"/>
  <c r="I50" i="4"/>
  <c r="F58" i="4" s="1"/>
  <c r="E59" i="4" s="1"/>
  <c r="I49" i="4"/>
  <c r="F54" i="4" s="1"/>
  <c r="E55" i="4" s="1"/>
  <c r="K49" i="4"/>
  <c r="K50" i="4"/>
</calcChain>
</file>

<file path=xl/sharedStrings.xml><?xml version="1.0" encoding="utf-8"?>
<sst xmlns="http://schemas.openxmlformats.org/spreadsheetml/2006/main" count="135" uniqueCount="110">
  <si>
    <t>#</t>
  </si>
  <si>
    <t>Name</t>
  </si>
  <si>
    <t>Title</t>
  </si>
  <si>
    <t>Joining Date</t>
  </si>
  <si>
    <t>Net 2025</t>
  </si>
  <si>
    <t>Gross 2025</t>
  </si>
  <si>
    <t>Reflected in Months basis</t>
  </si>
  <si>
    <t>Reflected in % basis</t>
  </si>
  <si>
    <t>Notes</t>
  </si>
  <si>
    <t>Managing Partner</t>
  </si>
  <si>
    <t>Founder</t>
  </si>
  <si>
    <t>Senior Partner</t>
  </si>
  <si>
    <t>Partners Total</t>
  </si>
  <si>
    <t xml:space="preserve"> Senior Associate Litigation DEPT</t>
  </si>
  <si>
    <t xml:space="preserve">Senior Associate Corporate Procedures </t>
  </si>
  <si>
    <t xml:space="preserve"> Senior Associate Arbt DEPT</t>
  </si>
  <si>
    <t>Associate Litigation DEPT</t>
  </si>
  <si>
    <t>Associate - Banking</t>
  </si>
  <si>
    <t>Junior  Associate</t>
  </si>
  <si>
    <t>Lawyers Total</t>
  </si>
  <si>
    <t>Admin &amp; HR Manager</t>
  </si>
  <si>
    <t xml:space="preserve">Senior Systems Engineer </t>
  </si>
  <si>
    <t>Accounting Manager</t>
  </si>
  <si>
    <t xml:space="preserve">Senior Admin Assistant </t>
  </si>
  <si>
    <t>Executive Assistant</t>
  </si>
  <si>
    <t xml:space="preserve">Admin Assistant </t>
  </si>
  <si>
    <t xml:space="preserve">Follow-Up Coordinator </t>
  </si>
  <si>
    <t xml:space="preserve">Librarian </t>
  </si>
  <si>
    <t>HR Generalist</t>
  </si>
  <si>
    <t>Supervisor of Paralegal Group</t>
  </si>
  <si>
    <t xml:space="preserve">Paralegal </t>
  </si>
  <si>
    <t xml:space="preserve">Typist </t>
  </si>
  <si>
    <t xml:space="preserve">Messenger </t>
  </si>
  <si>
    <t xml:space="preserve">Office Boy </t>
  </si>
  <si>
    <t xml:space="preserve">Dr. Hani's Messenger </t>
  </si>
  <si>
    <t xml:space="preserve">Dr. Hani's Driver </t>
  </si>
  <si>
    <t xml:space="preserve">Receptionist &amp; Office Secretary </t>
  </si>
  <si>
    <t>Junior  Accountant</t>
  </si>
  <si>
    <t>Admins Total</t>
  </si>
  <si>
    <t xml:space="preserve">Communication Consultant </t>
  </si>
  <si>
    <t>Sep 2017</t>
  </si>
  <si>
    <t>Senior Legal Consultant</t>
  </si>
  <si>
    <t>Dec 2018</t>
  </si>
  <si>
    <t>Nov 2018</t>
  </si>
  <si>
    <t>Legal Consultant</t>
  </si>
  <si>
    <t>Consultants Total</t>
  </si>
  <si>
    <t>Grand Totals</t>
  </si>
  <si>
    <t>Ratios</t>
  </si>
  <si>
    <t>Grand Totals without Consultant</t>
  </si>
  <si>
    <t>Ratios without Consultant</t>
  </si>
  <si>
    <t>% For Gross Increase</t>
  </si>
  <si>
    <t>Partner</t>
  </si>
  <si>
    <t>Annual Slip</t>
  </si>
  <si>
    <t>Monthly Gross</t>
  </si>
  <si>
    <t>Other</t>
  </si>
  <si>
    <t>Row Number</t>
  </si>
  <si>
    <t>Bonus 2024</t>
  </si>
  <si>
    <t xml:space="preserve">Signature </t>
  </si>
  <si>
    <t xml:space="preserve">Date </t>
  </si>
  <si>
    <t>Comments if Any</t>
  </si>
  <si>
    <t>Annual Gross 2025</t>
  </si>
  <si>
    <t>أ/خالد محمد حلمى</t>
  </si>
  <si>
    <t>أ/ إيهاب حمدى إبراهيم امام</t>
  </si>
  <si>
    <t>ا / اميره شــريف</t>
  </si>
  <si>
    <t>د/هانى صلاح الدين محمد سري الدين</t>
  </si>
  <si>
    <t>أ/ أحمد سعيد أحمد محمد علي</t>
  </si>
  <si>
    <t>أ/ عبدالرحمن أحمد عبدالعزيز حسن</t>
  </si>
  <si>
    <t>أ/أحمد سيف الدين أبو بكر سري الدين</t>
  </si>
  <si>
    <t>أ/احمد ابو العباس محمد الاتربي</t>
  </si>
  <si>
    <t>أ/حبيبة محمود سمير محمود عيسى</t>
  </si>
  <si>
    <t>أ/عبد الله عمرو حافظ</t>
  </si>
  <si>
    <t>أ/كريم ايمن محمد عادل</t>
  </si>
  <si>
    <t>أ/ليلي امين محمد امين طموم</t>
  </si>
  <si>
    <t>أ/محمد حمدى كامل</t>
  </si>
  <si>
    <t>أ/محمد عبد العزيز عبدالحافظ</t>
  </si>
  <si>
    <t>أ/منة الله البلتاجى</t>
  </si>
  <si>
    <t>أ/ناجى رمضان أمين محمد</t>
  </si>
  <si>
    <t>أ/نهى عمرو محمد رضوان</t>
  </si>
  <si>
    <t>أ/هاني أحمد الدالي</t>
  </si>
  <si>
    <t>أ/ أحمد محمد رزق</t>
  </si>
  <si>
    <t>أ/ أحمد محمد عبدالسلام</t>
  </si>
  <si>
    <t>أ/ إيمان صبحى شكرى</t>
  </si>
  <si>
    <t>أ/ محمود على محمود حسين</t>
  </si>
  <si>
    <t>أ/ مروة شريف عبدالحميد سلامة</t>
  </si>
  <si>
    <t>أ/ نيرمين عصمت محمد حجازي</t>
  </si>
  <si>
    <t>أ/أحمد سمير حسن السيد</t>
  </si>
  <si>
    <t>أ/حازم ابراهيم عبد الحميد محمد فتاتة</t>
  </si>
  <si>
    <t>أ/دعاء عبد الدايم إبراهيم نصار</t>
  </si>
  <si>
    <t>أ/سامي ابراهيم محمد</t>
  </si>
  <si>
    <t>أ/شريف شكرى محمد</t>
  </si>
  <si>
    <t>أ/طارق محمد جمعه</t>
  </si>
  <si>
    <t>أ/عاصم محمد سعيد عبده</t>
  </si>
  <si>
    <t>أ/عمرو عبد الكريم صقر</t>
  </si>
  <si>
    <t>أ/محمد حسن محمد كامل</t>
  </si>
  <si>
    <t>أ/محمد عبدالجواد محمد</t>
  </si>
  <si>
    <t>أ/مختار احمد المجدلي</t>
  </si>
  <si>
    <t>أ/منه الله محب عبدالغفار السيد</t>
  </si>
  <si>
    <t>أ/ محمد فاروق عبد الحليم</t>
  </si>
  <si>
    <t>أ/هالة فوزي</t>
  </si>
  <si>
    <t>د/أمجد سعيد</t>
  </si>
  <si>
    <t>د/أمينة العطيفي</t>
  </si>
  <si>
    <t>د/وليد رزق</t>
  </si>
  <si>
    <t>د/ أحمد بغدادي رشدي محمد</t>
  </si>
  <si>
    <t>Manual Increase % (Net2026)</t>
  </si>
  <si>
    <t>Net 2026</t>
  </si>
  <si>
    <t>Gross 2026</t>
  </si>
  <si>
    <t>Current vs 2026 Salary (Net)</t>
  </si>
  <si>
    <t>Current vs 2026 Salary (Gross)</t>
  </si>
  <si>
    <t>Final 2024 VS 2025</t>
  </si>
  <si>
    <t>Bonus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</si>
</sst>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4C09]d\ mmm\ yyyy;@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>
      <alignment vertical="center"/>
    </xf>
    <xf numFmtId="0" fontId="2" fillId="0" borderId="0"/>
    <xf numFmtId="43" fontId="5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0" fontId="6" fillId="3" borderId="3" xfId="0" applyFont="1" applyFill="1" applyBorder="1"/>
    <xf numFmtId="0" fontId="6" fillId="3" borderId="7" xfId="0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3" fontId="6" fillId="0" borderId="19" xfId="3" applyFont="1" applyBorder="1" applyAlignment="1">
      <alignment horizontal="center" vertical="center"/>
    </xf>
    <xf numFmtId="43" fontId="6" fillId="0" borderId="20" xfId="3" applyFont="1" applyBorder="1" applyAlignment="1">
      <alignment horizontal="center" vertical="center"/>
    </xf>
    <xf numFmtId="43" fontId="6" fillId="0" borderId="21" xfId="3" applyFont="1" applyBorder="1" applyAlignment="1">
      <alignment horizontal="center" vertical="center"/>
    </xf>
    <xf numFmtId="0" fontId="1" fillId="0" borderId="0" xfId="0" applyFont="1"/>
    <xf numFmtId="0" fontId="0" fillId="0" borderId="6" xfId="0" applyBorder="1"/>
    <xf numFmtId="0" fontId="1" fillId="0" borderId="6" xfId="0" applyFont="1" applyBorder="1" applyAlignment="1">
      <alignment horizontal="center"/>
    </xf>
    <xf numFmtId="43" fontId="0" fillId="0" borderId="6" xfId="0" applyNumberFormat="1" applyBorder="1"/>
    <xf numFmtId="43" fontId="0" fillId="0" borderId="6" xfId="3" applyFont="1" applyBorder="1"/>
    <xf numFmtId="164" fontId="0" fillId="0" borderId="0" xfId="0" applyNumberFormat="1"/>
    <xf numFmtId="9" fontId="0" fillId="0" borderId="0" xfId="1" applyFont="1" applyAlignment="1"/>
    <xf numFmtId="0" fontId="0" fillId="0" borderId="6" xfId="0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9" fontId="0" fillId="5" borderId="9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43" fontId="3" fillId="0" borderId="1" xfId="3" applyFont="1" applyBorder="1" applyAlignment="1">
      <alignment horizontal="center" vertical="center"/>
    </xf>
    <xf numFmtId="43" fontId="3" fillId="0" borderId="2" xfId="3" applyFont="1" applyBorder="1" applyAlignment="1">
      <alignment horizontal="center" vertical="center"/>
    </xf>
    <xf numFmtId="43" fontId="3" fillId="0" borderId="9" xfId="3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6" borderId="24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9" fontId="0" fillId="6" borderId="22" xfId="1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9" fontId="0" fillId="6" borderId="2" xfId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9" fontId="0" fillId="7" borderId="2" xfId="1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9" fontId="0" fillId="8" borderId="2" xfId="1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6" borderId="22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164" fontId="7" fillId="4" borderId="25" xfId="0" applyNumberFormat="1" applyFont="1" applyFill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6" borderId="27" xfId="0" applyNumberFormat="1" applyFill="1" applyBorder="1" applyAlignment="1">
      <alignment horizontal="center" vertical="center"/>
    </xf>
    <xf numFmtId="164" fontId="0" fillId="6" borderId="25" xfId="0" applyNumberFormat="1" applyFill="1" applyBorder="1" applyAlignment="1">
      <alignment horizontal="center" vertical="center"/>
    </xf>
    <xf numFmtId="164" fontId="0" fillId="7" borderId="25" xfId="0" applyNumberFormat="1" applyFill="1" applyBorder="1" applyAlignment="1">
      <alignment horizontal="center" vertical="center"/>
    </xf>
    <xf numFmtId="164" fontId="0" fillId="8" borderId="25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9" fontId="7" fillId="9" borderId="2" xfId="1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2" defaultPivotStyle="PivotStyleLight16"/>
  <colors>
    <mruColors>
      <color rgb="FFFFFF99"/>
      <color rgb="FFCC66FF"/>
      <color rgb="FFE9C6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1915064</xdr:colOff>
      <xdr:row>0</xdr:row>
      <xdr:rowOff>772750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7820A-D658-4715-1DE7-E00D6B8B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36166" cy="77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F444-814F-40EC-AB5A-129330C97DD8}">
  <sheetPr>
    <pageSetUpPr fitToPage="1"/>
  </sheetPr>
  <dimension ref="A1:Q59"/>
  <sheetViews>
    <sheetView tabSelected="1" zoomScale="40" zoomScaleNormal="4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W4" sqref="W4"/>
    </sheetView>
  </sheetViews>
  <sheetFormatPr defaultColWidth="9" defaultRowHeight="35.1" customHeight="1"/>
  <cols>
    <col min="1" max="1" width="19.33203125" customWidth="1"/>
    <col min="2" max="3" width="25.77734375" customWidth="1"/>
    <col min="4" max="4" width="25.77734375" style="15" customWidth="1"/>
    <col min="5" max="6" width="25.77734375" customWidth="1"/>
    <col min="7" max="7" width="25.77734375" style="16" customWidth="1"/>
    <col min="8" max="13" width="25.77734375" customWidth="1"/>
    <col min="14" max="14" width="30" customWidth="1"/>
    <col min="15" max="17" width="25.77734375" customWidth="1"/>
  </cols>
  <sheetData>
    <row r="1" spans="1:17" ht="36.75" customHeight="1" thickBot="1">
      <c r="G1" s="23" t="s">
        <v>50</v>
      </c>
      <c r="H1" s="24">
        <v>0.1</v>
      </c>
    </row>
    <row r="2" spans="1:17" s="45" customFormat="1" ht="126.3" customHeight="1" thickBot="1">
      <c r="A2" s="43" t="s">
        <v>0</v>
      </c>
      <c r="B2" s="44" t="s">
        <v>1</v>
      </c>
      <c r="C2" s="44" t="s">
        <v>2</v>
      </c>
      <c r="D2" s="70" t="s">
        <v>3</v>
      </c>
      <c r="E2" s="87" t="s">
        <v>4</v>
      </c>
      <c r="F2" s="88" t="s">
        <v>5</v>
      </c>
      <c r="G2" s="89" t="s">
        <v>103</v>
      </c>
      <c r="H2" s="88" t="s">
        <v>104</v>
      </c>
      <c r="I2" s="88" t="s">
        <v>105</v>
      </c>
      <c r="J2" s="88" t="s">
        <v>106</v>
      </c>
      <c r="K2" s="90" t="s">
        <v>107</v>
      </c>
      <c r="L2" s="91" t="s">
        <v>56</v>
      </c>
      <c r="M2" s="92" t="s">
        <v>109</v>
      </c>
      <c r="N2" s="92" t="s">
        <v>6</v>
      </c>
      <c r="O2" s="92" t="s">
        <v>7</v>
      </c>
      <c r="P2" s="92" t="s">
        <v>108</v>
      </c>
      <c r="Q2" s="93" t="s">
        <v>8</v>
      </c>
    </row>
    <row r="3" spans="1:17" ht="35.1" customHeight="1">
      <c r="A3" s="28">
        <v>1</v>
      </c>
      <c r="B3" s="60" t="s">
        <v>64</v>
      </c>
      <c r="C3" s="60" t="s">
        <v>9</v>
      </c>
      <c r="D3" s="71" t="s">
        <v>10</v>
      </c>
      <c r="E3" s="28"/>
      <c r="F3" s="25"/>
      <c r="G3" s="26" t="str">
        <f>IFERROR((H3-E3)/E3,"No Ratio")</f>
        <v>No Ratio</v>
      </c>
      <c r="H3" s="25"/>
      <c r="I3" s="25">
        <f>((F3-E3)+H3)+($H$1*(F3-E3))</f>
        <v>0</v>
      </c>
      <c r="J3" s="25">
        <f t="shared" ref="J3:K5" si="0">H3-E3</f>
        <v>0</v>
      </c>
      <c r="K3" s="27">
        <f t="shared" si="0"/>
        <v>0</v>
      </c>
      <c r="L3" s="78"/>
      <c r="M3" s="25"/>
      <c r="N3" s="25" t="str">
        <f>IF(M3=0,"No Bonus",TEXT(M3/E3,"0.00")&amp;" Months")</f>
        <v>No Bonus</v>
      </c>
      <c r="O3" s="25" t="str">
        <f>IF(M3=0,"No Bonus",TEXT((M3/E3)*100,"0.00")&amp;" %")</f>
        <v>No Bonus</v>
      </c>
      <c r="P3" s="25">
        <f>M3-L3</f>
        <v>0</v>
      </c>
      <c r="Q3" s="27"/>
    </row>
    <row r="4" spans="1:17" ht="35.1" customHeight="1">
      <c r="A4" s="29">
        <v>2</v>
      </c>
      <c r="B4" s="61" t="s">
        <v>63</v>
      </c>
      <c r="C4" s="61" t="s">
        <v>11</v>
      </c>
      <c r="D4" s="72">
        <v>39630</v>
      </c>
      <c r="E4" s="29">
        <v>10000</v>
      </c>
      <c r="F4" s="17">
        <v>12000</v>
      </c>
      <c r="G4" s="18">
        <f>IFERROR((H4-E4)/E4,"No Ratio")</f>
        <v>0.1</v>
      </c>
      <c r="H4" s="17">
        <f>IFERROR((E4*$H$1)+E4, 0)</f>
        <v>11000</v>
      </c>
      <c r="I4" s="17">
        <f>((F4-E4)+H4)+($H$1*(F4-E4))</f>
        <v>13200</v>
      </c>
      <c r="J4" s="17">
        <f t="shared" si="0"/>
        <v>1000</v>
      </c>
      <c r="K4" s="19">
        <f t="shared" si="0"/>
        <v>1200</v>
      </c>
      <c r="L4" s="79">
        <v>10000</v>
      </c>
      <c r="M4" s="17">
        <v>20000</v>
      </c>
      <c r="N4" s="17" t="str">
        <f>IF(M4=0,"No Bonus",TEXT(M4/E4,"0.00")&amp;" Months")</f>
        <v>2.00 Months</v>
      </c>
      <c r="O4" s="17" t="str">
        <f>IF(M4=0,"No Bonus",TEXT((M4/E4)*100,"0.00")&amp;" %")</f>
        <v>200.00 %</v>
      </c>
      <c r="P4" s="17">
        <f>M4-L4</f>
        <v>10000</v>
      </c>
      <c r="Q4" s="19"/>
    </row>
    <row r="5" spans="1:17" ht="35.1" customHeight="1" thickBot="1">
      <c r="A5" s="30">
        <v>3</v>
      </c>
      <c r="B5" s="62" t="s">
        <v>62</v>
      </c>
      <c r="C5" s="62" t="s">
        <v>51</v>
      </c>
      <c r="D5" s="73">
        <v>41609</v>
      </c>
      <c r="E5" s="30"/>
      <c r="F5" s="20"/>
      <c r="G5" s="21" t="str">
        <f>IFERROR((H5-E5)/E5,"No Ratio")</f>
        <v>No Ratio</v>
      </c>
      <c r="H5" s="20">
        <f>IFERROR((E5*$H$1)+E5, 0)</f>
        <v>0</v>
      </c>
      <c r="I5" s="20">
        <f>((F5-E5)+H5)+($H$1*(F5-E5))</f>
        <v>0</v>
      </c>
      <c r="J5" s="20">
        <f t="shared" si="0"/>
        <v>0</v>
      </c>
      <c r="K5" s="22">
        <f t="shared" si="0"/>
        <v>0</v>
      </c>
      <c r="L5" s="80"/>
      <c r="M5" s="20"/>
      <c r="N5" s="20" t="str">
        <f>IF(M5=0,"No Bonus",TEXT(M5/E5,"0.00")&amp;" Months")</f>
        <v>No Bonus</v>
      </c>
      <c r="O5" s="20" t="str">
        <f>IF(M5=0,"No Bonus",TEXT((M5/E5)*100,"0.00")&amp;" %")</f>
        <v>No Bonus</v>
      </c>
      <c r="P5" s="20">
        <f>M5-L5</f>
        <v>0</v>
      </c>
      <c r="Q5" s="22"/>
    </row>
    <row r="6" spans="1:17" ht="35.1" customHeight="1" thickBot="1">
      <c r="A6" s="46" t="s">
        <v>12</v>
      </c>
      <c r="B6" s="63"/>
      <c r="C6" s="63"/>
      <c r="D6" s="74"/>
      <c r="E6" s="46">
        <f t="shared" ref="E6:I6" si="1">SUM(E3:E5)</f>
        <v>10000</v>
      </c>
      <c r="F6" s="47">
        <f t="shared" si="1"/>
        <v>12000</v>
      </c>
      <c r="G6" s="48">
        <f>IFERROR((H6-E6)/E6,"No Ratio")</f>
        <v>0.1</v>
      </c>
      <c r="H6" s="47">
        <f t="shared" si="1"/>
        <v>11000</v>
      </c>
      <c r="I6" s="47">
        <f t="shared" si="1"/>
        <v>13200</v>
      </c>
      <c r="J6" s="47">
        <f t="shared" ref="J6:M6" si="2">SUM(J3:J5)</f>
        <v>1000</v>
      </c>
      <c r="K6" s="49">
        <f t="shared" si="2"/>
        <v>1200</v>
      </c>
      <c r="L6" s="81">
        <f t="shared" si="2"/>
        <v>10000</v>
      </c>
      <c r="M6" s="47">
        <f t="shared" si="2"/>
        <v>20000</v>
      </c>
      <c r="N6" s="47"/>
      <c r="O6" s="47"/>
      <c r="P6" s="47">
        <f>SUM(P3:P5)</f>
        <v>10000</v>
      </c>
      <c r="Q6" s="49"/>
    </row>
    <row r="7" spans="1:17" ht="35.1" customHeight="1">
      <c r="A7" s="28">
        <v>1</v>
      </c>
      <c r="B7" s="60" t="s">
        <v>74</v>
      </c>
      <c r="C7" s="60" t="s">
        <v>13</v>
      </c>
      <c r="D7" s="71">
        <v>40199</v>
      </c>
      <c r="E7" s="28"/>
      <c r="F7" s="25"/>
      <c r="G7" s="26" t="str">
        <f t="shared" ref="G7:G20" si="3">IFERROR((H7-E7)/E7,"No Ratio")</f>
        <v>No Ratio</v>
      </c>
      <c r="H7" s="25">
        <f>IFERROR((E7*$H$1)+E7, 0)</f>
        <v>0</v>
      </c>
      <c r="I7" s="25">
        <f t="shared" ref="I7:I20" si="4">((F7-E7)+H7)+($H$1*(F7-E7))</f>
        <v>0</v>
      </c>
      <c r="J7" s="25">
        <f t="shared" ref="J7:K20" si="5">H7-E7</f>
        <v>0</v>
      </c>
      <c r="K7" s="27">
        <f t="shared" si="5"/>
        <v>0</v>
      </c>
      <c r="L7" s="78"/>
      <c r="M7" s="25"/>
      <c r="N7" s="25" t="str">
        <f t="shared" ref="N7:N20" si="6">IF(M7=0,"No Bonus",TEXT(M7/E7,"0.00")&amp;" Months")</f>
        <v>No Bonus</v>
      </c>
      <c r="O7" s="25" t="str">
        <f t="shared" ref="O7:O20" si="7">IF(M7=0,"No Bonus",TEXT((M7/E7)*100,"0.00")&amp;" %")</f>
        <v>No Bonus</v>
      </c>
      <c r="P7" s="25">
        <f t="shared" ref="P7:P20" si="8">M7-L7</f>
        <v>0</v>
      </c>
      <c r="Q7" s="27"/>
    </row>
    <row r="8" spans="1:17" ht="35.1" customHeight="1">
      <c r="A8" s="29">
        <v>2</v>
      </c>
      <c r="B8" s="61" t="s">
        <v>73</v>
      </c>
      <c r="C8" s="61" t="s">
        <v>14</v>
      </c>
      <c r="D8" s="72">
        <v>40211</v>
      </c>
      <c r="E8" s="29"/>
      <c r="F8" s="17"/>
      <c r="G8" s="18" t="str">
        <f t="shared" si="3"/>
        <v>No Ratio</v>
      </c>
      <c r="H8" s="17">
        <f t="shared" ref="H8:H47" si="9">IFERROR((E8*$H$1)+E8, 0)</f>
        <v>0</v>
      </c>
      <c r="I8" s="17">
        <f t="shared" si="4"/>
        <v>0</v>
      </c>
      <c r="J8" s="17">
        <f t="shared" si="5"/>
        <v>0</v>
      </c>
      <c r="K8" s="19">
        <f t="shared" si="5"/>
        <v>0</v>
      </c>
      <c r="L8" s="79"/>
      <c r="M8" s="17"/>
      <c r="N8" s="17" t="str">
        <f t="shared" si="6"/>
        <v>No Bonus</v>
      </c>
      <c r="O8" s="17" t="str">
        <f t="shared" si="7"/>
        <v>No Bonus</v>
      </c>
      <c r="P8" s="17">
        <f t="shared" si="8"/>
        <v>0</v>
      </c>
      <c r="Q8" s="19"/>
    </row>
    <row r="9" spans="1:17" ht="35.1" customHeight="1">
      <c r="A9" s="29">
        <v>3</v>
      </c>
      <c r="B9" s="61" t="s">
        <v>75</v>
      </c>
      <c r="C9" s="61" t="s">
        <v>15</v>
      </c>
      <c r="D9" s="72">
        <v>41420</v>
      </c>
      <c r="E9" s="29"/>
      <c r="F9" s="17"/>
      <c r="G9" s="18" t="str">
        <f t="shared" si="3"/>
        <v>No Ratio</v>
      </c>
      <c r="H9" s="17">
        <f t="shared" si="9"/>
        <v>0</v>
      </c>
      <c r="I9" s="17">
        <f t="shared" si="4"/>
        <v>0</v>
      </c>
      <c r="J9" s="17">
        <f t="shared" si="5"/>
        <v>0</v>
      </c>
      <c r="K9" s="19">
        <f t="shared" si="5"/>
        <v>0</v>
      </c>
      <c r="L9" s="79"/>
      <c r="M9" s="17"/>
      <c r="N9" s="17" t="str">
        <f t="shared" si="6"/>
        <v>No Bonus</v>
      </c>
      <c r="O9" s="17" t="str">
        <f t="shared" si="7"/>
        <v>No Bonus</v>
      </c>
      <c r="P9" s="17">
        <f t="shared" si="8"/>
        <v>0</v>
      </c>
      <c r="Q9" s="19"/>
    </row>
    <row r="10" spans="1:17" ht="35.1" customHeight="1">
      <c r="A10" s="29">
        <v>4</v>
      </c>
      <c r="B10" s="61" t="s">
        <v>77</v>
      </c>
      <c r="C10" s="61" t="s">
        <v>15</v>
      </c>
      <c r="D10" s="72">
        <v>41854</v>
      </c>
      <c r="E10" s="29"/>
      <c r="F10" s="17"/>
      <c r="G10" s="18" t="str">
        <f t="shared" si="3"/>
        <v>No Ratio</v>
      </c>
      <c r="H10" s="17">
        <f t="shared" si="9"/>
        <v>0</v>
      </c>
      <c r="I10" s="17">
        <f t="shared" si="4"/>
        <v>0</v>
      </c>
      <c r="J10" s="17">
        <f t="shared" si="5"/>
        <v>0</v>
      </c>
      <c r="K10" s="19">
        <f t="shared" si="5"/>
        <v>0</v>
      </c>
      <c r="L10" s="79"/>
      <c r="M10" s="17"/>
      <c r="N10" s="17" t="str">
        <f t="shared" si="6"/>
        <v>No Bonus</v>
      </c>
      <c r="O10" s="17" t="str">
        <f t="shared" si="7"/>
        <v>No Bonus</v>
      </c>
      <c r="P10" s="17">
        <f t="shared" si="8"/>
        <v>0</v>
      </c>
      <c r="Q10" s="19"/>
    </row>
    <row r="11" spans="1:17" ht="35.1" customHeight="1">
      <c r="A11" s="29">
        <v>5</v>
      </c>
      <c r="B11" s="61" t="s">
        <v>76</v>
      </c>
      <c r="C11" s="61" t="s">
        <v>13</v>
      </c>
      <c r="D11" s="72">
        <v>42043</v>
      </c>
      <c r="E11" s="29"/>
      <c r="F11" s="17"/>
      <c r="G11" s="18" t="str">
        <f t="shared" si="3"/>
        <v>No Ratio</v>
      </c>
      <c r="H11" s="17">
        <f t="shared" si="9"/>
        <v>0</v>
      </c>
      <c r="I11" s="17">
        <f t="shared" si="4"/>
        <v>0</v>
      </c>
      <c r="J11" s="17">
        <f t="shared" si="5"/>
        <v>0</v>
      </c>
      <c r="K11" s="19">
        <f t="shared" si="5"/>
        <v>0</v>
      </c>
      <c r="L11" s="79"/>
      <c r="M11" s="17"/>
      <c r="N11" s="17" t="str">
        <f t="shared" si="6"/>
        <v>No Bonus</v>
      </c>
      <c r="O11" s="17" t="str">
        <f t="shared" si="7"/>
        <v>No Bonus</v>
      </c>
      <c r="P11" s="17">
        <f t="shared" si="8"/>
        <v>0</v>
      </c>
      <c r="Q11" s="19"/>
    </row>
    <row r="12" spans="1:17" ht="35.1" customHeight="1">
      <c r="A12" s="29">
        <v>6</v>
      </c>
      <c r="B12" s="61" t="s">
        <v>78</v>
      </c>
      <c r="C12" s="61" t="s">
        <v>16</v>
      </c>
      <c r="D12" s="72">
        <v>42644</v>
      </c>
      <c r="E12" s="29"/>
      <c r="F12" s="17"/>
      <c r="G12" s="18" t="str">
        <f t="shared" si="3"/>
        <v>No Ratio</v>
      </c>
      <c r="H12" s="17">
        <f t="shared" si="9"/>
        <v>0</v>
      </c>
      <c r="I12" s="17">
        <f t="shared" si="4"/>
        <v>0</v>
      </c>
      <c r="J12" s="17">
        <f t="shared" si="5"/>
        <v>0</v>
      </c>
      <c r="K12" s="19">
        <f t="shared" si="5"/>
        <v>0</v>
      </c>
      <c r="L12" s="79"/>
      <c r="M12" s="17"/>
      <c r="N12" s="17" t="str">
        <f t="shared" si="6"/>
        <v>No Bonus</v>
      </c>
      <c r="O12" s="17" t="str">
        <f t="shared" si="7"/>
        <v>No Bonus</v>
      </c>
      <c r="P12" s="17">
        <f t="shared" si="8"/>
        <v>0</v>
      </c>
      <c r="Q12" s="19"/>
    </row>
    <row r="13" spans="1:17" ht="35.1" customHeight="1">
      <c r="A13" s="29">
        <v>7</v>
      </c>
      <c r="B13" s="61" t="s">
        <v>67</v>
      </c>
      <c r="C13" s="61" t="s">
        <v>17</v>
      </c>
      <c r="D13" s="72">
        <v>43345</v>
      </c>
      <c r="E13" s="29"/>
      <c r="F13" s="17"/>
      <c r="G13" s="18" t="str">
        <f t="shared" si="3"/>
        <v>No Ratio</v>
      </c>
      <c r="H13" s="17">
        <f t="shared" si="9"/>
        <v>0</v>
      </c>
      <c r="I13" s="17">
        <f t="shared" si="4"/>
        <v>0</v>
      </c>
      <c r="J13" s="17">
        <f t="shared" si="5"/>
        <v>0</v>
      </c>
      <c r="K13" s="19">
        <f t="shared" si="5"/>
        <v>0</v>
      </c>
      <c r="L13" s="79"/>
      <c r="M13" s="17"/>
      <c r="N13" s="17" t="str">
        <f t="shared" si="6"/>
        <v>No Bonus</v>
      </c>
      <c r="O13" s="17" t="str">
        <f t="shared" si="7"/>
        <v>No Bonus</v>
      </c>
      <c r="P13" s="17">
        <f t="shared" si="8"/>
        <v>0</v>
      </c>
      <c r="Q13" s="19"/>
    </row>
    <row r="14" spans="1:17" ht="35.1" customHeight="1">
      <c r="A14" s="29">
        <v>8</v>
      </c>
      <c r="B14" s="61" t="s">
        <v>65</v>
      </c>
      <c r="C14" s="61" t="s">
        <v>13</v>
      </c>
      <c r="D14" s="72">
        <v>43534</v>
      </c>
      <c r="E14" s="29"/>
      <c r="F14" s="17"/>
      <c r="G14" s="18" t="str">
        <f t="shared" si="3"/>
        <v>No Ratio</v>
      </c>
      <c r="H14" s="17">
        <f t="shared" si="9"/>
        <v>0</v>
      </c>
      <c r="I14" s="17">
        <f t="shared" si="4"/>
        <v>0</v>
      </c>
      <c r="J14" s="17">
        <f t="shared" si="5"/>
        <v>0</v>
      </c>
      <c r="K14" s="19">
        <f t="shared" si="5"/>
        <v>0</v>
      </c>
      <c r="L14" s="79"/>
      <c r="M14" s="17"/>
      <c r="N14" s="17" t="str">
        <f t="shared" si="6"/>
        <v>No Bonus</v>
      </c>
      <c r="O14" s="17" t="str">
        <f t="shared" si="7"/>
        <v>No Bonus</v>
      </c>
      <c r="P14" s="17">
        <f t="shared" si="8"/>
        <v>0</v>
      </c>
      <c r="Q14" s="19"/>
    </row>
    <row r="15" spans="1:17" ht="35.1" customHeight="1">
      <c r="A15" s="29">
        <v>9</v>
      </c>
      <c r="B15" s="61" t="s">
        <v>69</v>
      </c>
      <c r="C15" s="61" t="s">
        <v>18</v>
      </c>
      <c r="D15" s="72">
        <v>45348</v>
      </c>
      <c r="E15" s="29"/>
      <c r="F15" s="17"/>
      <c r="G15" s="18" t="str">
        <f t="shared" si="3"/>
        <v>No Ratio</v>
      </c>
      <c r="H15" s="17">
        <f t="shared" si="9"/>
        <v>0</v>
      </c>
      <c r="I15" s="17">
        <f t="shared" si="4"/>
        <v>0</v>
      </c>
      <c r="J15" s="17">
        <f t="shared" si="5"/>
        <v>0</v>
      </c>
      <c r="K15" s="19">
        <f t="shared" si="5"/>
        <v>0</v>
      </c>
      <c r="L15" s="79"/>
      <c r="M15" s="17"/>
      <c r="N15" s="17" t="str">
        <f t="shared" si="6"/>
        <v>No Bonus</v>
      </c>
      <c r="O15" s="17" t="str">
        <f t="shared" si="7"/>
        <v>No Bonus</v>
      </c>
      <c r="P15" s="17">
        <f t="shared" si="8"/>
        <v>0</v>
      </c>
      <c r="Q15" s="19"/>
    </row>
    <row r="16" spans="1:17" ht="35.1" customHeight="1">
      <c r="A16" s="29">
        <v>10</v>
      </c>
      <c r="B16" s="61" t="s">
        <v>66</v>
      </c>
      <c r="C16" s="61" t="s">
        <v>16</v>
      </c>
      <c r="D16" s="72">
        <v>45491</v>
      </c>
      <c r="E16" s="29"/>
      <c r="F16" s="17"/>
      <c r="G16" s="18" t="str">
        <f t="shared" si="3"/>
        <v>No Ratio</v>
      </c>
      <c r="H16" s="17">
        <f t="shared" si="9"/>
        <v>0</v>
      </c>
      <c r="I16" s="17">
        <f t="shared" si="4"/>
        <v>0</v>
      </c>
      <c r="J16" s="17">
        <f t="shared" si="5"/>
        <v>0</v>
      </c>
      <c r="K16" s="19">
        <f t="shared" si="5"/>
        <v>0</v>
      </c>
      <c r="L16" s="79"/>
      <c r="M16" s="17"/>
      <c r="N16" s="17" t="str">
        <f t="shared" si="6"/>
        <v>No Bonus</v>
      </c>
      <c r="O16" s="17" t="str">
        <f t="shared" si="7"/>
        <v>No Bonus</v>
      </c>
      <c r="P16" s="17">
        <f t="shared" si="8"/>
        <v>0</v>
      </c>
      <c r="Q16" s="19"/>
    </row>
    <row r="17" spans="1:17" ht="35.1" customHeight="1">
      <c r="A17" s="29">
        <v>11</v>
      </c>
      <c r="B17" s="61" t="s">
        <v>68</v>
      </c>
      <c r="C17" s="61" t="s">
        <v>18</v>
      </c>
      <c r="D17" s="72">
        <v>45689</v>
      </c>
      <c r="E17" s="29"/>
      <c r="F17" s="17"/>
      <c r="G17" s="18" t="str">
        <f t="shared" si="3"/>
        <v>No Ratio</v>
      </c>
      <c r="H17" s="17">
        <f t="shared" si="9"/>
        <v>0</v>
      </c>
      <c r="I17" s="17">
        <f t="shared" si="4"/>
        <v>0</v>
      </c>
      <c r="J17" s="17">
        <f t="shared" si="5"/>
        <v>0</v>
      </c>
      <c r="K17" s="19">
        <f t="shared" si="5"/>
        <v>0</v>
      </c>
      <c r="L17" s="79"/>
      <c r="M17" s="17"/>
      <c r="N17" s="17" t="str">
        <f t="shared" si="6"/>
        <v>No Bonus</v>
      </c>
      <c r="O17" s="17" t="str">
        <f t="shared" si="7"/>
        <v>No Bonus</v>
      </c>
      <c r="P17" s="17">
        <f t="shared" si="8"/>
        <v>0</v>
      </c>
      <c r="Q17" s="19"/>
    </row>
    <row r="18" spans="1:17" ht="35.1" customHeight="1">
      <c r="A18" s="29">
        <v>12</v>
      </c>
      <c r="B18" s="61" t="s">
        <v>72</v>
      </c>
      <c r="C18" s="61" t="s">
        <v>18</v>
      </c>
      <c r="D18" s="72">
        <v>45719</v>
      </c>
      <c r="E18" s="29"/>
      <c r="F18" s="17"/>
      <c r="G18" s="18" t="str">
        <f t="shared" si="3"/>
        <v>No Ratio</v>
      </c>
      <c r="H18" s="17">
        <f t="shared" si="9"/>
        <v>0</v>
      </c>
      <c r="I18" s="17">
        <f t="shared" si="4"/>
        <v>0</v>
      </c>
      <c r="J18" s="17">
        <f t="shared" si="5"/>
        <v>0</v>
      </c>
      <c r="K18" s="19">
        <f t="shared" si="5"/>
        <v>0</v>
      </c>
      <c r="L18" s="79"/>
      <c r="M18" s="17"/>
      <c r="N18" s="17" t="str">
        <f t="shared" si="6"/>
        <v>No Bonus</v>
      </c>
      <c r="O18" s="17" t="str">
        <f t="shared" si="7"/>
        <v>No Bonus</v>
      </c>
      <c r="P18" s="17">
        <f t="shared" si="8"/>
        <v>0</v>
      </c>
      <c r="Q18" s="19"/>
    </row>
    <row r="19" spans="1:17" ht="35.1" customHeight="1">
      <c r="A19" s="29">
        <v>13</v>
      </c>
      <c r="B19" s="61" t="s">
        <v>71</v>
      </c>
      <c r="C19" s="61" t="s">
        <v>18</v>
      </c>
      <c r="D19" s="72">
        <v>45901</v>
      </c>
      <c r="E19" s="29"/>
      <c r="F19" s="17"/>
      <c r="G19" s="18" t="str">
        <f t="shared" si="3"/>
        <v>No Ratio</v>
      </c>
      <c r="H19" s="17">
        <f t="shared" si="9"/>
        <v>0</v>
      </c>
      <c r="I19" s="17">
        <f t="shared" si="4"/>
        <v>0</v>
      </c>
      <c r="J19" s="17">
        <f t="shared" si="5"/>
        <v>0</v>
      </c>
      <c r="K19" s="19">
        <f t="shared" si="5"/>
        <v>0</v>
      </c>
      <c r="L19" s="79"/>
      <c r="M19" s="17"/>
      <c r="N19" s="17" t="str">
        <f t="shared" si="6"/>
        <v>No Bonus</v>
      </c>
      <c r="O19" s="17" t="str">
        <f t="shared" si="7"/>
        <v>No Bonus</v>
      </c>
      <c r="P19" s="17">
        <f t="shared" si="8"/>
        <v>0</v>
      </c>
      <c r="Q19" s="19"/>
    </row>
    <row r="20" spans="1:17" ht="35.1" customHeight="1" thickBot="1">
      <c r="A20" s="30">
        <v>14</v>
      </c>
      <c r="B20" s="62" t="s">
        <v>70</v>
      </c>
      <c r="C20" s="62" t="s">
        <v>14</v>
      </c>
      <c r="D20" s="73">
        <v>46055</v>
      </c>
      <c r="E20" s="30"/>
      <c r="F20" s="20"/>
      <c r="G20" s="21" t="str">
        <f t="shared" si="3"/>
        <v>No Ratio</v>
      </c>
      <c r="H20" s="20">
        <f t="shared" si="9"/>
        <v>0</v>
      </c>
      <c r="I20" s="20">
        <f t="shared" si="4"/>
        <v>0</v>
      </c>
      <c r="J20" s="20">
        <f t="shared" si="5"/>
        <v>0</v>
      </c>
      <c r="K20" s="22">
        <f t="shared" si="5"/>
        <v>0</v>
      </c>
      <c r="L20" s="80"/>
      <c r="M20" s="20"/>
      <c r="N20" s="20" t="str">
        <f t="shared" si="6"/>
        <v>No Bonus</v>
      </c>
      <c r="O20" s="20" t="str">
        <f t="shared" si="7"/>
        <v>No Bonus</v>
      </c>
      <c r="P20" s="20">
        <f t="shared" si="8"/>
        <v>0</v>
      </c>
      <c r="Q20" s="22"/>
    </row>
    <row r="21" spans="1:17" ht="35.1" customHeight="1" thickBot="1">
      <c r="A21" s="46" t="s">
        <v>19</v>
      </c>
      <c r="B21" s="63"/>
      <c r="C21" s="63"/>
      <c r="D21" s="74"/>
      <c r="E21" s="46">
        <f>SUM(E7:E20)</f>
        <v>0</v>
      </c>
      <c r="F21" s="47">
        <f>SUM(F7:F20)</f>
        <v>0</v>
      </c>
      <c r="G21" s="48" t="str">
        <f>IFERROR((H21-E21)/E21,"No Ratio")</f>
        <v>No Ratio</v>
      </c>
      <c r="H21" s="47">
        <f t="shared" ref="H21:M21" si="10">SUM(H7:H20)</f>
        <v>0</v>
      </c>
      <c r="I21" s="47">
        <f t="shared" si="10"/>
        <v>0</v>
      </c>
      <c r="J21" s="47">
        <f t="shared" si="10"/>
        <v>0</v>
      </c>
      <c r="K21" s="49">
        <f t="shared" si="10"/>
        <v>0</v>
      </c>
      <c r="L21" s="81">
        <f t="shared" si="10"/>
        <v>0</v>
      </c>
      <c r="M21" s="47">
        <f t="shared" si="10"/>
        <v>0</v>
      </c>
      <c r="N21" s="47"/>
      <c r="O21" s="47"/>
      <c r="P21" s="47">
        <f>SUM(P7:P20)</f>
        <v>0</v>
      </c>
      <c r="Q21" s="49"/>
    </row>
    <row r="22" spans="1:17" ht="45.75" customHeight="1">
      <c r="A22" s="28">
        <v>1</v>
      </c>
      <c r="B22" s="60" t="s">
        <v>87</v>
      </c>
      <c r="C22" s="60" t="s">
        <v>20</v>
      </c>
      <c r="D22" s="71">
        <v>41107</v>
      </c>
      <c r="E22" s="28"/>
      <c r="F22" s="25"/>
      <c r="G22" s="26" t="str">
        <f t="shared" ref="G22:G47" si="11">IFERROR((H22-E22)/E22,"No Ratio")</f>
        <v>No Ratio</v>
      </c>
      <c r="H22" s="25">
        <f t="shared" si="9"/>
        <v>0</v>
      </c>
      <c r="I22" s="25">
        <f t="shared" ref="I22:I41" si="12">((F22-E22)+H22)+($H$1*(F22-E22))</f>
        <v>0</v>
      </c>
      <c r="J22" s="25">
        <f t="shared" ref="J22:K41" si="13">H22-E22</f>
        <v>0</v>
      </c>
      <c r="K22" s="27">
        <f t="shared" si="13"/>
        <v>0</v>
      </c>
      <c r="L22" s="78"/>
      <c r="M22" s="25"/>
      <c r="N22" s="25" t="str">
        <f t="shared" ref="N22:N41" si="14">IF(M22=0,"No Bonus",TEXT(M22/E22,"0.00")&amp;" Months")</f>
        <v>No Bonus</v>
      </c>
      <c r="O22" s="25" t="str">
        <f t="shared" ref="O22:O41" si="15">IF(M22=0,"No Bonus",TEXT((M22/E22)*100,"0.00")&amp;" %")</f>
        <v>No Bonus</v>
      </c>
      <c r="P22" s="25">
        <f t="shared" ref="P22:P41" si="16">M22-L22</f>
        <v>0</v>
      </c>
      <c r="Q22" s="27"/>
    </row>
    <row r="23" spans="1:17" ht="35.1" customHeight="1">
      <c r="A23" s="29">
        <v>2</v>
      </c>
      <c r="B23" s="61" t="s">
        <v>61</v>
      </c>
      <c r="C23" s="61" t="s">
        <v>21</v>
      </c>
      <c r="D23" s="72">
        <v>41660</v>
      </c>
      <c r="E23" s="29"/>
      <c r="F23" s="17"/>
      <c r="G23" s="18" t="str">
        <f t="shared" si="11"/>
        <v>No Ratio</v>
      </c>
      <c r="H23" s="17">
        <f t="shared" si="9"/>
        <v>0</v>
      </c>
      <c r="I23" s="17">
        <f t="shared" si="12"/>
        <v>0</v>
      </c>
      <c r="J23" s="17">
        <f t="shared" si="13"/>
        <v>0</v>
      </c>
      <c r="K23" s="19">
        <f t="shared" si="13"/>
        <v>0</v>
      </c>
      <c r="L23" s="79"/>
      <c r="M23" s="17"/>
      <c r="N23" s="17" t="str">
        <f t="shared" si="14"/>
        <v>No Bonus</v>
      </c>
      <c r="O23" s="17" t="str">
        <f t="shared" si="15"/>
        <v>No Bonus</v>
      </c>
      <c r="P23" s="17">
        <f t="shared" si="16"/>
        <v>0</v>
      </c>
      <c r="Q23" s="19"/>
    </row>
    <row r="24" spans="1:17" ht="35.1" customHeight="1">
      <c r="A24" s="29">
        <v>3</v>
      </c>
      <c r="B24" s="61" t="s">
        <v>79</v>
      </c>
      <c r="C24" s="61" t="s">
        <v>22</v>
      </c>
      <c r="D24" s="72">
        <v>43009</v>
      </c>
      <c r="E24" s="29"/>
      <c r="F24" s="17"/>
      <c r="G24" s="18" t="str">
        <f t="shared" si="11"/>
        <v>No Ratio</v>
      </c>
      <c r="H24" s="17">
        <f t="shared" si="9"/>
        <v>0</v>
      </c>
      <c r="I24" s="17">
        <f t="shared" si="12"/>
        <v>0</v>
      </c>
      <c r="J24" s="17">
        <f t="shared" si="13"/>
        <v>0</v>
      </c>
      <c r="K24" s="19">
        <f t="shared" si="13"/>
        <v>0</v>
      </c>
      <c r="L24" s="79"/>
      <c r="M24" s="17"/>
      <c r="N24" s="17" t="str">
        <f t="shared" si="14"/>
        <v>No Bonus</v>
      </c>
      <c r="O24" s="17" t="str">
        <f t="shared" si="15"/>
        <v>No Bonus</v>
      </c>
      <c r="P24" s="17">
        <f t="shared" si="16"/>
        <v>0</v>
      </c>
      <c r="Q24" s="19"/>
    </row>
    <row r="25" spans="1:17" ht="35.1" customHeight="1">
      <c r="A25" s="29">
        <v>4</v>
      </c>
      <c r="B25" s="61" t="s">
        <v>84</v>
      </c>
      <c r="C25" s="61" t="s">
        <v>23</v>
      </c>
      <c r="D25" s="72">
        <v>43223</v>
      </c>
      <c r="E25" s="29"/>
      <c r="F25" s="17"/>
      <c r="G25" s="18" t="str">
        <f t="shared" si="11"/>
        <v>No Ratio</v>
      </c>
      <c r="H25" s="17">
        <f t="shared" si="9"/>
        <v>0</v>
      </c>
      <c r="I25" s="17">
        <f t="shared" si="12"/>
        <v>0</v>
      </c>
      <c r="J25" s="17">
        <f t="shared" si="13"/>
        <v>0</v>
      </c>
      <c r="K25" s="19">
        <f t="shared" si="13"/>
        <v>0</v>
      </c>
      <c r="L25" s="79"/>
      <c r="M25" s="17"/>
      <c r="N25" s="17" t="str">
        <f t="shared" si="14"/>
        <v>No Bonus</v>
      </c>
      <c r="O25" s="17" t="str">
        <f t="shared" si="15"/>
        <v>No Bonus</v>
      </c>
      <c r="P25" s="17">
        <f t="shared" si="16"/>
        <v>0</v>
      </c>
      <c r="Q25" s="19"/>
    </row>
    <row r="26" spans="1:17" ht="35.1" customHeight="1">
      <c r="A26" s="29">
        <v>5</v>
      </c>
      <c r="B26" s="61" t="s">
        <v>83</v>
      </c>
      <c r="C26" s="61" t="s">
        <v>24</v>
      </c>
      <c r="D26" s="72">
        <v>43534</v>
      </c>
      <c r="E26" s="29"/>
      <c r="F26" s="17"/>
      <c r="G26" s="18" t="str">
        <f t="shared" si="11"/>
        <v>No Ratio</v>
      </c>
      <c r="H26" s="17">
        <f t="shared" si="9"/>
        <v>0</v>
      </c>
      <c r="I26" s="17">
        <f t="shared" si="12"/>
        <v>0</v>
      </c>
      <c r="J26" s="17">
        <f t="shared" si="13"/>
        <v>0</v>
      </c>
      <c r="K26" s="19">
        <f t="shared" si="13"/>
        <v>0</v>
      </c>
      <c r="L26" s="79"/>
      <c r="M26" s="17"/>
      <c r="N26" s="17" t="str">
        <f t="shared" si="14"/>
        <v>No Bonus</v>
      </c>
      <c r="O26" s="17" t="str">
        <f t="shared" si="15"/>
        <v>No Bonus</v>
      </c>
      <c r="P26" s="17">
        <f t="shared" si="16"/>
        <v>0</v>
      </c>
      <c r="Q26" s="19"/>
    </row>
    <row r="27" spans="1:17" ht="35.1" customHeight="1">
      <c r="A27" s="29">
        <v>6</v>
      </c>
      <c r="B27" s="61" t="s">
        <v>85</v>
      </c>
      <c r="C27" s="61" t="s">
        <v>25</v>
      </c>
      <c r="D27" s="72">
        <v>44409</v>
      </c>
      <c r="E27" s="29"/>
      <c r="F27" s="17"/>
      <c r="G27" s="18" t="str">
        <f t="shared" si="11"/>
        <v>No Ratio</v>
      </c>
      <c r="H27" s="17">
        <f t="shared" si="9"/>
        <v>0</v>
      </c>
      <c r="I27" s="17">
        <f t="shared" si="12"/>
        <v>0</v>
      </c>
      <c r="J27" s="17">
        <f t="shared" si="13"/>
        <v>0</v>
      </c>
      <c r="K27" s="19">
        <f t="shared" si="13"/>
        <v>0</v>
      </c>
      <c r="L27" s="79"/>
      <c r="M27" s="17"/>
      <c r="N27" s="17" t="str">
        <f t="shared" si="14"/>
        <v>No Bonus</v>
      </c>
      <c r="O27" s="17" t="str">
        <f t="shared" si="15"/>
        <v>No Bonus</v>
      </c>
      <c r="P27" s="17">
        <f t="shared" si="16"/>
        <v>0</v>
      </c>
      <c r="Q27" s="19"/>
    </row>
    <row r="28" spans="1:17" ht="35.1" customHeight="1">
      <c r="A28" s="29">
        <v>7</v>
      </c>
      <c r="B28" s="61" t="s">
        <v>81</v>
      </c>
      <c r="C28" s="61" t="s">
        <v>26</v>
      </c>
      <c r="D28" s="72">
        <v>42297</v>
      </c>
      <c r="E28" s="29"/>
      <c r="F28" s="17"/>
      <c r="G28" s="18" t="str">
        <f t="shared" si="11"/>
        <v>No Ratio</v>
      </c>
      <c r="H28" s="17">
        <f t="shared" si="9"/>
        <v>0</v>
      </c>
      <c r="I28" s="17">
        <f t="shared" si="12"/>
        <v>0</v>
      </c>
      <c r="J28" s="17">
        <f t="shared" si="13"/>
        <v>0</v>
      </c>
      <c r="K28" s="19">
        <f t="shared" si="13"/>
        <v>0</v>
      </c>
      <c r="L28" s="79"/>
      <c r="M28" s="17"/>
      <c r="N28" s="17" t="str">
        <f t="shared" si="14"/>
        <v>No Bonus</v>
      </c>
      <c r="O28" s="17" t="str">
        <f t="shared" si="15"/>
        <v>No Bonus</v>
      </c>
      <c r="P28" s="17">
        <f t="shared" si="16"/>
        <v>0</v>
      </c>
      <c r="Q28" s="19"/>
    </row>
    <row r="29" spans="1:17" ht="35.1" customHeight="1">
      <c r="A29" s="29">
        <v>8</v>
      </c>
      <c r="B29" s="61" t="s">
        <v>89</v>
      </c>
      <c r="C29" s="61" t="s">
        <v>27</v>
      </c>
      <c r="D29" s="72">
        <v>42397</v>
      </c>
      <c r="E29" s="29"/>
      <c r="F29" s="17"/>
      <c r="G29" s="18" t="str">
        <f t="shared" si="11"/>
        <v>No Ratio</v>
      </c>
      <c r="H29" s="17">
        <f t="shared" si="9"/>
        <v>0</v>
      </c>
      <c r="I29" s="17">
        <f t="shared" si="12"/>
        <v>0</v>
      </c>
      <c r="J29" s="17">
        <f t="shared" si="13"/>
        <v>0</v>
      </c>
      <c r="K29" s="19">
        <f t="shared" si="13"/>
        <v>0</v>
      </c>
      <c r="L29" s="79"/>
      <c r="M29" s="17"/>
      <c r="N29" s="17" t="str">
        <f t="shared" si="14"/>
        <v>No Bonus</v>
      </c>
      <c r="O29" s="17" t="str">
        <f t="shared" si="15"/>
        <v>No Bonus</v>
      </c>
      <c r="P29" s="17">
        <f t="shared" si="16"/>
        <v>0</v>
      </c>
      <c r="Q29" s="19"/>
    </row>
    <row r="30" spans="1:17" ht="35.1" customHeight="1">
      <c r="A30" s="29">
        <v>9</v>
      </c>
      <c r="B30" s="61" t="s">
        <v>93</v>
      </c>
      <c r="C30" s="61" t="s">
        <v>28</v>
      </c>
      <c r="D30" s="72">
        <v>45461</v>
      </c>
      <c r="E30" s="29"/>
      <c r="F30" s="17"/>
      <c r="G30" s="18" t="str">
        <f t="shared" si="11"/>
        <v>No Ratio</v>
      </c>
      <c r="H30" s="17">
        <f t="shared" si="9"/>
        <v>0</v>
      </c>
      <c r="I30" s="17">
        <f t="shared" si="12"/>
        <v>0</v>
      </c>
      <c r="J30" s="17">
        <f t="shared" si="13"/>
        <v>0</v>
      </c>
      <c r="K30" s="19">
        <f t="shared" si="13"/>
        <v>0</v>
      </c>
      <c r="L30" s="79"/>
      <c r="M30" s="17"/>
      <c r="N30" s="17" t="str">
        <f t="shared" si="14"/>
        <v>No Bonus</v>
      </c>
      <c r="O30" s="17" t="str">
        <f t="shared" si="15"/>
        <v>No Bonus</v>
      </c>
      <c r="P30" s="17">
        <f t="shared" si="16"/>
        <v>0</v>
      </c>
      <c r="Q30" s="19"/>
    </row>
    <row r="31" spans="1:17" ht="34.950000000000003" customHeight="1">
      <c r="A31" s="29">
        <v>10</v>
      </c>
      <c r="B31" s="61" t="s">
        <v>88</v>
      </c>
      <c r="C31" s="61" t="s">
        <v>29</v>
      </c>
      <c r="D31" s="72">
        <v>39827</v>
      </c>
      <c r="E31" s="29"/>
      <c r="F31" s="17"/>
      <c r="G31" s="18" t="str">
        <f t="shared" si="11"/>
        <v>No Ratio</v>
      </c>
      <c r="H31" s="17">
        <f t="shared" si="9"/>
        <v>0</v>
      </c>
      <c r="I31" s="17">
        <f t="shared" si="12"/>
        <v>0</v>
      </c>
      <c r="J31" s="17">
        <f t="shared" si="13"/>
        <v>0</v>
      </c>
      <c r="K31" s="19">
        <f t="shared" si="13"/>
        <v>0</v>
      </c>
      <c r="L31" s="79"/>
      <c r="M31" s="17"/>
      <c r="N31" s="17" t="str">
        <f t="shared" si="14"/>
        <v>No Bonus</v>
      </c>
      <c r="O31" s="17" t="str">
        <f t="shared" si="15"/>
        <v>No Bonus</v>
      </c>
      <c r="P31" s="17">
        <f t="shared" si="16"/>
        <v>0</v>
      </c>
      <c r="Q31" s="19"/>
    </row>
    <row r="32" spans="1:17" ht="35.1" customHeight="1">
      <c r="A32" s="29">
        <v>11</v>
      </c>
      <c r="B32" s="61" t="s">
        <v>82</v>
      </c>
      <c r="C32" s="61" t="s">
        <v>30</v>
      </c>
      <c r="D32" s="72">
        <v>42186</v>
      </c>
      <c r="E32" s="29"/>
      <c r="F32" s="17"/>
      <c r="G32" s="18" t="str">
        <f t="shared" si="11"/>
        <v>No Ratio</v>
      </c>
      <c r="H32" s="17">
        <f t="shared" si="9"/>
        <v>0</v>
      </c>
      <c r="I32" s="17">
        <f t="shared" si="12"/>
        <v>0</v>
      </c>
      <c r="J32" s="17">
        <f t="shared" si="13"/>
        <v>0</v>
      </c>
      <c r="K32" s="19">
        <f t="shared" si="13"/>
        <v>0</v>
      </c>
      <c r="L32" s="79"/>
      <c r="M32" s="17"/>
      <c r="N32" s="17" t="str">
        <f t="shared" si="14"/>
        <v>No Bonus</v>
      </c>
      <c r="O32" s="17" t="str">
        <f t="shared" si="15"/>
        <v>No Bonus</v>
      </c>
      <c r="P32" s="17">
        <f t="shared" si="16"/>
        <v>0</v>
      </c>
      <c r="Q32" s="19"/>
    </row>
    <row r="33" spans="1:17" ht="35.1" customHeight="1">
      <c r="A33" s="29">
        <v>12</v>
      </c>
      <c r="B33" s="61" t="s">
        <v>92</v>
      </c>
      <c r="C33" s="61" t="s">
        <v>31</v>
      </c>
      <c r="D33" s="72">
        <v>41105</v>
      </c>
      <c r="E33" s="29"/>
      <c r="F33" s="17"/>
      <c r="G33" s="18" t="str">
        <f t="shared" si="11"/>
        <v>No Ratio</v>
      </c>
      <c r="H33" s="17">
        <f t="shared" si="9"/>
        <v>0</v>
      </c>
      <c r="I33" s="17">
        <f t="shared" si="12"/>
        <v>0</v>
      </c>
      <c r="J33" s="17">
        <f t="shared" si="13"/>
        <v>0</v>
      </c>
      <c r="K33" s="19">
        <f t="shared" si="13"/>
        <v>0</v>
      </c>
      <c r="L33" s="79"/>
      <c r="M33" s="17"/>
      <c r="N33" s="17" t="str">
        <f t="shared" si="14"/>
        <v>No Bonus</v>
      </c>
      <c r="O33" s="17" t="str">
        <f t="shared" si="15"/>
        <v>No Bonus</v>
      </c>
      <c r="P33" s="17">
        <f t="shared" si="16"/>
        <v>0</v>
      </c>
      <c r="Q33" s="19"/>
    </row>
    <row r="34" spans="1:17" ht="35.1" customHeight="1">
      <c r="A34" s="29">
        <v>13</v>
      </c>
      <c r="B34" s="61" t="s">
        <v>95</v>
      </c>
      <c r="C34" s="61" t="s">
        <v>32</v>
      </c>
      <c r="D34" s="72">
        <v>39583</v>
      </c>
      <c r="E34" s="29"/>
      <c r="F34" s="17"/>
      <c r="G34" s="18" t="str">
        <f t="shared" si="11"/>
        <v>No Ratio</v>
      </c>
      <c r="H34" s="17">
        <f t="shared" si="9"/>
        <v>0</v>
      </c>
      <c r="I34" s="17">
        <f t="shared" si="12"/>
        <v>0</v>
      </c>
      <c r="J34" s="17">
        <f t="shared" si="13"/>
        <v>0</v>
      </c>
      <c r="K34" s="19">
        <f t="shared" si="13"/>
        <v>0</v>
      </c>
      <c r="L34" s="79"/>
      <c r="M34" s="17"/>
      <c r="N34" s="17" t="str">
        <f t="shared" si="14"/>
        <v>No Bonus</v>
      </c>
      <c r="O34" s="17" t="str">
        <f t="shared" si="15"/>
        <v>No Bonus</v>
      </c>
      <c r="P34" s="17">
        <f t="shared" si="16"/>
        <v>0</v>
      </c>
      <c r="Q34" s="19"/>
    </row>
    <row r="35" spans="1:17" ht="35.1" customHeight="1">
      <c r="A35" s="29">
        <v>14</v>
      </c>
      <c r="B35" s="61" t="s">
        <v>90</v>
      </c>
      <c r="C35" s="61" t="s">
        <v>33</v>
      </c>
      <c r="D35" s="72">
        <v>40724</v>
      </c>
      <c r="E35" s="29"/>
      <c r="F35" s="17"/>
      <c r="G35" s="18" t="str">
        <f t="shared" si="11"/>
        <v>No Ratio</v>
      </c>
      <c r="H35" s="17">
        <f t="shared" si="9"/>
        <v>0</v>
      </c>
      <c r="I35" s="17">
        <f t="shared" si="12"/>
        <v>0</v>
      </c>
      <c r="J35" s="17">
        <f t="shared" si="13"/>
        <v>0</v>
      </c>
      <c r="K35" s="19">
        <f t="shared" si="13"/>
        <v>0</v>
      </c>
      <c r="L35" s="79"/>
      <c r="M35" s="17"/>
      <c r="N35" s="17" t="str">
        <f t="shared" si="14"/>
        <v>No Bonus</v>
      </c>
      <c r="O35" s="17" t="str">
        <f t="shared" si="15"/>
        <v>No Bonus</v>
      </c>
      <c r="P35" s="17">
        <f t="shared" si="16"/>
        <v>0</v>
      </c>
      <c r="Q35" s="19"/>
    </row>
    <row r="36" spans="1:17" ht="35.1" customHeight="1">
      <c r="A36" s="29">
        <v>15</v>
      </c>
      <c r="B36" s="61" t="s">
        <v>80</v>
      </c>
      <c r="C36" s="61" t="s">
        <v>33</v>
      </c>
      <c r="D36" s="72">
        <v>43240</v>
      </c>
      <c r="E36" s="29"/>
      <c r="F36" s="17"/>
      <c r="G36" s="18" t="str">
        <f t="shared" si="11"/>
        <v>No Ratio</v>
      </c>
      <c r="H36" s="17">
        <f t="shared" si="9"/>
        <v>0</v>
      </c>
      <c r="I36" s="17">
        <f t="shared" si="12"/>
        <v>0</v>
      </c>
      <c r="J36" s="17">
        <f t="shared" si="13"/>
        <v>0</v>
      </c>
      <c r="K36" s="19">
        <f t="shared" si="13"/>
        <v>0</v>
      </c>
      <c r="L36" s="79"/>
      <c r="M36" s="17"/>
      <c r="N36" s="17" t="str">
        <f t="shared" si="14"/>
        <v>No Bonus</v>
      </c>
      <c r="O36" s="17" t="str">
        <f t="shared" si="15"/>
        <v>No Bonus</v>
      </c>
      <c r="P36" s="17">
        <f t="shared" si="16"/>
        <v>0</v>
      </c>
      <c r="Q36" s="19"/>
    </row>
    <row r="37" spans="1:17" ht="35.1" customHeight="1">
      <c r="A37" s="29">
        <v>16</v>
      </c>
      <c r="B37" s="61" t="s">
        <v>97</v>
      </c>
      <c r="C37" s="61" t="s">
        <v>34</v>
      </c>
      <c r="D37" s="72">
        <v>39264</v>
      </c>
      <c r="E37" s="29"/>
      <c r="F37" s="17"/>
      <c r="G37" s="18" t="str">
        <f t="shared" si="11"/>
        <v>No Ratio</v>
      </c>
      <c r="H37" s="17">
        <f t="shared" si="9"/>
        <v>0</v>
      </c>
      <c r="I37" s="17">
        <f t="shared" si="12"/>
        <v>0</v>
      </c>
      <c r="J37" s="17">
        <f t="shared" si="13"/>
        <v>0</v>
      </c>
      <c r="K37" s="19">
        <f t="shared" si="13"/>
        <v>0</v>
      </c>
      <c r="L37" s="79"/>
      <c r="M37" s="17"/>
      <c r="N37" s="17" t="str">
        <f t="shared" si="14"/>
        <v>No Bonus</v>
      </c>
      <c r="O37" s="17" t="str">
        <f t="shared" si="15"/>
        <v>No Bonus</v>
      </c>
      <c r="P37" s="17">
        <f t="shared" si="16"/>
        <v>0</v>
      </c>
      <c r="Q37" s="19"/>
    </row>
    <row r="38" spans="1:17" ht="35.1" customHeight="1">
      <c r="A38" s="29">
        <v>17</v>
      </c>
      <c r="B38" s="61" t="s">
        <v>94</v>
      </c>
      <c r="C38" s="61" t="s">
        <v>35</v>
      </c>
      <c r="D38" s="72">
        <v>43273</v>
      </c>
      <c r="E38" s="29"/>
      <c r="F38" s="17"/>
      <c r="G38" s="18" t="str">
        <f t="shared" si="11"/>
        <v>No Ratio</v>
      </c>
      <c r="H38" s="17">
        <f t="shared" si="9"/>
        <v>0</v>
      </c>
      <c r="I38" s="17">
        <f t="shared" si="12"/>
        <v>0</v>
      </c>
      <c r="J38" s="17">
        <f t="shared" si="13"/>
        <v>0</v>
      </c>
      <c r="K38" s="19">
        <f t="shared" si="13"/>
        <v>0</v>
      </c>
      <c r="L38" s="79"/>
      <c r="M38" s="17"/>
      <c r="N38" s="17" t="str">
        <f t="shared" si="14"/>
        <v>No Bonus</v>
      </c>
      <c r="O38" s="17" t="str">
        <f t="shared" si="15"/>
        <v>No Bonus</v>
      </c>
      <c r="P38" s="17">
        <f t="shared" si="16"/>
        <v>0</v>
      </c>
      <c r="Q38" s="19"/>
    </row>
    <row r="39" spans="1:17" ht="35.1" customHeight="1">
      <c r="A39" s="29">
        <v>18</v>
      </c>
      <c r="B39" s="61" t="s">
        <v>96</v>
      </c>
      <c r="C39" s="61" t="s">
        <v>36</v>
      </c>
      <c r="D39" s="72">
        <v>45539</v>
      </c>
      <c r="E39" s="29"/>
      <c r="F39" s="17"/>
      <c r="G39" s="18" t="str">
        <f t="shared" si="11"/>
        <v>No Ratio</v>
      </c>
      <c r="H39" s="17">
        <f t="shared" si="9"/>
        <v>0</v>
      </c>
      <c r="I39" s="17">
        <f t="shared" si="12"/>
        <v>0</v>
      </c>
      <c r="J39" s="17">
        <f t="shared" si="13"/>
        <v>0</v>
      </c>
      <c r="K39" s="19">
        <f t="shared" si="13"/>
        <v>0</v>
      </c>
      <c r="L39" s="79"/>
      <c r="M39" s="17"/>
      <c r="N39" s="17" t="str">
        <f t="shared" si="14"/>
        <v>No Bonus</v>
      </c>
      <c r="O39" s="17" t="str">
        <f t="shared" si="15"/>
        <v>No Bonus</v>
      </c>
      <c r="P39" s="17">
        <f t="shared" si="16"/>
        <v>0</v>
      </c>
      <c r="Q39" s="19"/>
    </row>
    <row r="40" spans="1:17" ht="35.1" customHeight="1">
      <c r="A40" s="29">
        <v>19</v>
      </c>
      <c r="B40" s="61" t="s">
        <v>86</v>
      </c>
      <c r="C40" s="61" t="s">
        <v>25</v>
      </c>
      <c r="D40" s="72">
        <v>45803</v>
      </c>
      <c r="E40" s="29"/>
      <c r="F40" s="17"/>
      <c r="G40" s="18" t="str">
        <f t="shared" si="11"/>
        <v>No Ratio</v>
      </c>
      <c r="H40" s="17">
        <f t="shared" si="9"/>
        <v>0</v>
      </c>
      <c r="I40" s="17">
        <f t="shared" si="12"/>
        <v>0</v>
      </c>
      <c r="J40" s="17">
        <f t="shared" si="13"/>
        <v>0</v>
      </c>
      <c r="K40" s="19">
        <f t="shared" si="13"/>
        <v>0</v>
      </c>
      <c r="L40" s="79"/>
      <c r="M40" s="17"/>
      <c r="N40" s="17" t="str">
        <f t="shared" si="14"/>
        <v>No Bonus</v>
      </c>
      <c r="O40" s="17" t="str">
        <f t="shared" si="15"/>
        <v>No Bonus</v>
      </c>
      <c r="P40" s="17">
        <f t="shared" si="16"/>
        <v>0</v>
      </c>
      <c r="Q40" s="19"/>
    </row>
    <row r="41" spans="1:17" ht="35.1" customHeight="1" thickBot="1">
      <c r="A41" s="30">
        <v>20</v>
      </c>
      <c r="B41" s="62" t="s">
        <v>91</v>
      </c>
      <c r="C41" s="62" t="s">
        <v>37</v>
      </c>
      <c r="D41" s="73">
        <v>45870</v>
      </c>
      <c r="E41" s="30"/>
      <c r="F41" s="20"/>
      <c r="G41" s="21" t="str">
        <f t="shared" si="11"/>
        <v>No Ratio</v>
      </c>
      <c r="H41" s="20">
        <f t="shared" si="9"/>
        <v>0</v>
      </c>
      <c r="I41" s="20">
        <f t="shared" si="12"/>
        <v>0</v>
      </c>
      <c r="J41" s="20">
        <f t="shared" si="13"/>
        <v>0</v>
      </c>
      <c r="K41" s="22">
        <f t="shared" si="13"/>
        <v>0</v>
      </c>
      <c r="L41" s="80"/>
      <c r="M41" s="20"/>
      <c r="N41" s="20" t="str">
        <f t="shared" si="14"/>
        <v>No Bonus</v>
      </c>
      <c r="O41" s="20" t="str">
        <f t="shared" si="15"/>
        <v>No Bonus</v>
      </c>
      <c r="P41" s="20">
        <f t="shared" si="16"/>
        <v>0</v>
      </c>
      <c r="Q41" s="22"/>
    </row>
    <row r="42" spans="1:17" ht="35.1" customHeight="1" thickBot="1">
      <c r="A42" s="50" t="s">
        <v>38</v>
      </c>
      <c r="B42" s="64"/>
      <c r="C42" s="64"/>
      <c r="D42" s="75"/>
      <c r="E42" s="50">
        <f t="shared" ref="E42:I42" si="17">SUM(E22:E41)</f>
        <v>0</v>
      </c>
      <c r="F42" s="51">
        <f t="shared" si="17"/>
        <v>0</v>
      </c>
      <c r="G42" s="52" t="str">
        <f t="shared" si="11"/>
        <v>No Ratio</v>
      </c>
      <c r="H42" s="51">
        <f t="shared" si="17"/>
        <v>0</v>
      </c>
      <c r="I42" s="51">
        <f t="shared" si="17"/>
        <v>0</v>
      </c>
      <c r="J42" s="51">
        <f t="shared" ref="J42:M42" si="18">SUM(J22:J41)</f>
        <v>0</v>
      </c>
      <c r="K42" s="53">
        <f t="shared" si="18"/>
        <v>0</v>
      </c>
      <c r="L42" s="82">
        <f t="shared" si="18"/>
        <v>0</v>
      </c>
      <c r="M42" s="51">
        <f t="shared" si="18"/>
        <v>0</v>
      </c>
      <c r="N42" s="51"/>
      <c r="O42" s="51"/>
      <c r="P42" s="51">
        <f>SUM(P22:P41)</f>
        <v>0</v>
      </c>
      <c r="Q42" s="53"/>
    </row>
    <row r="43" spans="1:17" ht="35.1" customHeight="1">
      <c r="A43" s="28">
        <v>1</v>
      </c>
      <c r="B43" s="60" t="s">
        <v>98</v>
      </c>
      <c r="C43" s="60" t="s">
        <v>39</v>
      </c>
      <c r="D43" s="71" t="s">
        <v>40</v>
      </c>
      <c r="E43" s="28"/>
      <c r="F43" s="25"/>
      <c r="G43" s="26" t="str">
        <f t="shared" si="11"/>
        <v>No Ratio</v>
      </c>
      <c r="H43" s="25">
        <f t="shared" si="9"/>
        <v>0</v>
      </c>
      <c r="I43" s="25">
        <f t="shared" ref="I43:I47" si="19">((F43-E43)+H43)+($H$1*(F43-E43))</f>
        <v>0</v>
      </c>
      <c r="J43" s="25">
        <f t="shared" ref="J43:K47" si="20">H43-E43</f>
        <v>0</v>
      </c>
      <c r="K43" s="27">
        <f t="shared" si="20"/>
        <v>0</v>
      </c>
      <c r="L43" s="78"/>
      <c r="M43" s="25"/>
      <c r="N43" s="25" t="str">
        <f>IF(M43=0,"No Bonus",TEXT(M43/E43,"0.00")&amp;" Months")</f>
        <v>No Bonus</v>
      </c>
      <c r="O43" s="25" t="str">
        <f>IF(M43=0,"No Bonus",TEXT((M43/E43)*100,"0.00")&amp;" %")</f>
        <v>No Bonus</v>
      </c>
      <c r="P43" s="25">
        <f>M43-L43</f>
        <v>0</v>
      </c>
      <c r="Q43" s="27"/>
    </row>
    <row r="44" spans="1:17" ht="35.1" customHeight="1">
      <c r="A44" s="29">
        <v>2</v>
      </c>
      <c r="B44" s="61" t="s">
        <v>100</v>
      </c>
      <c r="C44" s="61" t="s">
        <v>41</v>
      </c>
      <c r="D44" s="72" t="s">
        <v>42</v>
      </c>
      <c r="E44" s="29"/>
      <c r="F44" s="17"/>
      <c r="G44" s="18" t="str">
        <f t="shared" si="11"/>
        <v>No Ratio</v>
      </c>
      <c r="H44" s="17">
        <f t="shared" si="9"/>
        <v>0</v>
      </c>
      <c r="I44" s="17">
        <f t="shared" si="19"/>
        <v>0</v>
      </c>
      <c r="J44" s="17">
        <f t="shared" si="20"/>
        <v>0</v>
      </c>
      <c r="K44" s="19">
        <f t="shared" si="20"/>
        <v>0</v>
      </c>
      <c r="L44" s="79"/>
      <c r="M44" s="17"/>
      <c r="N44" s="17" t="str">
        <f>IF(M44=0,"No Bonus",TEXT(M44/E44,"0.00")&amp;" Months")</f>
        <v>No Bonus</v>
      </c>
      <c r="O44" s="17" t="str">
        <f>IF(M44=0,"No Bonus",TEXT((M44/E44)*100,"0.00")&amp;" %")</f>
        <v>No Bonus</v>
      </c>
      <c r="P44" s="17">
        <f>M44-L44</f>
        <v>0</v>
      </c>
      <c r="Q44" s="19"/>
    </row>
    <row r="45" spans="1:17" ht="35.1" customHeight="1">
      <c r="A45" s="29">
        <v>3</v>
      </c>
      <c r="B45" s="61" t="s">
        <v>99</v>
      </c>
      <c r="C45" s="61" t="s">
        <v>41</v>
      </c>
      <c r="D45" s="72" t="s">
        <v>43</v>
      </c>
      <c r="E45" s="29"/>
      <c r="F45" s="17"/>
      <c r="G45" s="18" t="str">
        <f t="shared" si="11"/>
        <v>No Ratio</v>
      </c>
      <c r="H45" s="17">
        <f t="shared" si="9"/>
        <v>0</v>
      </c>
      <c r="I45" s="17">
        <f t="shared" si="19"/>
        <v>0</v>
      </c>
      <c r="J45" s="17">
        <f t="shared" si="20"/>
        <v>0</v>
      </c>
      <c r="K45" s="19">
        <f t="shared" si="20"/>
        <v>0</v>
      </c>
      <c r="L45" s="79"/>
      <c r="M45" s="17"/>
      <c r="N45" s="17" t="str">
        <f>IF(M45=0,"No Bonus",TEXT(M45/E45,"0.00")&amp;" Months")</f>
        <v>No Bonus</v>
      </c>
      <c r="O45" s="17" t="str">
        <f>IF(M45=0,"No Bonus",TEXT((M45/E45)*100,"0.00")&amp;" %")</f>
        <v>No Bonus</v>
      </c>
      <c r="P45" s="17">
        <f>M45-L45</f>
        <v>0</v>
      </c>
      <c r="Q45" s="19"/>
    </row>
    <row r="46" spans="1:17" ht="35.1" customHeight="1">
      <c r="A46" s="29">
        <v>4</v>
      </c>
      <c r="B46" s="61" t="s">
        <v>101</v>
      </c>
      <c r="C46" s="61" t="s">
        <v>41</v>
      </c>
      <c r="D46" s="72" t="s">
        <v>43</v>
      </c>
      <c r="E46" s="29"/>
      <c r="F46" s="17"/>
      <c r="G46" s="18" t="str">
        <f t="shared" si="11"/>
        <v>No Ratio</v>
      </c>
      <c r="H46" s="17">
        <f t="shared" si="9"/>
        <v>0</v>
      </c>
      <c r="I46" s="17">
        <f t="shared" si="19"/>
        <v>0</v>
      </c>
      <c r="J46" s="17">
        <f t="shared" si="20"/>
        <v>0</v>
      </c>
      <c r="K46" s="19">
        <f t="shared" si="20"/>
        <v>0</v>
      </c>
      <c r="L46" s="79"/>
      <c r="M46" s="17"/>
      <c r="N46" s="17" t="str">
        <f>IF(M46=0,"No Bonus",TEXT(M46/E46,"0.00")&amp;" Months")</f>
        <v>No Bonus</v>
      </c>
      <c r="O46" s="17" t="str">
        <f>IF(M46=0,"No Bonus",TEXT((M46/E46)*100,"0.00")&amp;" %")</f>
        <v>No Bonus</v>
      </c>
      <c r="P46" s="17">
        <f>M46-L46</f>
        <v>0</v>
      </c>
      <c r="Q46" s="19"/>
    </row>
    <row r="47" spans="1:17" ht="35.1" customHeight="1" thickBot="1">
      <c r="A47" s="30">
        <v>5</v>
      </c>
      <c r="B47" s="62" t="s">
        <v>102</v>
      </c>
      <c r="C47" s="62" t="s">
        <v>44</v>
      </c>
      <c r="D47" s="73">
        <v>46082</v>
      </c>
      <c r="E47" s="30"/>
      <c r="F47" s="20"/>
      <c r="G47" s="21" t="str">
        <f t="shared" si="11"/>
        <v>No Ratio</v>
      </c>
      <c r="H47" s="20">
        <f t="shared" si="9"/>
        <v>0</v>
      </c>
      <c r="I47" s="20">
        <f t="shared" si="19"/>
        <v>0</v>
      </c>
      <c r="J47" s="20">
        <f t="shared" si="20"/>
        <v>0</v>
      </c>
      <c r="K47" s="22">
        <f t="shared" si="20"/>
        <v>0</v>
      </c>
      <c r="L47" s="80"/>
      <c r="M47" s="20"/>
      <c r="N47" s="20" t="str">
        <f>IF(M47=0,"No Bonus",TEXT(M47/E47,"0.00")&amp;" Months")</f>
        <v>No Bonus</v>
      </c>
      <c r="O47" s="20" t="str">
        <f>IF(M47=0,"No Bonus",TEXT((M47/E47)*100,"0.00")&amp;" %")</f>
        <v>No Bonus</v>
      </c>
      <c r="P47" s="20">
        <f>M47-L47</f>
        <v>0</v>
      </c>
      <c r="Q47" s="22"/>
    </row>
    <row r="48" spans="1:17" ht="35.1" customHeight="1" thickBot="1">
      <c r="A48" s="65" t="s">
        <v>45</v>
      </c>
      <c r="B48" s="64"/>
      <c r="C48" s="64"/>
      <c r="D48" s="75"/>
      <c r="E48" s="50">
        <f t="shared" ref="E48:I48" si="21">SUM(E43:E47)</f>
        <v>0</v>
      </c>
      <c r="F48" s="51">
        <f t="shared" si="21"/>
        <v>0</v>
      </c>
      <c r="G48" s="52" t="str">
        <f>IFERROR((H48-E48)/E48,"No Ratio")</f>
        <v>No Ratio</v>
      </c>
      <c r="H48" s="51">
        <f t="shared" si="21"/>
        <v>0</v>
      </c>
      <c r="I48" s="51">
        <f t="shared" si="21"/>
        <v>0</v>
      </c>
      <c r="J48" s="51">
        <f t="shared" ref="J48:M48" si="22">SUM(J43:J47)</f>
        <v>0</v>
      </c>
      <c r="K48" s="53">
        <f t="shared" si="22"/>
        <v>0</v>
      </c>
      <c r="L48" s="82">
        <f t="shared" si="22"/>
        <v>0</v>
      </c>
      <c r="M48" s="51">
        <f t="shared" si="22"/>
        <v>0</v>
      </c>
      <c r="N48" s="51"/>
      <c r="O48" s="51"/>
      <c r="P48" s="51">
        <f t="shared" ref="P48" si="23">SUM(P43:P47)</f>
        <v>0</v>
      </c>
      <c r="Q48" s="53"/>
    </row>
    <row r="49" spans="1:17" ht="35.1" customHeight="1" thickBot="1">
      <c r="A49" s="66" t="s">
        <v>46</v>
      </c>
      <c r="B49" s="67"/>
      <c r="C49" s="67"/>
      <c r="D49" s="76"/>
      <c r="E49" s="85">
        <f>SUM(E48,E42,E21,E6)</f>
        <v>10000</v>
      </c>
      <c r="F49" s="54">
        <f>SUM(F48,F42,F21,F6)</f>
        <v>12000</v>
      </c>
      <c r="G49" s="55">
        <f>IFERROR((H49-E49)/E49,"No average")</f>
        <v>0.1</v>
      </c>
      <c r="H49" s="54">
        <f t="shared" ref="H49:M49" si="24">SUM(H48,H42,H21,H6)</f>
        <v>11000</v>
      </c>
      <c r="I49" s="54">
        <f t="shared" si="24"/>
        <v>13200</v>
      </c>
      <c r="J49" s="54">
        <f t="shared" si="24"/>
        <v>1000</v>
      </c>
      <c r="K49" s="56">
        <f t="shared" si="24"/>
        <v>1200</v>
      </c>
      <c r="L49" s="83">
        <f t="shared" si="24"/>
        <v>10000</v>
      </c>
      <c r="M49" s="54">
        <f t="shared" si="24"/>
        <v>20000</v>
      </c>
      <c r="N49" s="54"/>
      <c r="O49" s="54"/>
      <c r="P49" s="54">
        <f>SUM(P48,P42,P21,P6)</f>
        <v>10000</v>
      </c>
      <c r="Q49" s="56"/>
    </row>
    <row r="50" spans="1:17" ht="35.1" customHeight="1" thickBot="1">
      <c r="A50" s="68" t="s">
        <v>48</v>
      </c>
      <c r="B50" s="69"/>
      <c r="C50" s="69"/>
      <c r="D50" s="77"/>
      <c r="E50" s="86">
        <f>SUM(E42,E21,E6)</f>
        <v>10000</v>
      </c>
      <c r="F50" s="57">
        <f>SUM(F42,F21,F6)</f>
        <v>12000</v>
      </c>
      <c r="G50" s="58">
        <f>IFERROR((H50-E50)/E50,"No average")</f>
        <v>0.1</v>
      </c>
      <c r="H50" s="57">
        <f t="shared" ref="H50:M50" si="25">SUM(H42,H21,H6)</f>
        <v>11000</v>
      </c>
      <c r="I50" s="57">
        <f t="shared" si="25"/>
        <v>13200</v>
      </c>
      <c r="J50" s="57">
        <f t="shared" si="25"/>
        <v>1000</v>
      </c>
      <c r="K50" s="59">
        <f t="shared" si="25"/>
        <v>1200</v>
      </c>
      <c r="L50" s="84">
        <f t="shared" si="25"/>
        <v>10000</v>
      </c>
      <c r="M50" s="57">
        <f t="shared" si="25"/>
        <v>20000</v>
      </c>
      <c r="N50" s="57"/>
      <c r="O50" s="57"/>
      <c r="P50" s="57">
        <f>SUM(P42,P21,P6)</f>
        <v>10000</v>
      </c>
      <c r="Q50" s="59"/>
    </row>
    <row r="53" spans="1:17" ht="35.1" customHeight="1">
      <c r="A53" t="s">
        <v>47</v>
      </c>
      <c r="C53" t="s">
        <v>4</v>
      </c>
      <c r="D53" s="15" t="s">
        <v>104</v>
      </c>
      <c r="E53" t="s">
        <v>5</v>
      </c>
      <c r="F53" t="s">
        <v>105</v>
      </c>
      <c r="G53" s="16" t="s">
        <v>56</v>
      </c>
    </row>
    <row r="54" spans="1:17" ht="35.1" customHeight="1">
      <c r="C54">
        <f>E49</f>
        <v>10000</v>
      </c>
      <c r="D54" s="15">
        <f>H49</f>
        <v>11000</v>
      </c>
      <c r="E54">
        <f>F49</f>
        <v>12000</v>
      </c>
      <c r="F54">
        <f>I49</f>
        <v>13200</v>
      </c>
    </row>
    <row r="55" spans="1:17" ht="35.1" customHeight="1">
      <c r="C55">
        <f t="shared" ref="C55:E55" si="26">IFERROR(((D54-C54)/C54),0)</f>
        <v>0.1</v>
      </c>
      <c r="E55">
        <f t="shared" si="26"/>
        <v>0.1</v>
      </c>
      <c r="G55" s="16">
        <f>IFERROR(((#REF!-G54)/G54),0)</f>
        <v>0</v>
      </c>
    </row>
    <row r="57" spans="1:17" ht="35.1" customHeight="1">
      <c r="A57" t="s">
        <v>49</v>
      </c>
      <c r="C57" t="s">
        <v>4</v>
      </c>
      <c r="D57" s="15" t="s">
        <v>104</v>
      </c>
      <c r="E57" t="s">
        <v>5</v>
      </c>
      <c r="F57" t="s">
        <v>105</v>
      </c>
      <c r="G57" s="16" t="s">
        <v>56</v>
      </c>
    </row>
    <row r="58" spans="1:17" ht="35.1" customHeight="1">
      <c r="C58">
        <f>E50</f>
        <v>10000</v>
      </c>
      <c r="D58" s="15">
        <f>H50</f>
        <v>11000</v>
      </c>
      <c r="E58">
        <f>F50</f>
        <v>12000</v>
      </c>
      <c r="F58">
        <f>I50</f>
        <v>13200</v>
      </c>
    </row>
    <row r="59" spans="1:17" ht="35.1" customHeight="1">
      <c r="C59">
        <f t="shared" ref="C59" si="27">IFERROR(((D58-C58)/C58),0)</f>
        <v>0.1</v>
      </c>
      <c r="E59">
        <f t="shared" ref="E59" si="28">IFERROR(((F58-E58)/E58),0)</f>
        <v>0.1</v>
      </c>
      <c r="G59" s="16">
        <f>IFERROR(((#REF!-G58)/G58),0)</f>
        <v>0</v>
      </c>
    </row>
  </sheetData>
  <pageMargins left="0.7" right="0.7" top="0.75" bottom="0.75" header="0.3" footer="0.3"/>
  <pageSetup paperSize="9" scale="50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8D75-6537-41A1-8178-C545991F1252}">
  <sheetPr>
    <pageSetUpPr fitToPage="1"/>
  </sheetPr>
  <dimension ref="B1:E15"/>
  <sheetViews>
    <sheetView workbookViewId="0">
      <selection activeCell="B6" sqref="B6"/>
    </sheetView>
  </sheetViews>
  <sheetFormatPr defaultRowHeight="14.4"/>
  <cols>
    <col min="2" max="2" width="28.77734375" customWidth="1"/>
    <col min="3" max="3" width="34.109375" customWidth="1"/>
    <col min="4" max="4" width="20.88671875" customWidth="1"/>
    <col min="5" max="5" width="22.88671875" customWidth="1"/>
  </cols>
  <sheetData>
    <row r="1" spans="2:5" ht="73.349999999999994" customHeight="1" thickBot="1"/>
    <row r="2" spans="2:5" ht="18.600000000000001" thickBot="1">
      <c r="B2" s="31" t="s">
        <v>52</v>
      </c>
      <c r="C2" s="32"/>
      <c r="D2" s="32"/>
      <c r="E2" s="33"/>
    </row>
    <row r="3" spans="2:5" ht="18">
      <c r="B3" s="2" t="s">
        <v>55</v>
      </c>
      <c r="C3" s="34">
        <v>23</v>
      </c>
      <c r="D3" s="35"/>
      <c r="E3" s="36"/>
    </row>
    <row r="4" spans="2:5" ht="18.600000000000001" thickBot="1">
      <c r="B4" s="3" t="s">
        <v>1</v>
      </c>
      <c r="C4" s="37" t="str">
        <f>INDEX('2026'!B1:B1069,C3,1)</f>
        <v>أ/خالد محمد حلمى</v>
      </c>
      <c r="D4" s="38"/>
      <c r="E4" s="39"/>
    </row>
    <row r="5" spans="2:5" ht="18.600000000000001" thickBot="1">
      <c r="B5" s="4" t="s">
        <v>53</v>
      </c>
      <c r="C5" s="5" t="s">
        <v>60</v>
      </c>
      <c r="D5" s="5" t="s">
        <v>56</v>
      </c>
      <c r="E5" s="6" t="s">
        <v>54</v>
      </c>
    </row>
    <row r="6" spans="2:5" ht="18.600000000000001" thickBot="1">
      <c r="B6" s="7">
        <f>INDEX('2026'!I1:I1069,C3,1)</f>
        <v>0</v>
      </c>
      <c r="C6" s="8">
        <f>B6*12</f>
        <v>0</v>
      </c>
      <c r="D6" s="8">
        <f>INDEX('2026'!M1:M1069,C3,1)</f>
        <v>0</v>
      </c>
      <c r="E6" s="9"/>
    </row>
    <row r="7" spans="2:5" ht="18.600000000000001" thickBot="1">
      <c r="B7" s="40">
        <f>SUM(C6:E6)</f>
        <v>0</v>
      </c>
      <c r="C7" s="41"/>
      <c r="D7" s="41"/>
      <c r="E7" s="42"/>
    </row>
    <row r="10" spans="2:5">
      <c r="B10" s="10"/>
    </row>
    <row r="11" spans="2:5">
      <c r="B11" s="10"/>
    </row>
    <row r="12" spans="2:5" ht="15" thickBot="1"/>
    <row r="13" spans="2:5" s="1" customFormat="1" ht="18.600000000000001" thickBot="1">
      <c r="B13" s="2" t="s">
        <v>57</v>
      </c>
      <c r="C13" s="12"/>
      <c r="D13" s="12"/>
      <c r="E13" s="12"/>
    </row>
    <row r="14" spans="2:5" ht="18.600000000000001" thickBot="1">
      <c r="B14" s="2" t="s">
        <v>58</v>
      </c>
      <c r="C14" s="14"/>
      <c r="D14" s="13"/>
      <c r="E14" s="11"/>
    </row>
    <row r="15" spans="2:5" ht="18">
      <c r="B15" s="2" t="s">
        <v>59</v>
      </c>
      <c r="C15" s="11"/>
      <c r="D15" s="11"/>
      <c r="E15" s="11"/>
    </row>
  </sheetData>
  <mergeCells count="4">
    <mergeCell ref="B2:E2"/>
    <mergeCell ref="C3:E3"/>
    <mergeCell ref="C4:E4"/>
    <mergeCell ref="B7:E7"/>
  </mergeCells>
  <pageMargins left="0.7" right="0.7" top="0.75" bottom="0.75" header="0.3" footer="0.3"/>
  <pageSetup paperSize="9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2026</vt:lpstr>
      <vt:lpstr>AnnualSlip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 Nassar</dc:creator>
  <cp:lastModifiedBy>Khaled Helmy</cp:lastModifiedBy>
  <cp:lastPrinted>2025-07-01T10:20:06Z</cp:lastPrinted>
  <dcterms:created xsi:type="dcterms:W3CDTF">2024-12-30T10:43:00Z</dcterms:created>
  <dcterms:modified xsi:type="dcterms:W3CDTF">2025-12-28T09:46:54Z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95239ED0B4024D99AF292F2F25BEF027_12</vt:lpwstr>
  </property>
  <property fmtid="{D5CDD505-2E9C-101B-9397-08002B2CF9AE}" pid="3" name="KSOProductBuildVer">
    <vt:lpwstr>1033-12.2.0.19307</vt:lpwstr>
  </property>
</Properties>
</file>